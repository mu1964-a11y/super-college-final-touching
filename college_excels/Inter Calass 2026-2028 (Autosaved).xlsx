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-2145" yWindow="19830" windowWidth="15570" windowHeight="1440" tabRatio="599"/>
  </bookViews>
  <sheets>
    <sheet name="Boys new admission 2026-2028" sheetId="35" r:id="rId1"/>
    <sheet name="Girls new admission 2026-2028" sheetId="36" r:id="rId2"/>
  </sheets>
  <definedNames>
    <definedName name="_xlnm._FilterDatabase" localSheetId="0" hidden="1">'Boys new admission 2026-2028'!$I$1:$Z$288</definedName>
    <definedName name="_xlnm._FilterDatabase" localSheetId="1" hidden="1">'Girls new admission 2026-2028'!$B$1:$AJ$281</definedName>
  </definedNames>
  <calcPr calcId="145621"/>
  <fileRecoveryPr repairLoad="1"/>
</workbook>
</file>

<file path=xl/calcChain.xml><?xml version="1.0" encoding="utf-8"?>
<calcChain xmlns="http://schemas.openxmlformats.org/spreadsheetml/2006/main">
  <c r="AF28" i="36" l="1"/>
  <c r="AI28" i="36"/>
  <c r="AI26" i="36"/>
  <c r="AF26" i="36"/>
  <c r="AI178" i="36" l="1"/>
  <c r="AF178" i="36"/>
  <c r="AI89" i="36" l="1"/>
  <c r="AF89" i="36"/>
  <c r="AJ89" i="36" s="1"/>
  <c r="X285" i="35" l="1"/>
  <c r="W285" i="35"/>
  <c r="P280" i="36" l="1"/>
  <c r="O280" i="36"/>
  <c r="AR279" i="35" l="1"/>
  <c r="AR278" i="35"/>
  <c r="AR277" i="35"/>
  <c r="AR276" i="35"/>
  <c r="AR275" i="35"/>
  <c r="S281" i="36" l="1"/>
  <c r="AA286" i="35" l="1"/>
  <c r="AN122" i="35" l="1"/>
  <c r="AR122" i="35" s="1"/>
  <c r="AQ122" i="35"/>
  <c r="AN123" i="35"/>
  <c r="AR123" i="35" s="1"/>
  <c r="AQ123" i="35"/>
  <c r="AN124" i="35"/>
  <c r="AR124" i="35" s="1"/>
  <c r="AQ124" i="35"/>
  <c r="AN125" i="35"/>
  <c r="AR125" i="35" s="1"/>
  <c r="AQ125" i="35"/>
  <c r="AN126" i="35"/>
  <c r="AR126" i="35" s="1"/>
  <c r="AQ126" i="35"/>
  <c r="AN127" i="35"/>
  <c r="AR127" i="35" s="1"/>
  <c r="AQ127" i="35"/>
  <c r="AN128" i="35"/>
  <c r="AR128" i="35" s="1"/>
  <c r="AQ128" i="35"/>
  <c r="AN129" i="35"/>
  <c r="AR129" i="35" s="1"/>
  <c r="AQ129" i="35"/>
  <c r="AI191" i="36" l="1"/>
  <c r="AF191" i="36"/>
  <c r="AJ191" i="36" s="1"/>
  <c r="AF24" i="36"/>
  <c r="AJ24" i="36" s="1"/>
  <c r="AI21" i="36"/>
  <c r="AF21" i="36"/>
  <c r="AJ21" i="36" s="1"/>
  <c r="AF217" i="36"/>
  <c r="AJ217" i="36" s="1"/>
  <c r="AF216" i="36"/>
  <c r="AJ216" i="36" s="1"/>
  <c r="AI118" i="36" l="1"/>
  <c r="AF118" i="36"/>
  <c r="AJ118" i="36" s="1"/>
  <c r="AI140" i="36" l="1"/>
  <c r="AF140" i="36"/>
  <c r="AJ140" i="36" s="1"/>
  <c r="AN21" i="35" l="1"/>
  <c r="AR21" i="35" s="1"/>
  <c r="AI217" i="36"/>
  <c r="AI15" i="36" l="1"/>
  <c r="AI183" i="36" l="1"/>
  <c r="AF183" i="36"/>
  <c r="AJ183" i="36" s="1"/>
  <c r="AI150" i="36" l="1"/>
  <c r="AF150" i="36"/>
  <c r="AJ150" i="36" s="1"/>
  <c r="AF74" i="36" l="1"/>
  <c r="AJ74" i="36" s="1"/>
  <c r="AA285" i="35" l="1"/>
  <c r="AA287" i="35" s="1"/>
  <c r="AF61" i="36" l="1"/>
  <c r="AJ61" i="36" s="1"/>
  <c r="AI120" i="36" l="1"/>
  <c r="AF120" i="36"/>
  <c r="AJ120" i="36" s="1"/>
  <c r="AI182" i="36" l="1"/>
  <c r="AF182" i="36"/>
  <c r="AJ182" i="36" s="1"/>
  <c r="AI74" i="36" l="1"/>
  <c r="AQ72" i="35" l="1"/>
  <c r="AN72" i="35"/>
  <c r="AR72" i="35" s="1"/>
  <c r="AI71" i="36" l="1"/>
  <c r="AF71" i="36"/>
  <c r="AJ71" i="36" s="1"/>
  <c r="AI184" i="36" l="1"/>
  <c r="AF184" i="36"/>
  <c r="AJ184" i="36" s="1"/>
  <c r="AF128" i="36" l="1"/>
  <c r="AJ128" i="36" s="1"/>
  <c r="AI128" i="36"/>
  <c r="AF122" i="36"/>
  <c r="AJ122" i="36" s="1"/>
  <c r="AQ2" i="35" l="1"/>
  <c r="AN2" i="35"/>
  <c r="AR2" i="35" s="1"/>
  <c r="AI122" i="36" l="1"/>
  <c r="AQ7" i="35" l="1"/>
  <c r="AN7" i="35"/>
  <c r="AR7" i="35" s="1"/>
  <c r="L280" i="36" l="1"/>
  <c r="K280" i="36"/>
  <c r="AI279" i="36"/>
  <c r="AF279" i="36"/>
  <c r="AJ279" i="36" s="1"/>
  <c r="AI278" i="36"/>
  <c r="AF278" i="36"/>
  <c r="AJ278" i="36" s="1"/>
  <c r="AI277" i="36"/>
  <c r="AF277" i="36"/>
  <c r="AJ277" i="36" s="1"/>
  <c r="AI276" i="36"/>
  <c r="AF276" i="36"/>
  <c r="AJ276" i="36" s="1"/>
  <c r="AI275" i="36"/>
  <c r="AF275" i="36"/>
  <c r="AJ275" i="36" s="1"/>
  <c r="AI274" i="36"/>
  <c r="AF274" i="36"/>
  <c r="AJ274" i="36" s="1"/>
  <c r="AI273" i="36"/>
  <c r="AF273" i="36"/>
  <c r="AJ273" i="36" s="1"/>
  <c r="AI272" i="36"/>
  <c r="AF272" i="36"/>
  <c r="AJ272" i="36" s="1"/>
  <c r="AI271" i="36"/>
  <c r="AF271" i="36"/>
  <c r="AJ271" i="36" s="1"/>
  <c r="AI270" i="36"/>
  <c r="AF270" i="36"/>
  <c r="AJ270" i="36" s="1"/>
  <c r="AI269" i="36"/>
  <c r="AF269" i="36"/>
  <c r="AJ269" i="36" s="1"/>
  <c r="AI268" i="36"/>
  <c r="AF268" i="36"/>
  <c r="AJ268" i="36" s="1"/>
  <c r="AI267" i="36"/>
  <c r="AF267" i="36"/>
  <c r="AJ267" i="36" s="1"/>
  <c r="AI266" i="36"/>
  <c r="AF266" i="36"/>
  <c r="AJ266" i="36" s="1"/>
  <c r="AI265" i="36"/>
  <c r="AF265" i="36"/>
  <c r="AJ265" i="36" s="1"/>
  <c r="AI264" i="36"/>
  <c r="AF264" i="36"/>
  <c r="AJ264" i="36" s="1"/>
  <c r="AI263" i="36"/>
  <c r="AF263" i="36"/>
  <c r="AJ263" i="36" s="1"/>
  <c r="AI262" i="36"/>
  <c r="AF262" i="36"/>
  <c r="AJ262" i="36" s="1"/>
  <c r="AI261" i="36"/>
  <c r="AF261" i="36"/>
  <c r="AJ261" i="36" s="1"/>
  <c r="AI260" i="36"/>
  <c r="AF260" i="36"/>
  <c r="AJ260" i="36" s="1"/>
  <c r="AI259" i="36"/>
  <c r="AF259" i="36"/>
  <c r="AJ259" i="36" s="1"/>
  <c r="AI258" i="36"/>
  <c r="AF258" i="36"/>
  <c r="AJ258" i="36" s="1"/>
  <c r="AI257" i="36"/>
  <c r="AF257" i="36"/>
  <c r="AJ257" i="36" s="1"/>
  <c r="AI256" i="36"/>
  <c r="AF256" i="36"/>
  <c r="AJ256" i="36" s="1"/>
  <c r="AI255" i="36"/>
  <c r="AF255" i="36"/>
  <c r="AJ255" i="36" s="1"/>
  <c r="AI254" i="36"/>
  <c r="AF254" i="36"/>
  <c r="AJ254" i="36" s="1"/>
  <c r="AI253" i="36"/>
  <c r="AF253" i="36"/>
  <c r="AJ253" i="36" s="1"/>
  <c r="AI252" i="36"/>
  <c r="AF252" i="36"/>
  <c r="AJ252" i="36" s="1"/>
  <c r="AI251" i="36"/>
  <c r="AF251" i="36"/>
  <c r="AJ251" i="36" s="1"/>
  <c r="AI250" i="36"/>
  <c r="AF250" i="36"/>
  <c r="AJ250" i="36" s="1"/>
  <c r="AI249" i="36"/>
  <c r="AF249" i="36"/>
  <c r="AJ249" i="36" s="1"/>
  <c r="AI248" i="36"/>
  <c r="AF248" i="36"/>
  <c r="AJ248" i="36" s="1"/>
  <c r="AI247" i="36"/>
  <c r="AF247" i="36"/>
  <c r="AJ247" i="36" s="1"/>
  <c r="AI246" i="36"/>
  <c r="AF246" i="36"/>
  <c r="AJ246" i="36" s="1"/>
  <c r="AI245" i="36"/>
  <c r="AF245" i="36"/>
  <c r="AJ245" i="36" s="1"/>
  <c r="AI244" i="36"/>
  <c r="AF244" i="36"/>
  <c r="AJ244" i="36" s="1"/>
  <c r="AI243" i="36"/>
  <c r="AF243" i="36"/>
  <c r="AJ243" i="36" s="1"/>
  <c r="AI242" i="36"/>
  <c r="AF242" i="36"/>
  <c r="AJ242" i="36" s="1"/>
  <c r="AI241" i="36"/>
  <c r="AF241" i="36"/>
  <c r="AJ241" i="36" s="1"/>
  <c r="AI240" i="36"/>
  <c r="AF240" i="36"/>
  <c r="AJ240" i="36" s="1"/>
  <c r="AI239" i="36"/>
  <c r="AF239" i="36"/>
  <c r="AJ239" i="36" s="1"/>
  <c r="AI238" i="36"/>
  <c r="AF238" i="36"/>
  <c r="AJ238" i="36" s="1"/>
  <c r="AI237" i="36"/>
  <c r="AF237" i="36"/>
  <c r="AJ237" i="36" s="1"/>
  <c r="AI236" i="36"/>
  <c r="AF236" i="36"/>
  <c r="AJ236" i="36" s="1"/>
  <c r="AI235" i="36"/>
  <c r="AF235" i="36"/>
  <c r="AJ235" i="36" s="1"/>
  <c r="AI234" i="36"/>
  <c r="AF234" i="36"/>
  <c r="AJ234" i="36" s="1"/>
  <c r="AI233" i="36"/>
  <c r="AF233" i="36"/>
  <c r="AJ233" i="36" s="1"/>
  <c r="AI232" i="36"/>
  <c r="AF232" i="36"/>
  <c r="AJ232" i="36" s="1"/>
  <c r="AI231" i="36"/>
  <c r="AF231" i="36"/>
  <c r="AJ231" i="36" s="1"/>
  <c r="AI230" i="36"/>
  <c r="AF230" i="36"/>
  <c r="AJ230" i="36" s="1"/>
  <c r="AI229" i="36"/>
  <c r="AF229" i="36"/>
  <c r="AJ229" i="36" s="1"/>
  <c r="AI228" i="36"/>
  <c r="AF228" i="36"/>
  <c r="AJ228" i="36" s="1"/>
  <c r="AI227" i="36"/>
  <c r="AF227" i="36"/>
  <c r="AJ227" i="36" s="1"/>
  <c r="AI226" i="36"/>
  <c r="AF226" i="36"/>
  <c r="AJ226" i="36" s="1"/>
  <c r="AI225" i="36"/>
  <c r="AF225" i="36"/>
  <c r="AJ225" i="36" s="1"/>
  <c r="AI224" i="36"/>
  <c r="AF224" i="36"/>
  <c r="AJ224" i="36" s="1"/>
  <c r="AI223" i="36"/>
  <c r="AF223" i="36"/>
  <c r="AJ223" i="36" s="1"/>
  <c r="AI222" i="36"/>
  <c r="AF222" i="36"/>
  <c r="AJ222" i="36" s="1"/>
  <c r="AI221" i="36"/>
  <c r="AF221" i="36"/>
  <c r="AJ221" i="36" s="1"/>
  <c r="AI220" i="36"/>
  <c r="AF220" i="36"/>
  <c r="AJ220" i="36" s="1"/>
  <c r="AI219" i="36"/>
  <c r="AF219" i="36"/>
  <c r="AJ219" i="36" s="1"/>
  <c r="AI218" i="36"/>
  <c r="AF218" i="36"/>
  <c r="AJ218" i="36" s="1"/>
  <c r="AI216" i="36"/>
  <c r="AI215" i="36"/>
  <c r="AF215" i="36"/>
  <c r="AJ215" i="36" s="1"/>
  <c r="AI214" i="36"/>
  <c r="AF214" i="36"/>
  <c r="AJ214" i="36" s="1"/>
  <c r="AI213" i="36"/>
  <c r="AF213" i="36"/>
  <c r="AJ213" i="36" s="1"/>
  <c r="AI212" i="36"/>
  <c r="AF212" i="36"/>
  <c r="AJ212" i="36" s="1"/>
  <c r="AI211" i="36"/>
  <c r="AF211" i="36"/>
  <c r="AJ211" i="36" s="1"/>
  <c r="AI210" i="36"/>
  <c r="AF210" i="36"/>
  <c r="AJ210" i="36" s="1"/>
  <c r="AI209" i="36"/>
  <c r="AF209" i="36"/>
  <c r="AJ209" i="36" s="1"/>
  <c r="AI208" i="36"/>
  <c r="AF208" i="36"/>
  <c r="AJ208" i="36" s="1"/>
  <c r="AI207" i="36"/>
  <c r="AF207" i="36"/>
  <c r="AJ207" i="36" s="1"/>
  <c r="AI206" i="36"/>
  <c r="AF206" i="36"/>
  <c r="AJ206" i="36" s="1"/>
  <c r="AI205" i="36"/>
  <c r="AF205" i="36"/>
  <c r="AJ205" i="36" s="1"/>
  <c r="AI204" i="36"/>
  <c r="AF204" i="36"/>
  <c r="AJ204" i="36" s="1"/>
  <c r="AI203" i="36"/>
  <c r="AF203" i="36"/>
  <c r="AJ203" i="36" s="1"/>
  <c r="AI202" i="36"/>
  <c r="AF202" i="36"/>
  <c r="AJ202" i="36" s="1"/>
  <c r="AI201" i="36"/>
  <c r="AF201" i="36"/>
  <c r="AJ201" i="36" s="1"/>
  <c r="AI200" i="36"/>
  <c r="AF200" i="36"/>
  <c r="AJ200" i="36" s="1"/>
  <c r="AI199" i="36"/>
  <c r="AF199" i="36"/>
  <c r="AJ199" i="36" s="1"/>
  <c r="AI198" i="36"/>
  <c r="AF198" i="36"/>
  <c r="AJ198" i="36" s="1"/>
  <c r="AI197" i="36"/>
  <c r="AF197" i="36"/>
  <c r="AJ197" i="36" s="1"/>
  <c r="AI196" i="36"/>
  <c r="AF196" i="36"/>
  <c r="AJ196" i="36" s="1"/>
  <c r="AI195" i="36"/>
  <c r="AF195" i="36"/>
  <c r="AJ195" i="36" s="1"/>
  <c r="AI194" i="36"/>
  <c r="AF194" i="36"/>
  <c r="AJ194" i="36" s="1"/>
  <c r="AI193" i="36"/>
  <c r="AF193" i="36"/>
  <c r="AJ193" i="36" s="1"/>
  <c r="AI192" i="36"/>
  <c r="AF192" i="36"/>
  <c r="AJ192" i="36" s="1"/>
  <c r="AI190" i="36"/>
  <c r="AF190" i="36"/>
  <c r="AJ190" i="36" s="1"/>
  <c r="AI189" i="36"/>
  <c r="AF189" i="36"/>
  <c r="AJ189" i="36" s="1"/>
  <c r="AI188" i="36"/>
  <c r="AF188" i="36"/>
  <c r="AJ188" i="36" s="1"/>
  <c r="AI187" i="36"/>
  <c r="AF187" i="36"/>
  <c r="AJ187" i="36" s="1"/>
  <c r="AI186" i="36"/>
  <c r="AF186" i="36"/>
  <c r="AJ186" i="36" s="1"/>
  <c r="AI185" i="36"/>
  <c r="AF185" i="36"/>
  <c r="AJ185" i="36" s="1"/>
  <c r="AI181" i="36"/>
  <c r="AF181" i="36"/>
  <c r="AJ181" i="36" s="1"/>
  <c r="AI180" i="36"/>
  <c r="AF180" i="36"/>
  <c r="AJ180" i="36" s="1"/>
  <c r="AI179" i="36"/>
  <c r="AF179" i="36"/>
  <c r="AJ179" i="36" s="1"/>
  <c r="AJ178" i="36"/>
  <c r="AI177" i="36"/>
  <c r="AF177" i="36"/>
  <c r="AJ177" i="36" s="1"/>
  <c r="AI176" i="36"/>
  <c r="AF176" i="36"/>
  <c r="AJ176" i="36" s="1"/>
  <c r="AI175" i="36"/>
  <c r="AF175" i="36"/>
  <c r="AJ175" i="36" s="1"/>
  <c r="AI173" i="36"/>
  <c r="AF173" i="36"/>
  <c r="AJ173" i="36" s="1"/>
  <c r="AI172" i="36"/>
  <c r="AF172" i="36"/>
  <c r="AJ172" i="36" s="1"/>
  <c r="AI171" i="36"/>
  <c r="AF171" i="36"/>
  <c r="AJ171" i="36" s="1"/>
  <c r="AI170" i="36"/>
  <c r="AF170" i="36"/>
  <c r="AJ170" i="36" s="1"/>
  <c r="AI169" i="36"/>
  <c r="AF169" i="36"/>
  <c r="AJ169" i="36" s="1"/>
  <c r="AI168" i="36"/>
  <c r="AF168" i="36"/>
  <c r="AJ168" i="36" s="1"/>
  <c r="AI167" i="36"/>
  <c r="AF167" i="36"/>
  <c r="AJ167" i="36" s="1"/>
  <c r="AF166" i="36"/>
  <c r="AJ166" i="36" s="1"/>
  <c r="AI166" i="36"/>
  <c r="AI165" i="36"/>
  <c r="AF165" i="36"/>
  <c r="AJ165" i="36" s="1"/>
  <c r="AI164" i="36"/>
  <c r="AF164" i="36"/>
  <c r="AJ164" i="36" s="1"/>
  <c r="AI163" i="36"/>
  <c r="AF163" i="36"/>
  <c r="AJ163" i="36" s="1"/>
  <c r="AI162" i="36"/>
  <c r="AF162" i="36"/>
  <c r="AJ162" i="36" s="1"/>
  <c r="AI161" i="36"/>
  <c r="AF161" i="36"/>
  <c r="AJ161" i="36" s="1"/>
  <c r="AI160" i="36"/>
  <c r="AF160" i="36"/>
  <c r="AJ160" i="36" s="1"/>
  <c r="AI159" i="36"/>
  <c r="AF159" i="36"/>
  <c r="AJ159" i="36" s="1"/>
  <c r="AI158" i="36"/>
  <c r="AF158" i="36"/>
  <c r="AJ158" i="36" s="1"/>
  <c r="AI157" i="36"/>
  <c r="AF157" i="36"/>
  <c r="AJ157" i="36" s="1"/>
  <c r="AI156" i="36"/>
  <c r="AF156" i="36"/>
  <c r="AJ156" i="36" s="1"/>
  <c r="AI155" i="36"/>
  <c r="AF155" i="36"/>
  <c r="AJ155" i="36" s="1"/>
  <c r="AI154" i="36"/>
  <c r="AF154" i="36"/>
  <c r="AJ154" i="36" s="1"/>
  <c r="AI153" i="36"/>
  <c r="AF153" i="36"/>
  <c r="AJ153" i="36" s="1"/>
  <c r="AI152" i="36"/>
  <c r="AF152" i="36"/>
  <c r="AJ152" i="36" s="1"/>
  <c r="AI151" i="36"/>
  <c r="AF151" i="36"/>
  <c r="AJ151" i="36" s="1"/>
  <c r="AI149" i="36"/>
  <c r="AF149" i="36"/>
  <c r="AJ149" i="36" s="1"/>
  <c r="AI148" i="36"/>
  <c r="AF148" i="36"/>
  <c r="AJ148" i="36" s="1"/>
  <c r="AI146" i="36"/>
  <c r="AF146" i="36"/>
  <c r="AJ146" i="36" s="1"/>
  <c r="AI145" i="36"/>
  <c r="AF145" i="36"/>
  <c r="AJ145" i="36" s="1"/>
  <c r="AI144" i="36"/>
  <c r="AF144" i="36"/>
  <c r="AJ144" i="36" s="1"/>
  <c r="AI143" i="36"/>
  <c r="AF143" i="36"/>
  <c r="AJ143" i="36" s="1"/>
  <c r="AF142" i="36"/>
  <c r="AJ142" i="36" s="1"/>
  <c r="AI141" i="36"/>
  <c r="AF141" i="36"/>
  <c r="AJ141" i="36" s="1"/>
  <c r="AI139" i="36"/>
  <c r="AF139" i="36"/>
  <c r="AJ139" i="36" s="1"/>
  <c r="AI138" i="36"/>
  <c r="AF138" i="36"/>
  <c r="AJ138" i="36" s="1"/>
  <c r="AI137" i="36"/>
  <c r="AF137" i="36"/>
  <c r="AJ137" i="36" s="1"/>
  <c r="AI136" i="36"/>
  <c r="AF136" i="36"/>
  <c r="AJ136" i="36" s="1"/>
  <c r="AI135" i="36"/>
  <c r="AF135" i="36"/>
  <c r="AJ135" i="36" s="1"/>
  <c r="AF134" i="36"/>
  <c r="AJ134" i="36" s="1"/>
  <c r="AI133" i="36"/>
  <c r="AF133" i="36"/>
  <c r="AJ133" i="36" s="1"/>
  <c r="AI132" i="36"/>
  <c r="AF132" i="36"/>
  <c r="AJ132" i="36" s="1"/>
  <c r="AI131" i="36"/>
  <c r="AF131" i="36"/>
  <c r="AJ131" i="36" s="1"/>
  <c r="AI130" i="36"/>
  <c r="AF130" i="36"/>
  <c r="AJ130" i="36" s="1"/>
  <c r="AI129" i="36"/>
  <c r="AF129" i="36"/>
  <c r="AJ129" i="36" s="1"/>
  <c r="AI126" i="36"/>
  <c r="AF126" i="36"/>
  <c r="AJ126" i="36" s="1"/>
  <c r="AI125" i="36"/>
  <c r="AF125" i="36"/>
  <c r="AJ125" i="36" s="1"/>
  <c r="AI124" i="36"/>
  <c r="AF124" i="36"/>
  <c r="AJ124" i="36" s="1"/>
  <c r="AI123" i="36"/>
  <c r="AF123" i="36"/>
  <c r="AJ123" i="36" s="1"/>
  <c r="AI121" i="36"/>
  <c r="AF121" i="36"/>
  <c r="AJ121" i="36" s="1"/>
  <c r="AI119" i="36"/>
  <c r="AF119" i="36"/>
  <c r="AJ119" i="36" s="1"/>
  <c r="AI117" i="36"/>
  <c r="AF117" i="36"/>
  <c r="AJ117" i="36" s="1"/>
  <c r="AI116" i="36"/>
  <c r="AF116" i="36"/>
  <c r="AJ116" i="36" s="1"/>
  <c r="AI115" i="36"/>
  <c r="AF115" i="36"/>
  <c r="AJ115" i="36" s="1"/>
  <c r="AI114" i="36"/>
  <c r="AF114" i="36"/>
  <c r="AJ114" i="36" s="1"/>
  <c r="AI112" i="36"/>
  <c r="AF112" i="36"/>
  <c r="AJ112" i="36" s="1"/>
  <c r="AI111" i="36"/>
  <c r="AF111" i="36"/>
  <c r="AJ111" i="36" s="1"/>
  <c r="AI110" i="36"/>
  <c r="AF110" i="36"/>
  <c r="AJ110" i="36" s="1"/>
  <c r="AI109" i="36"/>
  <c r="AF109" i="36"/>
  <c r="AJ109" i="36" s="1"/>
  <c r="AI108" i="36"/>
  <c r="AF108" i="36"/>
  <c r="AJ108" i="36" s="1"/>
  <c r="AI107" i="36"/>
  <c r="AF107" i="36"/>
  <c r="AJ107" i="36" s="1"/>
  <c r="AI106" i="36"/>
  <c r="AF106" i="36"/>
  <c r="AJ106" i="36" s="1"/>
  <c r="AI105" i="36"/>
  <c r="AF105" i="36"/>
  <c r="AJ105" i="36" s="1"/>
  <c r="AF104" i="36"/>
  <c r="AJ104" i="36" s="1"/>
  <c r="AI104" i="36"/>
  <c r="AI103" i="36"/>
  <c r="AF103" i="36"/>
  <c r="AJ103" i="36" s="1"/>
  <c r="AI102" i="36"/>
  <c r="AF102" i="36"/>
  <c r="AJ102" i="36" s="1"/>
  <c r="AI101" i="36"/>
  <c r="AF101" i="36"/>
  <c r="AJ101" i="36" s="1"/>
  <c r="AI100" i="36"/>
  <c r="AF100" i="36"/>
  <c r="AJ100" i="36" s="1"/>
  <c r="AF99" i="36"/>
  <c r="AJ99" i="36" s="1"/>
  <c r="AI98" i="36"/>
  <c r="AF98" i="36"/>
  <c r="AJ98" i="36" s="1"/>
  <c r="AI97" i="36"/>
  <c r="AF97" i="36"/>
  <c r="AJ97" i="36" s="1"/>
  <c r="AI96" i="36"/>
  <c r="AF96" i="36"/>
  <c r="AJ96" i="36" s="1"/>
  <c r="AI95" i="36"/>
  <c r="AF95" i="36"/>
  <c r="AJ95" i="36" s="1"/>
  <c r="AI94" i="36"/>
  <c r="AF94" i="36"/>
  <c r="AJ94" i="36" s="1"/>
  <c r="AF93" i="36"/>
  <c r="AJ93" i="36" s="1"/>
  <c r="AI93" i="36"/>
  <c r="AI92" i="36"/>
  <c r="AF92" i="36"/>
  <c r="AJ92" i="36" s="1"/>
  <c r="AI91" i="36"/>
  <c r="AF91" i="36"/>
  <c r="AJ91" i="36" s="1"/>
  <c r="AF90" i="36"/>
  <c r="AJ90" i="36" s="1"/>
  <c r="AI88" i="36"/>
  <c r="AF88" i="36"/>
  <c r="AJ88" i="36" s="1"/>
  <c r="AI86" i="36"/>
  <c r="AF86" i="36"/>
  <c r="AJ86" i="36" s="1"/>
  <c r="AI85" i="36"/>
  <c r="AF85" i="36"/>
  <c r="AJ85" i="36" s="1"/>
  <c r="AF84" i="36"/>
  <c r="AJ84" i="36" s="1"/>
  <c r="AI83" i="36"/>
  <c r="AF83" i="36"/>
  <c r="AJ83" i="36" s="1"/>
  <c r="AI82" i="36"/>
  <c r="AF82" i="36"/>
  <c r="AJ82" i="36" s="1"/>
  <c r="AI81" i="36"/>
  <c r="AF81" i="36"/>
  <c r="AJ81" i="36" s="1"/>
  <c r="AI80" i="36"/>
  <c r="AF80" i="36"/>
  <c r="AJ80" i="36" s="1"/>
  <c r="AI78" i="36"/>
  <c r="AF78" i="36"/>
  <c r="AJ78" i="36" s="1"/>
  <c r="AI77" i="36"/>
  <c r="AF77" i="36"/>
  <c r="AJ77" i="36" s="1"/>
  <c r="AI76" i="36"/>
  <c r="AF76" i="36"/>
  <c r="AJ76" i="36" s="1"/>
  <c r="AF75" i="36"/>
  <c r="AJ75" i="36" s="1"/>
  <c r="AI73" i="36"/>
  <c r="AF73" i="36"/>
  <c r="AJ73" i="36" s="1"/>
  <c r="AI72" i="36"/>
  <c r="AF72" i="36"/>
  <c r="AJ72" i="36" s="1"/>
  <c r="AI70" i="36"/>
  <c r="AF70" i="36"/>
  <c r="AJ70" i="36" s="1"/>
  <c r="AI69" i="36"/>
  <c r="AF69" i="36"/>
  <c r="AJ69" i="36" s="1"/>
  <c r="AI68" i="36"/>
  <c r="AF68" i="36"/>
  <c r="AJ68" i="36" s="1"/>
  <c r="AI67" i="36"/>
  <c r="AF67" i="36"/>
  <c r="AJ67" i="36" s="1"/>
  <c r="AI66" i="36"/>
  <c r="AF66" i="36"/>
  <c r="AJ66" i="36" s="1"/>
  <c r="AI65" i="36"/>
  <c r="AF65" i="36"/>
  <c r="AJ65" i="36" s="1"/>
  <c r="AI64" i="36"/>
  <c r="AF64" i="36"/>
  <c r="AJ64" i="36" s="1"/>
  <c r="AI63" i="36"/>
  <c r="AF63" i="36"/>
  <c r="AJ63" i="36" s="1"/>
  <c r="AI62" i="36"/>
  <c r="AF62" i="36"/>
  <c r="AJ62" i="36" s="1"/>
  <c r="AI61" i="36"/>
  <c r="AI60" i="36"/>
  <c r="AF60" i="36"/>
  <c r="AJ60" i="36" s="1"/>
  <c r="AI59" i="36"/>
  <c r="AF59" i="36"/>
  <c r="AJ59" i="36" s="1"/>
  <c r="AI58" i="36"/>
  <c r="AF58" i="36"/>
  <c r="AJ58" i="36" s="1"/>
  <c r="AI57" i="36"/>
  <c r="AF57" i="36"/>
  <c r="AJ57" i="36" s="1"/>
  <c r="AI56" i="36"/>
  <c r="AI55" i="36"/>
  <c r="AF55" i="36"/>
  <c r="AJ55" i="36" s="1"/>
  <c r="AI54" i="36"/>
  <c r="AF54" i="36"/>
  <c r="AJ54" i="36" s="1"/>
  <c r="AI53" i="36"/>
  <c r="AF53" i="36"/>
  <c r="AJ53" i="36" s="1"/>
  <c r="AI52" i="36"/>
  <c r="AF52" i="36"/>
  <c r="AJ52" i="36" s="1"/>
  <c r="AI51" i="36"/>
  <c r="AF51" i="36"/>
  <c r="AJ51" i="36" s="1"/>
  <c r="AF50" i="36"/>
  <c r="AJ50" i="36" s="1"/>
  <c r="AI49" i="36"/>
  <c r="AF49" i="36"/>
  <c r="AJ49" i="36" s="1"/>
  <c r="AI48" i="36"/>
  <c r="AF48" i="36"/>
  <c r="AJ48" i="36" s="1"/>
  <c r="AI47" i="36"/>
  <c r="AF47" i="36"/>
  <c r="AJ47" i="36" s="1"/>
  <c r="AI46" i="36"/>
  <c r="AF46" i="36"/>
  <c r="AJ46" i="36" s="1"/>
  <c r="AI45" i="36"/>
  <c r="AF45" i="36"/>
  <c r="AJ45" i="36" s="1"/>
  <c r="AI44" i="36"/>
  <c r="AF44" i="36"/>
  <c r="AJ44" i="36" s="1"/>
  <c r="AI42" i="36"/>
  <c r="AF42" i="36"/>
  <c r="AJ42" i="36" s="1"/>
  <c r="AI40" i="36"/>
  <c r="AF40" i="36"/>
  <c r="AJ40" i="36" s="1"/>
  <c r="AI39" i="36"/>
  <c r="AF39" i="36"/>
  <c r="AJ39" i="36" s="1"/>
  <c r="AI38" i="36"/>
  <c r="AF38" i="36"/>
  <c r="AJ38" i="36" s="1"/>
  <c r="AI37" i="36"/>
  <c r="AF37" i="36"/>
  <c r="AJ37" i="36" s="1"/>
  <c r="AI36" i="36"/>
  <c r="AF36" i="36"/>
  <c r="AJ36" i="36" s="1"/>
  <c r="AI35" i="36"/>
  <c r="AF35" i="36"/>
  <c r="AJ35" i="36" s="1"/>
  <c r="AI34" i="36"/>
  <c r="AF34" i="36"/>
  <c r="AJ34" i="36" s="1"/>
  <c r="AI33" i="36"/>
  <c r="AF33" i="36"/>
  <c r="AJ33" i="36" s="1"/>
  <c r="AI32" i="36"/>
  <c r="AF32" i="36"/>
  <c r="AJ32" i="36" s="1"/>
  <c r="AI31" i="36"/>
  <c r="AF31" i="36"/>
  <c r="AJ31" i="36" s="1"/>
  <c r="AI30" i="36"/>
  <c r="AF30" i="36"/>
  <c r="AJ30" i="36" s="1"/>
  <c r="AI29" i="36"/>
  <c r="AF29" i="36"/>
  <c r="AJ29" i="36" s="1"/>
  <c r="AJ28" i="36"/>
  <c r="AI27" i="36"/>
  <c r="AF27" i="36"/>
  <c r="AJ27" i="36" s="1"/>
  <c r="AJ26" i="36"/>
  <c r="AF25" i="36"/>
  <c r="AJ25" i="36" s="1"/>
  <c r="AI25" i="36"/>
  <c r="AI24" i="36"/>
  <c r="AI23" i="36"/>
  <c r="AF23" i="36"/>
  <c r="AJ23" i="36" s="1"/>
  <c r="AI22" i="36"/>
  <c r="AI20" i="36"/>
  <c r="AF20" i="36"/>
  <c r="AJ20" i="36" s="1"/>
  <c r="AI19" i="36"/>
  <c r="AF19" i="36"/>
  <c r="AJ19" i="36" s="1"/>
  <c r="T281" i="36"/>
  <c r="AI17" i="36"/>
  <c r="AF17" i="36"/>
  <c r="AJ17" i="36" s="1"/>
  <c r="AI16" i="36"/>
  <c r="S280" i="36"/>
  <c r="AF15" i="36"/>
  <c r="AJ15" i="36" s="1"/>
  <c r="AI14" i="36"/>
  <c r="AF14" i="36"/>
  <c r="AJ14" i="36" s="1"/>
  <c r="AI13" i="36"/>
  <c r="AF13" i="36"/>
  <c r="AJ13" i="36" s="1"/>
  <c r="AI12" i="36"/>
  <c r="AF12" i="36"/>
  <c r="AJ12" i="36" s="1"/>
  <c r="AI11" i="36"/>
  <c r="AF11" i="36"/>
  <c r="AJ11" i="36" s="1"/>
  <c r="AI10" i="36"/>
  <c r="AF10" i="36"/>
  <c r="AJ10" i="36" s="1"/>
  <c r="AI9" i="36"/>
  <c r="AF9" i="36"/>
  <c r="AJ9" i="36" s="1"/>
  <c r="AI8" i="36"/>
  <c r="AF8" i="36"/>
  <c r="AJ8" i="36" s="1"/>
  <c r="AI7" i="36"/>
  <c r="AF7" i="36"/>
  <c r="AJ7" i="36" s="1"/>
  <c r="AI6" i="36"/>
  <c r="Z280" i="36"/>
  <c r="AI5" i="36"/>
  <c r="AF5" i="36"/>
  <c r="AJ5" i="36" s="1"/>
  <c r="AI4" i="36"/>
  <c r="AF4" i="36"/>
  <c r="AJ4" i="36" s="1"/>
  <c r="AI3" i="36"/>
  <c r="AF3" i="36"/>
  <c r="AJ3" i="36" s="1"/>
  <c r="AI2" i="36"/>
  <c r="AB285" i="35"/>
  <c r="T285" i="35"/>
  <c r="S285" i="35"/>
  <c r="AQ284" i="35"/>
  <c r="AN284" i="35"/>
  <c r="AR284" i="35" s="1"/>
  <c r="AQ283" i="35"/>
  <c r="AN283" i="35"/>
  <c r="AR283" i="35" s="1"/>
  <c r="AQ282" i="35"/>
  <c r="AN282" i="35"/>
  <c r="AR282" i="35" s="1"/>
  <c r="AQ281" i="35"/>
  <c r="AN281" i="35"/>
  <c r="AR281" i="35" s="1"/>
  <c r="AQ280" i="35"/>
  <c r="AN280" i="35"/>
  <c r="AR280" i="35" s="1"/>
  <c r="AQ274" i="35"/>
  <c r="AN274" i="35"/>
  <c r="AR274" i="35" s="1"/>
  <c r="AQ273" i="35"/>
  <c r="AN273" i="35"/>
  <c r="AR273" i="35" s="1"/>
  <c r="AQ272" i="35"/>
  <c r="AN272" i="35"/>
  <c r="AR272" i="35" s="1"/>
  <c r="AQ271" i="35"/>
  <c r="AN271" i="35"/>
  <c r="AR271" i="35" s="1"/>
  <c r="AQ270" i="35"/>
  <c r="AN270" i="35"/>
  <c r="AR270" i="35" s="1"/>
  <c r="AQ269" i="35"/>
  <c r="AN269" i="35"/>
  <c r="AR269" i="35" s="1"/>
  <c r="AQ268" i="35"/>
  <c r="AN268" i="35"/>
  <c r="AR268" i="35" s="1"/>
  <c r="AQ267" i="35"/>
  <c r="AN267" i="35"/>
  <c r="AR267" i="35" s="1"/>
  <c r="AQ266" i="35"/>
  <c r="AN266" i="35"/>
  <c r="AR266" i="35" s="1"/>
  <c r="AQ265" i="35"/>
  <c r="AN265" i="35"/>
  <c r="AR265" i="35" s="1"/>
  <c r="AQ264" i="35"/>
  <c r="AN264" i="35"/>
  <c r="AR264" i="35" s="1"/>
  <c r="AQ263" i="35"/>
  <c r="AN263" i="35"/>
  <c r="AR263" i="35" s="1"/>
  <c r="AQ262" i="35"/>
  <c r="AN262" i="35"/>
  <c r="AR262" i="35" s="1"/>
  <c r="AQ261" i="35"/>
  <c r="AN261" i="35"/>
  <c r="AR261" i="35" s="1"/>
  <c r="AQ260" i="35"/>
  <c r="AN260" i="35"/>
  <c r="AR260" i="35" s="1"/>
  <c r="AQ259" i="35"/>
  <c r="AN259" i="35"/>
  <c r="AR259" i="35" s="1"/>
  <c r="AQ258" i="35"/>
  <c r="AN258" i="35"/>
  <c r="AR258" i="35" s="1"/>
  <c r="AQ257" i="35"/>
  <c r="AN257" i="35"/>
  <c r="AR257" i="35" s="1"/>
  <c r="AQ256" i="35"/>
  <c r="AN256" i="35"/>
  <c r="AR256" i="35" s="1"/>
  <c r="AQ255" i="35"/>
  <c r="AN255" i="35"/>
  <c r="AR255" i="35" s="1"/>
  <c r="AQ254" i="35"/>
  <c r="AN254" i="35"/>
  <c r="AR254" i="35" s="1"/>
  <c r="AQ253" i="35"/>
  <c r="AN253" i="35"/>
  <c r="AR253" i="35" s="1"/>
  <c r="AQ252" i="35"/>
  <c r="AN252" i="35"/>
  <c r="AR252" i="35" s="1"/>
  <c r="AQ251" i="35"/>
  <c r="AN251" i="35"/>
  <c r="AR251" i="35" s="1"/>
  <c r="AQ250" i="35"/>
  <c r="AN250" i="35"/>
  <c r="AR250" i="35" s="1"/>
  <c r="AQ249" i="35"/>
  <c r="AN249" i="35"/>
  <c r="AR249" i="35" s="1"/>
  <c r="AQ248" i="35"/>
  <c r="AN248" i="35"/>
  <c r="AR248" i="35" s="1"/>
  <c r="AQ247" i="35"/>
  <c r="AN247" i="35"/>
  <c r="AR247" i="35" s="1"/>
  <c r="AQ246" i="35"/>
  <c r="AN246" i="35"/>
  <c r="AR246" i="35" s="1"/>
  <c r="AQ245" i="35"/>
  <c r="AN245" i="35"/>
  <c r="AR245" i="35" s="1"/>
  <c r="AQ244" i="35"/>
  <c r="AN244" i="35"/>
  <c r="AR244" i="35" s="1"/>
  <c r="AQ243" i="35"/>
  <c r="AN243" i="35"/>
  <c r="AR243" i="35" s="1"/>
  <c r="AQ242" i="35"/>
  <c r="AN242" i="35"/>
  <c r="AR242" i="35" s="1"/>
  <c r="AQ241" i="35"/>
  <c r="AN241" i="35"/>
  <c r="AR241" i="35" s="1"/>
  <c r="AQ240" i="35"/>
  <c r="AN240" i="35"/>
  <c r="AR240" i="35" s="1"/>
  <c r="AQ239" i="35"/>
  <c r="AN239" i="35"/>
  <c r="AR239" i="35" s="1"/>
  <c r="AQ238" i="35"/>
  <c r="AN238" i="35"/>
  <c r="AR238" i="35" s="1"/>
  <c r="AQ237" i="35"/>
  <c r="AN237" i="35"/>
  <c r="AR237" i="35" s="1"/>
  <c r="AQ236" i="35"/>
  <c r="AN236" i="35"/>
  <c r="AR236" i="35" s="1"/>
  <c r="AQ235" i="35"/>
  <c r="AN235" i="35"/>
  <c r="AR235" i="35" s="1"/>
  <c r="AQ234" i="35"/>
  <c r="AN234" i="35"/>
  <c r="AR234" i="35" s="1"/>
  <c r="AQ233" i="35"/>
  <c r="AN233" i="35"/>
  <c r="AR233" i="35" s="1"/>
  <c r="AQ232" i="35"/>
  <c r="AN232" i="35"/>
  <c r="AR232" i="35" s="1"/>
  <c r="AQ231" i="35"/>
  <c r="AN231" i="35"/>
  <c r="AR231" i="35" s="1"/>
  <c r="AQ230" i="35"/>
  <c r="AN230" i="35"/>
  <c r="AR230" i="35" s="1"/>
  <c r="AQ229" i="35"/>
  <c r="AN229" i="35"/>
  <c r="AR229" i="35" s="1"/>
  <c r="AQ228" i="35"/>
  <c r="AN228" i="35"/>
  <c r="AR228" i="35" s="1"/>
  <c r="AQ227" i="35"/>
  <c r="AN227" i="35"/>
  <c r="AR227" i="35" s="1"/>
  <c r="AQ226" i="35"/>
  <c r="AN226" i="35"/>
  <c r="AR226" i="35" s="1"/>
  <c r="AQ225" i="35"/>
  <c r="AN225" i="35"/>
  <c r="AR225" i="35" s="1"/>
  <c r="AQ224" i="35"/>
  <c r="AN224" i="35"/>
  <c r="AR224" i="35" s="1"/>
  <c r="AQ223" i="35"/>
  <c r="AN223" i="35"/>
  <c r="AR223" i="35" s="1"/>
  <c r="AQ222" i="35"/>
  <c r="AN222" i="35"/>
  <c r="AR222" i="35" s="1"/>
  <c r="AQ221" i="35"/>
  <c r="AN221" i="35"/>
  <c r="AR221" i="35" s="1"/>
  <c r="AQ220" i="35"/>
  <c r="AN220" i="35"/>
  <c r="AR220" i="35" s="1"/>
  <c r="AQ219" i="35"/>
  <c r="AN219" i="35"/>
  <c r="AR219" i="35" s="1"/>
  <c r="AQ218" i="35"/>
  <c r="AN218" i="35"/>
  <c r="AR218" i="35" s="1"/>
  <c r="AQ217" i="35"/>
  <c r="AN217" i="35"/>
  <c r="AR217" i="35" s="1"/>
  <c r="AQ216" i="35"/>
  <c r="AN216" i="35"/>
  <c r="AR216" i="35" s="1"/>
  <c r="AQ215" i="35"/>
  <c r="AN215" i="35"/>
  <c r="AR215" i="35" s="1"/>
  <c r="AQ214" i="35"/>
  <c r="AN214" i="35"/>
  <c r="AR214" i="35" s="1"/>
  <c r="AQ213" i="35"/>
  <c r="AN213" i="35"/>
  <c r="AR213" i="35" s="1"/>
  <c r="AQ212" i="35"/>
  <c r="AN212" i="35"/>
  <c r="AR212" i="35" s="1"/>
  <c r="AQ211" i="35"/>
  <c r="AN211" i="35"/>
  <c r="AR211" i="35" s="1"/>
  <c r="AQ210" i="35"/>
  <c r="AN210" i="35"/>
  <c r="AR210" i="35" s="1"/>
  <c r="AQ209" i="35"/>
  <c r="AN209" i="35"/>
  <c r="AR209" i="35" s="1"/>
  <c r="AQ208" i="35"/>
  <c r="AN208" i="35"/>
  <c r="AR208" i="35" s="1"/>
  <c r="AQ207" i="35"/>
  <c r="AN207" i="35"/>
  <c r="AR207" i="35" s="1"/>
  <c r="AQ206" i="35"/>
  <c r="AN206" i="35"/>
  <c r="AR206" i="35" s="1"/>
  <c r="AQ205" i="35"/>
  <c r="AN205" i="35"/>
  <c r="AR205" i="35" s="1"/>
  <c r="AQ204" i="35"/>
  <c r="AN204" i="35"/>
  <c r="AR204" i="35" s="1"/>
  <c r="AQ203" i="35"/>
  <c r="AN203" i="35"/>
  <c r="AR203" i="35" s="1"/>
  <c r="AQ202" i="35"/>
  <c r="AN202" i="35"/>
  <c r="AR202" i="35" s="1"/>
  <c r="AQ201" i="35"/>
  <c r="AN201" i="35"/>
  <c r="AR201" i="35" s="1"/>
  <c r="AQ200" i="35"/>
  <c r="AN200" i="35"/>
  <c r="AR200" i="35" s="1"/>
  <c r="AQ199" i="35"/>
  <c r="AN199" i="35"/>
  <c r="AR199" i="35" s="1"/>
  <c r="AQ198" i="35"/>
  <c r="AN198" i="35"/>
  <c r="AR198" i="35" s="1"/>
  <c r="AQ197" i="35"/>
  <c r="AN197" i="35"/>
  <c r="AR197" i="35" s="1"/>
  <c r="AQ196" i="35"/>
  <c r="AN196" i="35"/>
  <c r="AR196" i="35" s="1"/>
  <c r="AQ195" i="35"/>
  <c r="AN195" i="35"/>
  <c r="AR195" i="35" s="1"/>
  <c r="AQ194" i="35"/>
  <c r="AN194" i="35"/>
  <c r="AR194" i="35" s="1"/>
  <c r="AQ193" i="35"/>
  <c r="AN193" i="35"/>
  <c r="AR193" i="35" s="1"/>
  <c r="AQ192" i="35"/>
  <c r="AN192" i="35"/>
  <c r="AR192" i="35" s="1"/>
  <c r="AQ191" i="35"/>
  <c r="AN191" i="35"/>
  <c r="AR191" i="35" s="1"/>
  <c r="AQ190" i="35"/>
  <c r="AN190" i="35"/>
  <c r="AR190" i="35" s="1"/>
  <c r="AQ189" i="35"/>
  <c r="AN189" i="35"/>
  <c r="AR189" i="35" s="1"/>
  <c r="AQ188" i="35"/>
  <c r="AN188" i="35"/>
  <c r="AR188" i="35" s="1"/>
  <c r="AQ187" i="35"/>
  <c r="AN187" i="35"/>
  <c r="AR187" i="35" s="1"/>
  <c r="AQ186" i="35"/>
  <c r="AN186" i="35"/>
  <c r="AR186" i="35" s="1"/>
  <c r="AQ185" i="35"/>
  <c r="AN185" i="35"/>
  <c r="AR185" i="35" s="1"/>
  <c r="AQ184" i="35"/>
  <c r="AN184" i="35"/>
  <c r="AR184" i="35" s="1"/>
  <c r="AQ183" i="35"/>
  <c r="AN183" i="35"/>
  <c r="AR183" i="35" s="1"/>
  <c r="AQ182" i="35"/>
  <c r="AN182" i="35"/>
  <c r="AR182" i="35" s="1"/>
  <c r="AQ181" i="35"/>
  <c r="AN181" i="35"/>
  <c r="AR181" i="35" s="1"/>
  <c r="AQ180" i="35"/>
  <c r="AN180" i="35"/>
  <c r="AR180" i="35" s="1"/>
  <c r="AQ179" i="35"/>
  <c r="AN179" i="35"/>
  <c r="AR179" i="35" s="1"/>
  <c r="AQ178" i="35"/>
  <c r="AN178" i="35"/>
  <c r="AR178" i="35" s="1"/>
  <c r="AQ177" i="35"/>
  <c r="AN177" i="35"/>
  <c r="AR177" i="35" s="1"/>
  <c r="AQ176" i="35"/>
  <c r="AN176" i="35"/>
  <c r="AR176" i="35" s="1"/>
  <c r="AQ175" i="35"/>
  <c r="AN175" i="35"/>
  <c r="AR175" i="35" s="1"/>
  <c r="AQ174" i="35"/>
  <c r="AN174" i="35"/>
  <c r="AR174" i="35" s="1"/>
  <c r="AQ173" i="35"/>
  <c r="AN173" i="35"/>
  <c r="AR173" i="35" s="1"/>
  <c r="AQ172" i="35"/>
  <c r="AN172" i="35"/>
  <c r="AR172" i="35" s="1"/>
  <c r="AQ171" i="35"/>
  <c r="AN171" i="35"/>
  <c r="AR171" i="35" s="1"/>
  <c r="AQ170" i="35"/>
  <c r="AN170" i="35"/>
  <c r="AR170" i="35" s="1"/>
  <c r="AQ169" i="35"/>
  <c r="AN169" i="35"/>
  <c r="AR169" i="35" s="1"/>
  <c r="AQ168" i="35"/>
  <c r="AN168" i="35"/>
  <c r="AR168" i="35" s="1"/>
  <c r="AQ167" i="35"/>
  <c r="AN167" i="35"/>
  <c r="AR167" i="35" s="1"/>
  <c r="AQ166" i="35"/>
  <c r="AN166" i="35"/>
  <c r="AR166" i="35" s="1"/>
  <c r="AQ165" i="35"/>
  <c r="AN165" i="35"/>
  <c r="AR165" i="35" s="1"/>
  <c r="AQ164" i="35"/>
  <c r="AN164" i="35"/>
  <c r="AR164" i="35" s="1"/>
  <c r="AQ163" i="35"/>
  <c r="AN163" i="35"/>
  <c r="AR163" i="35" s="1"/>
  <c r="AQ162" i="35"/>
  <c r="AN162" i="35"/>
  <c r="AR162" i="35" s="1"/>
  <c r="AQ161" i="35"/>
  <c r="AN161" i="35"/>
  <c r="AR161" i="35" s="1"/>
  <c r="AQ160" i="35"/>
  <c r="AN160" i="35"/>
  <c r="AR160" i="35" s="1"/>
  <c r="AQ159" i="35"/>
  <c r="AN159" i="35"/>
  <c r="AR159" i="35" s="1"/>
  <c r="AQ158" i="35"/>
  <c r="AN158" i="35"/>
  <c r="AR158" i="35" s="1"/>
  <c r="AQ157" i="35"/>
  <c r="AN157" i="35"/>
  <c r="AR157" i="35" s="1"/>
  <c r="AQ156" i="35"/>
  <c r="AN156" i="35"/>
  <c r="AR156" i="35" s="1"/>
  <c r="AQ155" i="35"/>
  <c r="AN155" i="35"/>
  <c r="AR155" i="35" s="1"/>
  <c r="AQ154" i="35"/>
  <c r="AN154" i="35"/>
  <c r="AR154" i="35" s="1"/>
  <c r="AQ153" i="35"/>
  <c r="AN153" i="35"/>
  <c r="AR153" i="35" s="1"/>
  <c r="AQ152" i="35"/>
  <c r="AN152" i="35"/>
  <c r="AR152" i="35" s="1"/>
  <c r="AQ151" i="35"/>
  <c r="AN151" i="35"/>
  <c r="AR151" i="35" s="1"/>
  <c r="AQ150" i="35"/>
  <c r="AN150" i="35"/>
  <c r="AR150" i="35" s="1"/>
  <c r="AQ149" i="35"/>
  <c r="AN149" i="35"/>
  <c r="AR149" i="35" s="1"/>
  <c r="AQ148" i="35"/>
  <c r="AN148" i="35"/>
  <c r="AR148" i="35" s="1"/>
  <c r="AQ147" i="35"/>
  <c r="AN147" i="35"/>
  <c r="AR147" i="35" s="1"/>
  <c r="AQ146" i="35"/>
  <c r="AN146" i="35"/>
  <c r="AR146" i="35" s="1"/>
  <c r="AQ145" i="35"/>
  <c r="AN145" i="35"/>
  <c r="AR145" i="35" s="1"/>
  <c r="AQ144" i="35"/>
  <c r="AN144" i="35"/>
  <c r="AR144" i="35" s="1"/>
  <c r="AQ143" i="35"/>
  <c r="AN143" i="35"/>
  <c r="AR143" i="35" s="1"/>
  <c r="AQ142" i="35"/>
  <c r="AN142" i="35"/>
  <c r="AR142" i="35" s="1"/>
  <c r="AQ141" i="35"/>
  <c r="AN141" i="35"/>
  <c r="AR141" i="35" s="1"/>
  <c r="AQ140" i="35"/>
  <c r="AN140" i="35"/>
  <c r="AR140" i="35" s="1"/>
  <c r="AQ139" i="35"/>
  <c r="AN139" i="35"/>
  <c r="AR139" i="35" s="1"/>
  <c r="AQ138" i="35"/>
  <c r="AN138" i="35"/>
  <c r="AR138" i="35" s="1"/>
  <c r="AQ137" i="35"/>
  <c r="AN137" i="35"/>
  <c r="AR137" i="35" s="1"/>
  <c r="AQ136" i="35"/>
  <c r="AN136" i="35"/>
  <c r="AR136" i="35" s="1"/>
  <c r="AQ135" i="35"/>
  <c r="AN135" i="35"/>
  <c r="AR135" i="35" s="1"/>
  <c r="AQ134" i="35"/>
  <c r="AN134" i="35"/>
  <c r="AR134" i="35" s="1"/>
  <c r="AQ133" i="35"/>
  <c r="AN133" i="35"/>
  <c r="AR133" i="35" s="1"/>
  <c r="AQ132" i="35"/>
  <c r="AN132" i="35"/>
  <c r="AR132" i="35" s="1"/>
  <c r="AQ131" i="35"/>
  <c r="AN131" i="35"/>
  <c r="AR131" i="35" s="1"/>
  <c r="AQ130" i="35"/>
  <c r="AN130" i="35"/>
  <c r="AR130" i="35" s="1"/>
  <c r="AQ121" i="35"/>
  <c r="AN121" i="35"/>
  <c r="AR121" i="35" s="1"/>
  <c r="AQ120" i="35"/>
  <c r="AN120" i="35"/>
  <c r="AR120" i="35" s="1"/>
  <c r="AQ119" i="35"/>
  <c r="AN119" i="35"/>
  <c r="AR119" i="35" s="1"/>
  <c r="AQ118" i="35"/>
  <c r="AN118" i="35"/>
  <c r="AR118" i="35" s="1"/>
  <c r="AQ117" i="35"/>
  <c r="AN117" i="35"/>
  <c r="AR117" i="35" s="1"/>
  <c r="AQ116" i="35"/>
  <c r="AN116" i="35"/>
  <c r="AR116" i="35" s="1"/>
  <c r="AQ115" i="35"/>
  <c r="AN115" i="35"/>
  <c r="AR115" i="35" s="1"/>
  <c r="AQ114" i="35"/>
  <c r="AN114" i="35"/>
  <c r="AR114" i="35" s="1"/>
  <c r="AQ113" i="35"/>
  <c r="AN113" i="35"/>
  <c r="AR113" i="35" s="1"/>
  <c r="AQ112" i="35"/>
  <c r="AN112" i="35"/>
  <c r="AR112" i="35" s="1"/>
  <c r="AQ111" i="35"/>
  <c r="AN111" i="35"/>
  <c r="AR111" i="35" s="1"/>
  <c r="AQ110" i="35"/>
  <c r="AN110" i="35"/>
  <c r="AR110" i="35" s="1"/>
  <c r="AQ109" i="35"/>
  <c r="AN109" i="35"/>
  <c r="AR109" i="35" s="1"/>
  <c r="AQ108" i="35"/>
  <c r="AN108" i="35"/>
  <c r="AR108" i="35" s="1"/>
  <c r="AQ107" i="35"/>
  <c r="AN107" i="35"/>
  <c r="AR107" i="35" s="1"/>
  <c r="AQ106" i="35"/>
  <c r="AN106" i="35"/>
  <c r="AR106" i="35" s="1"/>
  <c r="AQ105" i="35"/>
  <c r="AN105" i="35"/>
  <c r="AR105" i="35" s="1"/>
  <c r="AQ104" i="35"/>
  <c r="AN104" i="35"/>
  <c r="AR104" i="35" s="1"/>
  <c r="AQ103" i="35"/>
  <c r="AN103" i="35"/>
  <c r="AR103" i="35" s="1"/>
  <c r="AQ102" i="35"/>
  <c r="AN102" i="35"/>
  <c r="AR102" i="35" s="1"/>
  <c r="AQ101" i="35"/>
  <c r="AN101" i="35"/>
  <c r="AR101" i="35" s="1"/>
  <c r="AQ100" i="35"/>
  <c r="AN100" i="35"/>
  <c r="AR100" i="35" s="1"/>
  <c r="AQ99" i="35"/>
  <c r="AN99" i="35"/>
  <c r="AR99" i="35" s="1"/>
  <c r="AQ97" i="35"/>
  <c r="AN97" i="35"/>
  <c r="AR97" i="35" s="1"/>
  <c r="AQ96" i="35"/>
  <c r="AN96" i="35"/>
  <c r="AR96" i="35" s="1"/>
  <c r="AQ95" i="35"/>
  <c r="AN95" i="35"/>
  <c r="AR95" i="35" s="1"/>
  <c r="AN94" i="35"/>
  <c r="AR94" i="35" s="1"/>
  <c r="AQ94" i="35"/>
  <c r="AQ93" i="35"/>
  <c r="AN93" i="35"/>
  <c r="AR93" i="35" s="1"/>
  <c r="AQ92" i="35"/>
  <c r="AN92" i="35"/>
  <c r="AR92" i="35" s="1"/>
  <c r="AQ91" i="35"/>
  <c r="AN91" i="35"/>
  <c r="AR91" i="35" s="1"/>
  <c r="AQ90" i="35"/>
  <c r="AN90" i="35"/>
  <c r="AR90" i="35" s="1"/>
  <c r="AQ89" i="35"/>
  <c r="AN89" i="35"/>
  <c r="AR89" i="35" s="1"/>
  <c r="AQ88" i="35"/>
  <c r="AN88" i="35"/>
  <c r="AR88" i="35" s="1"/>
  <c r="AQ87" i="35"/>
  <c r="AN87" i="35"/>
  <c r="AR87" i="35" s="1"/>
  <c r="AQ86" i="35"/>
  <c r="AN86" i="35"/>
  <c r="AR86" i="35" s="1"/>
  <c r="AQ84" i="35"/>
  <c r="AN84" i="35"/>
  <c r="AR84" i="35" s="1"/>
  <c r="AQ83" i="35"/>
  <c r="AN83" i="35"/>
  <c r="AR83" i="35" s="1"/>
  <c r="AQ82" i="35"/>
  <c r="AN82" i="35"/>
  <c r="AR82" i="35" s="1"/>
  <c r="AQ81" i="35"/>
  <c r="AN81" i="35"/>
  <c r="AR81" i="35" s="1"/>
  <c r="AQ80" i="35"/>
  <c r="AN80" i="35"/>
  <c r="AR80" i="35" s="1"/>
  <c r="AQ79" i="35"/>
  <c r="AN79" i="35"/>
  <c r="AR79" i="35" s="1"/>
  <c r="AQ78" i="35"/>
  <c r="AN78" i="35"/>
  <c r="AR78" i="35" s="1"/>
  <c r="AQ77" i="35"/>
  <c r="AN77" i="35"/>
  <c r="AR77" i="35" s="1"/>
  <c r="AQ76" i="35"/>
  <c r="AN76" i="35"/>
  <c r="AR76" i="35" s="1"/>
  <c r="AQ75" i="35"/>
  <c r="AN75" i="35"/>
  <c r="AR75" i="35" s="1"/>
  <c r="AQ74" i="35"/>
  <c r="AN74" i="35"/>
  <c r="AR74" i="35" s="1"/>
  <c r="AQ73" i="35"/>
  <c r="AN73" i="35"/>
  <c r="AR73" i="35" s="1"/>
  <c r="AQ71" i="35"/>
  <c r="AN71" i="35"/>
  <c r="AR71" i="35" s="1"/>
  <c r="AQ70" i="35"/>
  <c r="AN70" i="35"/>
  <c r="AR70" i="35" s="1"/>
  <c r="AQ69" i="35"/>
  <c r="AN69" i="35"/>
  <c r="AR69" i="35" s="1"/>
  <c r="AQ68" i="35"/>
  <c r="AN68" i="35"/>
  <c r="AR68" i="35" s="1"/>
  <c r="AQ67" i="35"/>
  <c r="AN67" i="35"/>
  <c r="AR67" i="35" s="1"/>
  <c r="AQ66" i="35"/>
  <c r="AN66" i="35"/>
  <c r="AR66" i="35" s="1"/>
  <c r="AQ65" i="35"/>
  <c r="AN65" i="35"/>
  <c r="AR65" i="35" s="1"/>
  <c r="AQ64" i="35"/>
  <c r="AN64" i="35"/>
  <c r="AR64" i="35" s="1"/>
  <c r="AQ63" i="35"/>
  <c r="AN63" i="35"/>
  <c r="AR63" i="35" s="1"/>
  <c r="AQ62" i="35"/>
  <c r="AN62" i="35"/>
  <c r="AR62" i="35" s="1"/>
  <c r="AQ60" i="35"/>
  <c r="AN60" i="35"/>
  <c r="AR60" i="35" s="1"/>
  <c r="AQ59" i="35"/>
  <c r="AN59" i="35"/>
  <c r="AR59" i="35" s="1"/>
  <c r="AQ58" i="35"/>
  <c r="AN58" i="35"/>
  <c r="AR58" i="35" s="1"/>
  <c r="AQ57" i="35"/>
  <c r="AN57" i="35"/>
  <c r="AR57" i="35" s="1"/>
  <c r="AQ56" i="35"/>
  <c r="AN56" i="35"/>
  <c r="AR56" i="35" s="1"/>
  <c r="AQ55" i="35"/>
  <c r="AN55" i="35"/>
  <c r="AR55" i="35" s="1"/>
  <c r="AQ53" i="35"/>
  <c r="AN53" i="35"/>
  <c r="AR53" i="35" s="1"/>
  <c r="AQ52" i="35"/>
  <c r="AN52" i="35"/>
  <c r="AR52" i="35" s="1"/>
  <c r="AQ51" i="35"/>
  <c r="AN51" i="35"/>
  <c r="AR51" i="35" s="1"/>
  <c r="AQ50" i="35"/>
  <c r="AN50" i="35"/>
  <c r="AR50" i="35" s="1"/>
  <c r="AQ49" i="35"/>
  <c r="AN49" i="35"/>
  <c r="AR49" i="35" s="1"/>
  <c r="AQ48" i="35"/>
  <c r="AN48" i="35"/>
  <c r="AR48" i="35" s="1"/>
  <c r="AQ47" i="35"/>
  <c r="AN47" i="35"/>
  <c r="AR47" i="35" s="1"/>
  <c r="AQ46" i="35"/>
  <c r="AN46" i="35"/>
  <c r="AR46" i="35" s="1"/>
  <c r="AQ45" i="35"/>
  <c r="AN45" i="35"/>
  <c r="AR45" i="35" s="1"/>
  <c r="AQ44" i="35"/>
  <c r="AN44" i="35"/>
  <c r="AR44" i="35" s="1"/>
  <c r="AQ43" i="35"/>
  <c r="AN43" i="35"/>
  <c r="AR43" i="35" s="1"/>
  <c r="AQ42" i="35"/>
  <c r="AN42" i="35"/>
  <c r="AR42" i="35" s="1"/>
  <c r="AQ41" i="35"/>
  <c r="AN41" i="35"/>
  <c r="AR41" i="35" s="1"/>
  <c r="AQ40" i="35"/>
  <c r="AN40" i="35"/>
  <c r="AR40" i="35" s="1"/>
  <c r="AQ39" i="35"/>
  <c r="AN39" i="35"/>
  <c r="AR39" i="35" s="1"/>
  <c r="AQ38" i="35"/>
  <c r="AN37" i="35"/>
  <c r="AR37" i="35" s="1"/>
  <c r="AQ36" i="35"/>
  <c r="AN36" i="35"/>
  <c r="AR36" i="35" s="1"/>
  <c r="AQ35" i="35"/>
  <c r="AN35" i="35"/>
  <c r="AR35" i="35" s="1"/>
  <c r="AQ34" i="35"/>
  <c r="AN34" i="35"/>
  <c r="AR34" i="35" s="1"/>
  <c r="AQ33" i="35"/>
  <c r="AN33" i="35"/>
  <c r="AR33" i="35" s="1"/>
  <c r="AQ32" i="35"/>
  <c r="AN32" i="35"/>
  <c r="AR32" i="35" s="1"/>
  <c r="AQ31" i="35"/>
  <c r="AQ30" i="35"/>
  <c r="AN30" i="35"/>
  <c r="AR30" i="35" s="1"/>
  <c r="AQ29" i="35"/>
  <c r="AN29" i="35"/>
  <c r="AR29" i="35" s="1"/>
  <c r="AQ28" i="35"/>
  <c r="AN28" i="35"/>
  <c r="AR28" i="35" s="1"/>
  <c r="AQ27" i="35"/>
  <c r="AN27" i="35"/>
  <c r="AR27" i="35" s="1"/>
  <c r="AQ26" i="35"/>
  <c r="AN26" i="35"/>
  <c r="AR26" i="35" s="1"/>
  <c r="AQ25" i="35"/>
  <c r="AN25" i="35"/>
  <c r="AR25" i="35" s="1"/>
  <c r="AN23" i="35"/>
  <c r="AR23" i="35" s="1"/>
  <c r="AQ23" i="35"/>
  <c r="AQ22" i="35"/>
  <c r="AN22" i="35"/>
  <c r="AR22" i="35" s="1"/>
  <c r="AQ21" i="35"/>
  <c r="AQ20" i="35"/>
  <c r="AF285" i="35"/>
  <c r="AD285" i="35"/>
  <c r="AQ19" i="35"/>
  <c r="AN19" i="35"/>
  <c r="AR19" i="35" s="1"/>
  <c r="AQ18" i="35"/>
  <c r="AN18" i="35"/>
  <c r="AR18" i="35" s="1"/>
  <c r="AQ17" i="35"/>
  <c r="AN17" i="35"/>
  <c r="AR17" i="35" s="1"/>
  <c r="AQ16" i="35"/>
  <c r="AN16" i="35"/>
  <c r="AR16" i="35" s="1"/>
  <c r="AQ15" i="35"/>
  <c r="AN15" i="35"/>
  <c r="AR15" i="35" s="1"/>
  <c r="AQ14" i="35"/>
  <c r="AN14" i="35"/>
  <c r="AR14" i="35" s="1"/>
  <c r="AQ13" i="35"/>
  <c r="AN13" i="35"/>
  <c r="AR13" i="35" s="1"/>
  <c r="AQ12" i="35"/>
  <c r="AN12" i="35"/>
  <c r="AR12" i="35" s="1"/>
  <c r="AQ11" i="35"/>
  <c r="AN11" i="35"/>
  <c r="AR11" i="35" s="1"/>
  <c r="AQ10" i="35"/>
  <c r="AN10" i="35"/>
  <c r="AR10" i="35" s="1"/>
  <c r="AQ9" i="35"/>
  <c r="AN9" i="35"/>
  <c r="AR9" i="35" s="1"/>
  <c r="AQ8" i="35"/>
  <c r="AN8" i="35"/>
  <c r="AR8" i="35" s="1"/>
  <c r="AN6" i="35"/>
  <c r="AR6" i="35" s="1"/>
  <c r="AQ5" i="35"/>
  <c r="AN5" i="35"/>
  <c r="AR5" i="35" s="1"/>
  <c r="AQ4" i="35"/>
  <c r="AN4" i="35"/>
  <c r="AR4" i="35" s="1"/>
  <c r="AN3" i="35"/>
  <c r="AR3" i="35" s="1"/>
  <c r="AF56" i="36" l="1"/>
  <c r="AJ56" i="36" s="1"/>
  <c r="T280" i="36"/>
  <c r="AB281" i="36"/>
  <c r="V280" i="36"/>
  <c r="V281" i="36"/>
  <c r="AF16" i="36"/>
  <c r="AJ16" i="36" s="1"/>
  <c r="AB280" i="36"/>
  <c r="AD280" i="36"/>
  <c r="AD281" i="36"/>
  <c r="X281" i="36"/>
  <c r="X280" i="36"/>
  <c r="AF18" i="36"/>
  <c r="AJ18" i="36" s="1"/>
  <c r="AF22" i="36"/>
  <c r="AJ22" i="36" s="1"/>
  <c r="AF79" i="36"/>
  <c r="AJ79" i="36" s="1"/>
  <c r="AF87" i="36"/>
  <c r="AJ87" i="36" s="1"/>
  <c r="AI87" i="36"/>
  <c r="AF174" i="36"/>
  <c r="AJ174" i="36" s="1"/>
  <c r="AI174" i="36"/>
  <c r="AF2" i="36"/>
  <c r="AJ2" i="36" s="1"/>
  <c r="AF6" i="36"/>
  <c r="AJ6" i="36" s="1"/>
  <c r="AI18" i="36"/>
  <c r="AF41" i="36"/>
  <c r="AJ41" i="36" s="1"/>
  <c r="AI41" i="36"/>
  <c r="AF43" i="36"/>
  <c r="AJ43" i="36" s="1"/>
  <c r="AI43" i="36"/>
  <c r="AI75" i="36"/>
  <c r="AI84" i="36"/>
  <c r="AF113" i="36"/>
  <c r="AJ113" i="36" s="1"/>
  <c r="AF127" i="36"/>
  <c r="AJ127" i="36" s="1"/>
  <c r="AI127" i="36"/>
  <c r="AI142" i="36"/>
  <c r="AF147" i="36"/>
  <c r="AJ147" i="36" s="1"/>
  <c r="Z281" i="36"/>
  <c r="AI50" i="36"/>
  <c r="AI79" i="36"/>
  <c r="AI90" i="36"/>
  <c r="AI99" i="36"/>
  <c r="AI113" i="36"/>
  <c r="AI134" i="36"/>
  <c r="AI147" i="36"/>
  <c r="AQ24" i="35"/>
  <c r="AN24" i="35"/>
  <c r="AR24" i="35" s="1"/>
  <c r="AQ6" i="35"/>
  <c r="AJ285" i="35"/>
  <c r="AN38" i="35"/>
  <c r="AR38" i="35" s="1"/>
  <c r="AQ54" i="35"/>
  <c r="AH285" i="35"/>
  <c r="AQ3" i="35"/>
  <c r="AQ37" i="35"/>
  <c r="AQ85" i="35"/>
  <c r="AN85" i="35"/>
  <c r="AR85" i="35" s="1"/>
  <c r="AQ98" i="35"/>
  <c r="AN98" i="35"/>
  <c r="AR98" i="35" s="1"/>
  <c r="AN20" i="35"/>
  <c r="AR20" i="35" s="1"/>
  <c r="AN31" i="35"/>
  <c r="AR31" i="35" s="1"/>
  <c r="AQ61" i="35"/>
  <c r="AN61" i="35"/>
  <c r="AR61" i="35" s="1"/>
  <c r="AL285" i="35"/>
  <c r="AN54" i="35"/>
  <c r="AR54" i="35" s="1"/>
  <c r="AI281" i="36" l="1"/>
  <c r="AI280" i="36"/>
  <c r="AF281" i="36"/>
  <c r="AF280" i="36"/>
  <c r="AQ285" i="35"/>
  <c r="AR285" i="35"/>
  <c r="AN285" i="35"/>
  <c r="AJ281" i="36" l="1"/>
  <c r="AJ280" i="36"/>
</calcChain>
</file>

<file path=xl/sharedStrings.xml><?xml version="1.0" encoding="utf-8"?>
<sst xmlns="http://schemas.openxmlformats.org/spreadsheetml/2006/main" count="2632" uniqueCount="1823">
  <si>
    <t>Sr#</t>
  </si>
  <si>
    <t>ROLL NO</t>
  </si>
  <si>
    <t>Name</t>
  </si>
  <si>
    <t>F/Name</t>
  </si>
  <si>
    <t>Mobile No</t>
  </si>
  <si>
    <t>Received</t>
  </si>
  <si>
    <t>Date and Receipt</t>
  </si>
  <si>
    <t>Remaining</t>
  </si>
  <si>
    <t>Board Exam Fee</t>
  </si>
  <si>
    <t>Package</t>
  </si>
  <si>
    <t>1st Installment</t>
  </si>
  <si>
    <t>2nd Installment</t>
  </si>
  <si>
    <t>3rd Installment</t>
  </si>
  <si>
    <t>4th Installment</t>
  </si>
  <si>
    <t>5th Installment</t>
  </si>
  <si>
    <t>CONCESSION</t>
  </si>
  <si>
    <t>FINE</t>
  </si>
  <si>
    <t>paid Amount</t>
  </si>
  <si>
    <t>Noor Fatima</t>
  </si>
  <si>
    <t>Sajjad Hussain</t>
  </si>
  <si>
    <t>Munir Ahmad</t>
  </si>
  <si>
    <t>Shoukat Ali</t>
  </si>
  <si>
    <t>Maqbool Ahmad</t>
  </si>
  <si>
    <t>Pervaiz Akhtar</t>
  </si>
  <si>
    <t>RECEIVED</t>
  </si>
  <si>
    <t>RECEIVEABLE</t>
  </si>
  <si>
    <t>6th Installment</t>
  </si>
  <si>
    <t>GROUP</t>
  </si>
  <si>
    <t>ADDRESS</t>
  </si>
  <si>
    <t>REFERENCE</t>
  </si>
  <si>
    <t>SCHOOL</t>
  </si>
  <si>
    <t xml:space="preserve"> </t>
  </si>
  <si>
    <t>142/10.r</t>
  </si>
  <si>
    <t>self</t>
  </si>
  <si>
    <t>117/10.r</t>
  </si>
  <si>
    <t>M Saleem</t>
  </si>
  <si>
    <t>M Rasheed</t>
  </si>
  <si>
    <t>Jahanian</t>
  </si>
  <si>
    <t>Jalalabad</t>
  </si>
  <si>
    <t>Ics1</t>
  </si>
  <si>
    <t>Ics2</t>
  </si>
  <si>
    <t>103/10.r</t>
  </si>
  <si>
    <t>M Sami</t>
  </si>
  <si>
    <t>M Saeed</t>
  </si>
  <si>
    <t>Azhar Hussain</t>
  </si>
  <si>
    <t>M Suleman</t>
  </si>
  <si>
    <t>Altaf Hussain</t>
  </si>
  <si>
    <t>adnan sb</t>
  </si>
  <si>
    <t>9th MARKS</t>
  </si>
  <si>
    <t>Laurel School</t>
  </si>
  <si>
    <t>Mam Fizza</t>
  </si>
  <si>
    <t>Compart</t>
  </si>
  <si>
    <t>Irfan sb</t>
  </si>
  <si>
    <t>Humaira Rasheed</t>
  </si>
  <si>
    <t>03038820252</t>
  </si>
  <si>
    <t>Sohail Ansar</t>
  </si>
  <si>
    <t>M a</t>
  </si>
  <si>
    <t>15-1-24</t>
  </si>
  <si>
    <t>8000/15-2-25</t>
  </si>
  <si>
    <t>12500/26-7-25</t>
  </si>
  <si>
    <t>5000/26-10-25</t>
  </si>
  <si>
    <t>5000/26-12-25</t>
  </si>
  <si>
    <t>5750/5-6-25</t>
  </si>
  <si>
    <t>5750/5-12-25</t>
  </si>
  <si>
    <t>5750/5-3-25</t>
  </si>
  <si>
    <t>5000/3/7/2025</t>
  </si>
  <si>
    <t>fee pending slip send saleem sb</t>
  </si>
  <si>
    <t>16-10-25/5000</t>
  </si>
  <si>
    <t>16-12-25/5000</t>
  </si>
  <si>
    <t>16-2-25/5000</t>
  </si>
  <si>
    <t>16-4-25/7000</t>
  </si>
  <si>
    <t>Maryam Sohail</t>
  </si>
  <si>
    <t>5000 advace registrion free a gai</t>
  </si>
  <si>
    <t>M Rafi</t>
  </si>
  <si>
    <t>rimsha</t>
  </si>
  <si>
    <t>15-3-26</t>
  </si>
  <si>
    <t>10000/10-2-26</t>
  </si>
  <si>
    <t>15000/28-2-26</t>
  </si>
  <si>
    <t>Student Name</t>
  </si>
  <si>
    <t>Alishba Mehak</t>
  </si>
  <si>
    <t>03017502560/03235417874</t>
  </si>
  <si>
    <t>7346/16-4-26</t>
  </si>
  <si>
    <t>Zainab Rasheed</t>
  </si>
  <si>
    <t>Mehreen Fatima</t>
  </si>
  <si>
    <t>03029288430/03296450785</t>
  </si>
  <si>
    <t>Rabia Bibi</t>
  </si>
  <si>
    <t>03045066561/03067424844</t>
  </si>
  <si>
    <t>Saim Ali</t>
  </si>
  <si>
    <t>Safarish Ali</t>
  </si>
  <si>
    <t>compart</t>
  </si>
  <si>
    <t>03047042726/03047442587</t>
  </si>
  <si>
    <t>chak no 147/10.r</t>
  </si>
  <si>
    <t>Ghs 149/10.r</t>
  </si>
  <si>
    <t>Irfan Bajwa</t>
  </si>
  <si>
    <t>7321/15-4-26</t>
  </si>
  <si>
    <t>Girls High School</t>
  </si>
  <si>
    <t>irfan aslam sb</t>
  </si>
  <si>
    <t>Chak No 105/10.R</t>
  </si>
  <si>
    <t>Girls High 105/10.r</t>
  </si>
  <si>
    <t>Saf</t>
  </si>
  <si>
    <t>Shaheen school Jahania</t>
  </si>
  <si>
    <t>usman sb teacher</t>
  </si>
  <si>
    <t>Chak No 158/10.r</t>
  </si>
  <si>
    <t>Ayesha Sajjad</t>
  </si>
  <si>
    <t>03226531186/03096293410</t>
  </si>
  <si>
    <t>Chak No 143/10.R</t>
  </si>
  <si>
    <t>Chak No 144/10.r</t>
  </si>
  <si>
    <t>7315/15-4-26</t>
  </si>
  <si>
    <t>Bilal Sb superior</t>
  </si>
  <si>
    <t>Haleema Ismaeel</t>
  </si>
  <si>
    <t>M Ismaeel</t>
  </si>
  <si>
    <t>030405377996/03047036961</t>
  </si>
  <si>
    <t>Chak No 112/10.r</t>
  </si>
  <si>
    <t>7331/15-4-26</t>
  </si>
  <si>
    <t>03067312510/03044227781</t>
  </si>
  <si>
    <t>Hafsa Shoukat</t>
  </si>
  <si>
    <t>03269693882/03337655910</t>
  </si>
  <si>
    <t>Chak No 110/10.r</t>
  </si>
  <si>
    <t>mam Fizza</t>
  </si>
  <si>
    <t>7339/16-4-26</t>
  </si>
  <si>
    <t>Laiba Noreen</t>
  </si>
  <si>
    <t>03255810465/0302260640024</t>
  </si>
  <si>
    <t>Anfal Saleem</t>
  </si>
  <si>
    <t>03076635450</t>
  </si>
  <si>
    <t>Chak No 107/10.r</t>
  </si>
  <si>
    <t>Girls High School Jahania</t>
  </si>
  <si>
    <t>7355/17-4-26</t>
  </si>
  <si>
    <t>Rania Naveed</t>
  </si>
  <si>
    <t>Naveed Iqbal</t>
  </si>
  <si>
    <t>03036913187/03045493769</t>
  </si>
  <si>
    <t>abdull rehman</t>
  </si>
  <si>
    <t>7356/17-4-26</t>
  </si>
  <si>
    <t>Anamta Faheem</t>
  </si>
  <si>
    <t>M Faheem Anwar</t>
  </si>
  <si>
    <t>03006242408</t>
  </si>
  <si>
    <t>Islamic School</t>
  </si>
  <si>
    <t>Nimra Faheem</t>
  </si>
  <si>
    <t>Faheem Akhtar</t>
  </si>
  <si>
    <t>03025865176/03221078002</t>
  </si>
  <si>
    <t>maitla chowk</t>
  </si>
  <si>
    <t>03166621556</t>
  </si>
  <si>
    <t>Chak no 121/10.r</t>
  </si>
  <si>
    <t>Girls High 121/10.r</t>
  </si>
  <si>
    <t>7345/17-4-26</t>
  </si>
  <si>
    <t>7352/17-4-26</t>
  </si>
  <si>
    <t>7349/17-4-26</t>
  </si>
  <si>
    <t>Ahamd Raza</t>
  </si>
  <si>
    <t>03044517202/03467192900</t>
  </si>
  <si>
    <t>Boys High School Jahania</t>
  </si>
  <si>
    <t>kashif ab</t>
  </si>
  <si>
    <t>Sana Maqbool</t>
  </si>
  <si>
    <t>03038023110</t>
  </si>
  <si>
    <t xml:space="preserve">Aliza </t>
  </si>
  <si>
    <t>M Saim</t>
  </si>
  <si>
    <t>M Binyamin</t>
  </si>
  <si>
    <t>03019204070/03037395224</t>
  </si>
  <si>
    <t>allama iqbal</t>
  </si>
  <si>
    <t>zia ullah</t>
  </si>
  <si>
    <t>7360/18-4-26</t>
  </si>
  <si>
    <t>Sidra Tul Muntaha</t>
  </si>
  <si>
    <t>Ghulam Hussain</t>
  </si>
  <si>
    <t>03004284573/03708086430</t>
  </si>
  <si>
    <t>Raheem Shah</t>
  </si>
  <si>
    <t>Allama Iqbal</t>
  </si>
  <si>
    <t>Fozia Bibi</t>
  </si>
  <si>
    <t>03211058156</t>
  </si>
  <si>
    <t>Girls High 335/w.b</t>
  </si>
  <si>
    <t>6715/22-4-26</t>
  </si>
  <si>
    <t>7371/22-4-26</t>
  </si>
  <si>
    <t xml:space="preserve">Ali Shan </t>
  </si>
  <si>
    <t>156/w.b</t>
  </si>
  <si>
    <t>Ghs 335/w.b</t>
  </si>
  <si>
    <t>Self</t>
  </si>
  <si>
    <t>7370/22-4-26</t>
  </si>
  <si>
    <t>M Shahzad</t>
  </si>
  <si>
    <t>M Anwar</t>
  </si>
  <si>
    <t>03016753516/03106909228</t>
  </si>
  <si>
    <t>7372/22-4-26</t>
  </si>
  <si>
    <t>Maryam Akbar</t>
  </si>
  <si>
    <t>M Akbar</t>
  </si>
  <si>
    <t>03067933035/03146208290</t>
  </si>
  <si>
    <t>Chak No 156/w.b</t>
  </si>
  <si>
    <t>6711/20-4-26</t>
  </si>
  <si>
    <t>Ayesha Aslam</t>
  </si>
  <si>
    <t>M Aslam</t>
  </si>
  <si>
    <t>03277805771/03037460675</t>
  </si>
  <si>
    <t>chak no 107/10.r</t>
  </si>
  <si>
    <t>adnan walha</t>
  </si>
  <si>
    <t>Shazia Iqbal</t>
  </si>
  <si>
    <t>M Iqbal</t>
  </si>
  <si>
    <t>03045493967</t>
  </si>
  <si>
    <t>Chak no 151/10.r</t>
  </si>
  <si>
    <t>liaqat sohail</t>
  </si>
  <si>
    <t>Arslan Ahmad</t>
  </si>
  <si>
    <t>Manzoor Hussain</t>
  </si>
  <si>
    <t>03017821136/03447150305</t>
  </si>
  <si>
    <t>jahanian</t>
  </si>
  <si>
    <t>umair Rafiq</t>
  </si>
  <si>
    <t>7354/18-4-26</t>
  </si>
  <si>
    <t>M Rehan</t>
  </si>
  <si>
    <t>M Ikram</t>
  </si>
  <si>
    <t>chowk Maitla</t>
  </si>
  <si>
    <t>Shaheen School</t>
  </si>
  <si>
    <t>6709/20-4-26</t>
  </si>
  <si>
    <t>7366/21-4-26</t>
  </si>
  <si>
    <t xml:space="preserve">M Fahad Ibrar </t>
  </si>
  <si>
    <t>M Ibrar Hussain</t>
  </si>
  <si>
    <t>7361/18-4-26</t>
  </si>
  <si>
    <t>7357/18-4-26</t>
  </si>
  <si>
    <t>7353/18-4-26</t>
  </si>
  <si>
    <t>7351/17-4-26</t>
  </si>
  <si>
    <t>7347/17-4-26</t>
  </si>
  <si>
    <t>7338/16-4-26</t>
  </si>
  <si>
    <t>Bushra Bibi</t>
  </si>
  <si>
    <t>Faqeer Hussain</t>
  </si>
  <si>
    <t>Dit</t>
  </si>
  <si>
    <t>03012711901</t>
  </si>
  <si>
    <t>millat Hussain</t>
  </si>
  <si>
    <t>Asghar saja Sab</t>
  </si>
  <si>
    <t>7375/23-4-26</t>
  </si>
  <si>
    <t xml:space="preserve">Hamna </t>
  </si>
  <si>
    <t>03067825361/032763311030</t>
  </si>
  <si>
    <t>behrki</t>
  </si>
  <si>
    <t>misali pul 14</t>
  </si>
  <si>
    <t>zaid sb</t>
  </si>
  <si>
    <t>7377/23-4-26</t>
  </si>
  <si>
    <t>Raheem Ahmad</t>
  </si>
  <si>
    <t>Shama Muhammad</t>
  </si>
  <si>
    <t>03099988700/03071458393</t>
  </si>
  <si>
    <t xml:space="preserve"> Govt High Jahanian </t>
  </si>
  <si>
    <t>Irfan SB Superior</t>
  </si>
  <si>
    <t>7376/23-4-26</t>
  </si>
  <si>
    <t xml:space="preserve">M Hisam </t>
  </si>
  <si>
    <t>Tajamal Hussain</t>
  </si>
  <si>
    <t>03054767126</t>
  </si>
  <si>
    <t>3t</t>
  </si>
  <si>
    <t>Acdomy Multan</t>
  </si>
  <si>
    <t>7379/24-4-26</t>
  </si>
  <si>
    <t>Zainab Ashiq</t>
  </si>
  <si>
    <t>M Ashiq</t>
  </si>
  <si>
    <t>03036724528</t>
  </si>
  <si>
    <t>112/10.r</t>
  </si>
  <si>
    <t>7380/27-4-26</t>
  </si>
  <si>
    <t>Khadija Rashid</t>
  </si>
  <si>
    <t>Rashid Ali</t>
  </si>
  <si>
    <t>03458100671</t>
  </si>
  <si>
    <t>121/10.r</t>
  </si>
  <si>
    <t>Girls High School 121/10.r</t>
  </si>
  <si>
    <t>7384/15-04-26</t>
  </si>
  <si>
    <t>Rida Anwaar</t>
  </si>
  <si>
    <t>Anwaar Hussain</t>
  </si>
  <si>
    <t>03038829298</t>
  </si>
  <si>
    <t>168/w.b</t>
  </si>
  <si>
    <t>7383/27-4-26</t>
  </si>
  <si>
    <t xml:space="preserve">Afshan Ramzan </t>
  </si>
  <si>
    <t>M Ramzan</t>
  </si>
  <si>
    <t>03012875386</t>
  </si>
  <si>
    <t>124/10.r</t>
  </si>
  <si>
    <t>lital angal 121/10.r</t>
  </si>
  <si>
    <t>7378/27-4-26</t>
  </si>
  <si>
    <t>Mehwish Akhtar</t>
  </si>
  <si>
    <t>M Akhtar Hussain</t>
  </si>
  <si>
    <t>03037223062/03089255409</t>
  </si>
  <si>
    <t>chok mitla</t>
  </si>
  <si>
    <t>Girls High School 158/w.b</t>
  </si>
  <si>
    <t>7385/27-4-26</t>
  </si>
  <si>
    <t xml:space="preserve">Areeba </t>
  </si>
  <si>
    <t>03082887183/03056961262</t>
  </si>
  <si>
    <t>110/10.r</t>
  </si>
  <si>
    <t>Peer Bakhsh</t>
  </si>
  <si>
    <t>Girls High School 110/10.r</t>
  </si>
  <si>
    <t>03019615102/03011493103</t>
  </si>
  <si>
    <t>Eman Fatima</t>
  </si>
  <si>
    <t>03075291028/03070933215</t>
  </si>
  <si>
    <t>115/10.r</t>
  </si>
  <si>
    <t xml:space="preserve">Amir Saleem </t>
  </si>
  <si>
    <t>Meerab Sajjad</t>
  </si>
  <si>
    <t>03249141130/03075071870</t>
  </si>
  <si>
    <t>jalalabad</t>
  </si>
  <si>
    <t>hira sajjad</t>
  </si>
  <si>
    <t>7393/28-8-26</t>
  </si>
  <si>
    <t>7392/28-4-26</t>
  </si>
  <si>
    <t>Asia Batool</t>
  </si>
  <si>
    <t>Arshid Ali</t>
  </si>
  <si>
    <t>03070070236/03033306223</t>
  </si>
  <si>
    <t>136/10.r</t>
  </si>
  <si>
    <t>sajid sb</t>
  </si>
  <si>
    <t>7391/28-4-26</t>
  </si>
  <si>
    <t>Aman Gill</t>
  </si>
  <si>
    <t>Gull Zaman</t>
  </si>
  <si>
    <t>03457042717/03089365549</t>
  </si>
  <si>
    <t>55/10.r</t>
  </si>
  <si>
    <t>7390/28-4-26</t>
  </si>
  <si>
    <t xml:space="preserve">M Islam </t>
  </si>
  <si>
    <t>03003966175/0341116866662</t>
  </si>
  <si>
    <t>chak azeem</t>
  </si>
  <si>
    <t>National Educter tibba</t>
  </si>
  <si>
    <t>bashir sb superior</t>
  </si>
  <si>
    <t>7394/29-4-26</t>
  </si>
  <si>
    <t>Muneeba Hussain</t>
  </si>
  <si>
    <t>03003966175/03411168662</t>
  </si>
  <si>
    <t>national educater tibba</t>
  </si>
  <si>
    <t>7395/29-4-26</t>
  </si>
  <si>
    <t>Taram Raza</t>
  </si>
  <si>
    <t>Nadeem Raza</t>
  </si>
  <si>
    <t>03004541840/03057831614</t>
  </si>
  <si>
    <t>7398/29-4-26</t>
  </si>
  <si>
    <t>M Ahmad Nawaz</t>
  </si>
  <si>
    <t>Haq Nawaz</t>
  </si>
  <si>
    <t>03004969130/03457987132</t>
  </si>
  <si>
    <t>6717/2-5-26</t>
  </si>
  <si>
    <t>Tehreem Fatima</t>
  </si>
  <si>
    <t>Akhtar Hussain</t>
  </si>
  <si>
    <t>03023578046</t>
  </si>
  <si>
    <t>142/w.b</t>
  </si>
  <si>
    <t>arostugarte</t>
  </si>
  <si>
    <t>mam farwa</t>
  </si>
  <si>
    <t>6720/2-5-26</t>
  </si>
  <si>
    <t>Hafsa Karamat</t>
  </si>
  <si>
    <t>Karamat Ali</t>
  </si>
  <si>
    <t>03197196880/03000900058</t>
  </si>
  <si>
    <t>108/10.r</t>
  </si>
  <si>
    <t>umar farooq sb</t>
  </si>
  <si>
    <t>Khadim Hussain</t>
  </si>
  <si>
    <t>335/w.b</t>
  </si>
  <si>
    <t>ishaq sb</t>
  </si>
  <si>
    <t>6723/2-5-26</t>
  </si>
  <si>
    <t>Muhammad Sahar</t>
  </si>
  <si>
    <t>03088792160/0310700903</t>
  </si>
  <si>
    <t>6721/2-5-26</t>
  </si>
  <si>
    <t>Shah Nawaz</t>
  </si>
  <si>
    <t>03004970678/03337656035</t>
  </si>
  <si>
    <t>rabia nawaz</t>
  </si>
  <si>
    <t>6718/2-5-26</t>
  </si>
  <si>
    <t>M Zahid Hussain</t>
  </si>
  <si>
    <t>Dildar Hussain</t>
  </si>
  <si>
    <t>Non Medical</t>
  </si>
  <si>
    <t>03368483551/0307</t>
  </si>
  <si>
    <t xml:space="preserve">Mahnoor </t>
  </si>
  <si>
    <t>03017947032/03317186259</t>
  </si>
  <si>
    <t>259/w.b</t>
  </si>
  <si>
    <t>bloomfield</t>
  </si>
  <si>
    <t>6731/4-5-26</t>
  </si>
  <si>
    <t>Anfal Naveed</t>
  </si>
  <si>
    <t>M Naveed</t>
  </si>
  <si>
    <t>03039253110/03232111302</t>
  </si>
  <si>
    <t>Girls High 110/10.r</t>
  </si>
  <si>
    <t>mohsin mushtaq</t>
  </si>
  <si>
    <t>6730/4-5-26</t>
  </si>
  <si>
    <t>6719/2-5-26</t>
  </si>
  <si>
    <t>Amna Javed</t>
  </si>
  <si>
    <t>M Javed Shahzad</t>
  </si>
  <si>
    <t>03008356005/03076894785</t>
  </si>
  <si>
    <t>125/10.r</t>
  </si>
  <si>
    <t>islamiya thatha</t>
  </si>
  <si>
    <t>6732/4-5-26</t>
  </si>
  <si>
    <t>Maryam Shahzadi</t>
  </si>
  <si>
    <t>Shafqat Ali</t>
  </si>
  <si>
    <t>03051794121/03437940212</t>
  </si>
  <si>
    <t>Rehmat Villas</t>
  </si>
  <si>
    <t>6735/4-5-26</t>
  </si>
  <si>
    <t>M Bilal Rasool</t>
  </si>
  <si>
    <t>Ghulam Rasool</t>
  </si>
  <si>
    <t>03030745153/03474980042</t>
  </si>
  <si>
    <t>153/10.r</t>
  </si>
  <si>
    <t>millat School</t>
  </si>
  <si>
    <t>6736/4-5-26</t>
  </si>
  <si>
    <t>Noor Ullah Khan</t>
  </si>
  <si>
    <t>Shaista Khan</t>
  </si>
  <si>
    <t>03015962685/03076308383</t>
  </si>
  <si>
    <t>106/10.r</t>
  </si>
  <si>
    <t>6737/4-5-26</t>
  </si>
  <si>
    <t>sajid sb superior</t>
  </si>
  <si>
    <t>M Nadeem</t>
  </si>
  <si>
    <t>03030861232/03276113513</t>
  </si>
  <si>
    <t>pef jahanian</t>
  </si>
  <si>
    <t>6724/4-5-26</t>
  </si>
  <si>
    <t>Fizza Batool</t>
  </si>
  <si>
    <t>03023838265</t>
  </si>
  <si>
    <t>6740/4-5-26</t>
  </si>
  <si>
    <t>M Arslan</t>
  </si>
  <si>
    <t>Abid Hussain</t>
  </si>
  <si>
    <t>03037399573</t>
  </si>
  <si>
    <t>150/10.r</t>
  </si>
  <si>
    <t>islamiya school</t>
  </si>
  <si>
    <t>6716/30-4-26</t>
  </si>
  <si>
    <t xml:space="preserve">Sana Zaman </t>
  </si>
  <si>
    <t>M Zaman</t>
  </si>
  <si>
    <t>03038697495</t>
  </si>
  <si>
    <t>6741/5-5-26</t>
  </si>
  <si>
    <t>M Ayyan Shaheen</t>
  </si>
  <si>
    <t>Sajid Shaheen</t>
  </si>
  <si>
    <t>03027525350/03205676180</t>
  </si>
  <si>
    <t>Zunaira Mushtaq</t>
  </si>
  <si>
    <t>Mushtaq Ahmad</t>
  </si>
  <si>
    <t>6742/05-5-26</t>
  </si>
  <si>
    <t xml:space="preserve">Asma Javed </t>
  </si>
  <si>
    <t>Javed Iqbal</t>
  </si>
  <si>
    <t>6739/4-5-26</t>
  </si>
  <si>
    <t>03008081530/03201298560</t>
  </si>
  <si>
    <t>akhtar cheema sb</t>
  </si>
  <si>
    <t>03061613121/</t>
  </si>
  <si>
    <t>6752/5-5-26</t>
  </si>
  <si>
    <t>Aneesa Rafique</t>
  </si>
  <si>
    <t>M Rafique</t>
  </si>
  <si>
    <t>0308705259/03046861398</t>
  </si>
  <si>
    <t>138/10.r</t>
  </si>
  <si>
    <t>Girls High 138/10.r</t>
  </si>
  <si>
    <t>Tasleem Baber</t>
  </si>
  <si>
    <t>Fatima Babar</t>
  </si>
  <si>
    <t>6751/5-5-26</t>
  </si>
  <si>
    <t>Abdullah Sagheer</t>
  </si>
  <si>
    <t>Sagheer Ahmad</t>
  </si>
  <si>
    <t>03052429316/3012970416</t>
  </si>
  <si>
    <t>6753/5-5-26</t>
  </si>
  <si>
    <t>Ayesha Gulzar</t>
  </si>
  <si>
    <t>Gulzar Hussain</t>
  </si>
  <si>
    <t>03468085713/03197393026</t>
  </si>
  <si>
    <t>6755/5-5-26</t>
  </si>
  <si>
    <t>03075101304/03067855005</t>
  </si>
  <si>
    <t>110/10.R</t>
  </si>
  <si>
    <t>Khadija Bano</t>
  </si>
  <si>
    <t>M Yasin</t>
  </si>
  <si>
    <t>03036774821/03449690628</t>
  </si>
  <si>
    <t>kashif kharal</t>
  </si>
  <si>
    <t>6759/6-5-26</t>
  </si>
  <si>
    <t xml:space="preserve">M Ahtisham </t>
  </si>
  <si>
    <t>03017567458/030887651040</t>
  </si>
  <si>
    <t>sadia batool</t>
  </si>
  <si>
    <t>6761/6-5-26</t>
  </si>
  <si>
    <t>Abeeha Maham</t>
  </si>
  <si>
    <t>M Ishfaq</t>
  </si>
  <si>
    <t>03006894066</t>
  </si>
  <si>
    <t>6767/6-5-26</t>
  </si>
  <si>
    <t>M Tasawar</t>
  </si>
  <si>
    <t xml:space="preserve">Komal </t>
  </si>
  <si>
    <t xml:space="preserve">M Ajmal </t>
  </si>
  <si>
    <t>03036645519</t>
  </si>
  <si>
    <t xml:space="preserve">Siyab Hakim </t>
  </si>
  <si>
    <t>Hakim Ali</t>
  </si>
  <si>
    <t>6775/7-5-26</t>
  </si>
  <si>
    <t>6773/7-5-26</t>
  </si>
  <si>
    <t>akhtar cheema sb part 1&amp;2 15000+15000</t>
  </si>
  <si>
    <t>Mishal Fatima</t>
  </si>
  <si>
    <t>Amjad Nazir</t>
  </si>
  <si>
    <t>03072180281/03073449135</t>
  </si>
  <si>
    <t>03017752821/03241806118</t>
  </si>
  <si>
    <t>mein por</t>
  </si>
  <si>
    <t>6776/7-5-26</t>
  </si>
  <si>
    <t>Misbah Jaffar</t>
  </si>
  <si>
    <t>Jaffar Ali</t>
  </si>
  <si>
    <t>03014544579/03237324611</t>
  </si>
  <si>
    <t>151/10.r</t>
  </si>
  <si>
    <t>jamil sb</t>
  </si>
  <si>
    <t>6777/7-5-26</t>
  </si>
  <si>
    <t>Abu Bakar Saddique</t>
  </si>
  <si>
    <t>Abdull Ghafar</t>
  </si>
  <si>
    <t>03091107984</t>
  </si>
  <si>
    <t>6778/8-5-26</t>
  </si>
  <si>
    <t xml:space="preserve">Sidra Khalid </t>
  </si>
  <si>
    <t>Khalid Mehmood</t>
  </si>
  <si>
    <t>bypass</t>
  </si>
  <si>
    <t>6782/8-5-26</t>
  </si>
  <si>
    <t>Samia Saleem</t>
  </si>
  <si>
    <t>Nadeem Khand SB</t>
  </si>
  <si>
    <t>Fatima Abbas</t>
  </si>
  <si>
    <t>Ghulam Abbas</t>
  </si>
  <si>
    <t>6789/11-5-26</t>
  </si>
  <si>
    <t>6791/11-5-26</t>
  </si>
  <si>
    <t>Ayesha Mujhid</t>
  </si>
  <si>
    <t>Mujhid Hussain</t>
  </si>
  <si>
    <t>03000280158</t>
  </si>
  <si>
    <t>eductor school</t>
  </si>
  <si>
    <t>misbha shoukat</t>
  </si>
  <si>
    <t>6784/9-5-26</t>
  </si>
  <si>
    <t>Fiza Tahir</t>
  </si>
  <si>
    <t>M Tahir</t>
  </si>
  <si>
    <t>6788/11-5-26</t>
  </si>
  <si>
    <t>M Arshid</t>
  </si>
  <si>
    <t>03005827115</t>
  </si>
  <si>
    <t>6790/11-5-26</t>
  </si>
  <si>
    <t>Nadeem khand sb</t>
  </si>
  <si>
    <t>M Awais</t>
  </si>
  <si>
    <t>03022114386/03436170121</t>
  </si>
  <si>
    <t>03017411554/0337189537</t>
  </si>
  <si>
    <t>6787/9-5-26</t>
  </si>
  <si>
    <t xml:space="preserve">Fahad </t>
  </si>
  <si>
    <t>M Shabir</t>
  </si>
  <si>
    <t>03237156312/03286507583</t>
  </si>
  <si>
    <t>liaqat ali</t>
  </si>
  <si>
    <t>6786/9-5-26</t>
  </si>
  <si>
    <t>Mehroz Fatima</t>
  </si>
  <si>
    <t>M Ishaq</t>
  </si>
  <si>
    <t>03005770698</t>
  </si>
  <si>
    <t>139/10.R</t>
  </si>
  <si>
    <t>Girls High 139/10.r</t>
  </si>
  <si>
    <t>MUSTAFA BLOCH SB</t>
  </si>
  <si>
    <t>761/11-5-26</t>
  </si>
  <si>
    <t>Aqsa Majeed</t>
  </si>
  <si>
    <t>Abdull Majeed</t>
  </si>
  <si>
    <t>03311472650/03095753507</t>
  </si>
  <si>
    <t>nadeen PN</t>
  </si>
  <si>
    <t>760/11-5-26</t>
  </si>
  <si>
    <t>Hamna Hanif</t>
  </si>
  <si>
    <t>M Hanif</t>
  </si>
  <si>
    <t>03311472650/03002082168</t>
  </si>
  <si>
    <t>759/11-5-26</t>
  </si>
  <si>
    <t>Maryam Abbas</t>
  </si>
  <si>
    <t>M Abbas</t>
  </si>
  <si>
    <t>6800/11-5-26</t>
  </si>
  <si>
    <t>Mazhar Iqbal</t>
  </si>
  <si>
    <t>6799/11-5-26</t>
  </si>
  <si>
    <t>6797/11-5-26</t>
  </si>
  <si>
    <t>Muneeb Rashid</t>
  </si>
  <si>
    <t>Rashid Naseem</t>
  </si>
  <si>
    <t>03028950232/03127830160</t>
  </si>
  <si>
    <t>Angal school 140/10.r</t>
  </si>
  <si>
    <t>03288827578/03027839940</t>
  </si>
  <si>
    <t>160/w.b</t>
  </si>
  <si>
    <t>Insha Amjad</t>
  </si>
  <si>
    <t>Amjad Ali</t>
  </si>
  <si>
    <t>03009738264</t>
  </si>
  <si>
    <t>the islamic school</t>
  </si>
  <si>
    <t>Nida Fatima</t>
  </si>
  <si>
    <t>Qaisar Mushtaq</t>
  </si>
  <si>
    <t>03204046587/03070059829</t>
  </si>
  <si>
    <t>110/10-r</t>
  </si>
  <si>
    <t>33504/13-5-26</t>
  </si>
  <si>
    <t>33507/13-5-26</t>
  </si>
  <si>
    <t>Ahmad Ali</t>
  </si>
  <si>
    <t>Allah Ditta</t>
  </si>
  <si>
    <t>03026552169/03064012973</t>
  </si>
  <si>
    <t>160/10.r</t>
  </si>
  <si>
    <t xml:space="preserve"> Govt High 160/w.b</t>
  </si>
  <si>
    <t>`</t>
  </si>
  <si>
    <t>Sabahat Abid</t>
  </si>
  <si>
    <t>Abid Ali</t>
  </si>
  <si>
    <t>03056583416</t>
  </si>
  <si>
    <t>ghulam haider</t>
  </si>
  <si>
    <t>33512/13-5-26</t>
  </si>
  <si>
    <t>Maria Nasir</t>
  </si>
  <si>
    <t>Nasir Ali</t>
  </si>
  <si>
    <t>03096303595/03457955121</t>
  </si>
  <si>
    <t>mam fiza</t>
  </si>
  <si>
    <t>33513/13-5-26</t>
  </si>
  <si>
    <t>Zurair Abbas</t>
  </si>
  <si>
    <t>Mohsin Abbas</t>
  </si>
  <si>
    <t>33539/14-5-26</t>
  </si>
  <si>
    <t>Adeeba Riaz</t>
  </si>
  <si>
    <t>M Riaz</t>
  </si>
  <si>
    <t>33527/14-5-26</t>
  </si>
  <si>
    <t>Mishlan Javed</t>
  </si>
  <si>
    <t>M Javed</t>
  </si>
  <si>
    <t>Shaista</t>
  </si>
  <si>
    <t xml:space="preserve"> M Younis</t>
  </si>
  <si>
    <t>03087391377/03033232758</t>
  </si>
  <si>
    <t>335/W.B</t>
  </si>
  <si>
    <t>27646/16-5-26</t>
  </si>
  <si>
    <t>Dua Fatima</t>
  </si>
  <si>
    <t>M Fiaz</t>
  </si>
  <si>
    <t>27681/18-5-26</t>
  </si>
  <si>
    <t>Shehzad Ahmad Khan</t>
  </si>
  <si>
    <t>Iqbal Ahmad Khan</t>
  </si>
  <si>
    <t>33519/14-5-26</t>
  </si>
  <si>
    <t>27671/18-5-26</t>
  </si>
  <si>
    <t>Ghulam Fareed</t>
  </si>
  <si>
    <t>27658/18-5-26</t>
  </si>
  <si>
    <t>03036423346/03197417959</t>
  </si>
  <si>
    <t>tibba</t>
  </si>
  <si>
    <t>the eudcator tibba</t>
  </si>
  <si>
    <t>03067889013</t>
  </si>
  <si>
    <t>109/10.r</t>
  </si>
  <si>
    <t xml:space="preserve">millat school </t>
  </si>
  <si>
    <t>03093131874/03219278789</t>
  </si>
  <si>
    <t>149/10.r</t>
  </si>
  <si>
    <t>03205683084/03288936981</t>
  </si>
  <si>
    <t>98/10.r</t>
  </si>
  <si>
    <t>03086697456</t>
  </si>
  <si>
    <t>118/w.b</t>
  </si>
  <si>
    <t>muslam school</t>
  </si>
  <si>
    <t>Hina bibi</t>
  </si>
  <si>
    <t xml:space="preserve">M Aslam </t>
  </si>
  <si>
    <t>03001199108</t>
  </si>
  <si>
    <t>the nisar school</t>
  </si>
  <si>
    <t>27812/21-5-26</t>
  </si>
  <si>
    <t xml:space="preserve">Asad Bari </t>
  </si>
  <si>
    <t>Khawar Bari</t>
  </si>
  <si>
    <t>03086336536/03023763833</t>
  </si>
  <si>
    <t>7382/27-4-26</t>
  </si>
  <si>
    <t>ME Super</t>
  </si>
  <si>
    <t>27820/1-6-26</t>
  </si>
  <si>
    <t>27819/1-6-26</t>
  </si>
  <si>
    <t xml:space="preserve">M Abdullah </t>
  </si>
  <si>
    <t>Abdull Basit</t>
  </si>
  <si>
    <t>27813/21-5-26</t>
  </si>
  <si>
    <t>Muneeb Tahir</t>
  </si>
  <si>
    <t>M Tahir Sadique</t>
  </si>
  <si>
    <t>27809/21-5-26</t>
  </si>
  <si>
    <t>03421888135</t>
  </si>
  <si>
    <t>Allied School</t>
  </si>
  <si>
    <t>Fatima Asghar</t>
  </si>
  <si>
    <t>Asghar Ali</t>
  </si>
  <si>
    <t>27823/1-6-26</t>
  </si>
  <si>
    <t>Anzeela Maheen</t>
  </si>
  <si>
    <t>Muhammad Ramzan</t>
  </si>
  <si>
    <t>03447376148/03052367988</t>
  </si>
  <si>
    <t>148/10.r</t>
  </si>
  <si>
    <t>6798/20-4-26</t>
  </si>
  <si>
    <t>7343/17-4-26</t>
  </si>
  <si>
    <t>Areeba Irfan</t>
  </si>
  <si>
    <t>Irfan Naveed</t>
  </si>
  <si>
    <t>03117385302/03041664334</t>
  </si>
  <si>
    <t>334/w.b</t>
  </si>
  <si>
    <t>27830/2-6-26</t>
  </si>
  <si>
    <t>Maria Shahzad</t>
  </si>
  <si>
    <t>Shahzad Anjam</t>
  </si>
  <si>
    <t>03223522851/03176563154</t>
  </si>
  <si>
    <t>27828/2-6-26</t>
  </si>
  <si>
    <t>Kashaf Maqsood</t>
  </si>
  <si>
    <t>Maqsood Ahmad</t>
  </si>
  <si>
    <t>03117957170/03406516847</t>
  </si>
  <si>
    <t>27825/2-6-26</t>
  </si>
  <si>
    <t>M Haseeb</t>
  </si>
  <si>
    <t>27827/2-6-26</t>
  </si>
  <si>
    <t>M Tayyab</t>
  </si>
  <si>
    <t>Nasir Khan</t>
  </si>
  <si>
    <t>03076391128/03444570052</t>
  </si>
  <si>
    <t>karam shah</t>
  </si>
  <si>
    <t>Muzamal Hussain</t>
  </si>
  <si>
    <t>03337844827</t>
  </si>
  <si>
    <t>27826/2-6-26</t>
  </si>
  <si>
    <t>M Zeshan</t>
  </si>
  <si>
    <t>M Azam</t>
  </si>
  <si>
    <t>03017400170/03457400170</t>
  </si>
  <si>
    <t>170/10.r</t>
  </si>
  <si>
    <t>27824/1-6-26</t>
  </si>
  <si>
    <t>M Ashrif</t>
  </si>
  <si>
    <t>27856/3-6-26</t>
  </si>
  <si>
    <t xml:space="preserve">M Farooq </t>
  </si>
  <si>
    <t>Hafiz Shafqat Rasool</t>
  </si>
  <si>
    <t>27849/3-6-26</t>
  </si>
  <si>
    <t>M Hammad</t>
  </si>
  <si>
    <t>Hafiz Sajjad Rasool</t>
  </si>
  <si>
    <t>27848/3-6-26</t>
  </si>
  <si>
    <t>Ahtisham Ul Haq</t>
  </si>
  <si>
    <t>27847/3-6-26</t>
  </si>
  <si>
    <t>03467905240</t>
  </si>
  <si>
    <t xml:space="preserve">M Waqas </t>
  </si>
  <si>
    <t>26258/4-6-26</t>
  </si>
  <si>
    <t>26249/4-6-26</t>
  </si>
  <si>
    <t>Yashfa Noor</t>
  </si>
  <si>
    <t>25170/9-6-26</t>
  </si>
  <si>
    <t>Alisha BiBI</t>
  </si>
  <si>
    <t>Abdull Rehman</t>
  </si>
  <si>
    <t>25120/9-6-26</t>
  </si>
  <si>
    <t>Ayesha bibi</t>
  </si>
  <si>
    <t>25119/9-6-25</t>
  </si>
  <si>
    <t>Ayesha Saddiue</t>
  </si>
  <si>
    <t>Asif ali</t>
  </si>
  <si>
    <t>25115/8-6-26</t>
  </si>
  <si>
    <t>24407/16-6-26</t>
  </si>
  <si>
    <t>24110/15-6-26</t>
  </si>
  <si>
    <t xml:space="preserve">Tania Riaz </t>
  </si>
  <si>
    <t>dit</t>
  </si>
  <si>
    <t>24413/15-6-25</t>
  </si>
  <si>
    <t>24415/16-6-26</t>
  </si>
  <si>
    <t>24417/16-6-26</t>
  </si>
  <si>
    <t xml:space="preserve">M Salman </t>
  </si>
  <si>
    <t>M Akram</t>
  </si>
  <si>
    <t>24418/16-6-26</t>
  </si>
  <si>
    <t>Mujahid Riaz</t>
  </si>
  <si>
    <t>Riaz Hussain</t>
  </si>
  <si>
    <t>27409/9-6-26</t>
  </si>
  <si>
    <t>Farah Batool</t>
  </si>
  <si>
    <t>M Shazaib</t>
  </si>
  <si>
    <t>27437/10-6-26</t>
  </si>
  <si>
    <t>Bushra Saleem</t>
  </si>
  <si>
    <t>27440/10-6-26</t>
  </si>
  <si>
    <t>27443/11-6-26</t>
  </si>
  <si>
    <t>27447/11-6-26</t>
  </si>
  <si>
    <t>27449/11-6-26</t>
  </si>
  <si>
    <t>Kalsoom Bibi</t>
  </si>
  <si>
    <t>27451/11-6-26</t>
  </si>
  <si>
    <t>27454/7-5-26</t>
  </si>
  <si>
    <t>Amna Andleeb</t>
  </si>
  <si>
    <t>Mehmood Ul Hassan</t>
  </si>
  <si>
    <t>27473/18-6-26</t>
  </si>
  <si>
    <t>27474/18-6-26</t>
  </si>
  <si>
    <t>Alina Tariq</t>
  </si>
  <si>
    <t>27476/18-6-26</t>
  </si>
  <si>
    <t>27471/17-6-26</t>
  </si>
  <si>
    <t>27556/15-6-26</t>
  </si>
  <si>
    <t>26273/8-6-26</t>
  </si>
  <si>
    <t>Asad Khaliq</t>
  </si>
  <si>
    <t>Abdull Khaliq</t>
  </si>
  <si>
    <t>27566/20-6-26</t>
  </si>
  <si>
    <t>03176646314/03458830049</t>
  </si>
  <si>
    <t>bashir shakir</t>
  </si>
  <si>
    <t>03027558542/03257348523</t>
  </si>
  <si>
    <t>142/10.R</t>
  </si>
  <si>
    <t>Misali School</t>
  </si>
  <si>
    <t>03017524409/03477040816</t>
  </si>
  <si>
    <t>lital Angal</t>
  </si>
  <si>
    <t>03009738670/03014634816</t>
  </si>
  <si>
    <t>Millat School</t>
  </si>
  <si>
    <t>03004370495</t>
  </si>
  <si>
    <t>03017109372/03091107572</t>
  </si>
  <si>
    <t>pakistan school</t>
  </si>
  <si>
    <t>03017109372</t>
  </si>
  <si>
    <t>03012084461</t>
  </si>
  <si>
    <t>140/10.r</t>
  </si>
  <si>
    <t>high school 138/10.r</t>
  </si>
  <si>
    <t>03090787121</t>
  </si>
  <si>
    <t>03356030423</t>
  </si>
  <si>
    <t>03056619663</t>
  </si>
  <si>
    <t>03064480425/03207343382</t>
  </si>
  <si>
    <t>03094543351</t>
  </si>
  <si>
    <t>03040825191/03001065622</t>
  </si>
  <si>
    <t>03068571474/03083339195</t>
  </si>
  <si>
    <t>Govt High SCHOOL tibba</t>
  </si>
  <si>
    <t>03017206706/03267508760</t>
  </si>
  <si>
    <t>160/W.B</t>
  </si>
  <si>
    <t>03023929992/03086313544</t>
  </si>
  <si>
    <t>Khansa Mehmood</t>
  </si>
  <si>
    <t>03017572340/03428981064</t>
  </si>
  <si>
    <t>Naeem Scince School</t>
  </si>
  <si>
    <t>27568/22-6-26</t>
  </si>
  <si>
    <t>ME PLus</t>
  </si>
  <si>
    <t>ME PLUS</t>
  </si>
  <si>
    <t>Zain Iqbal</t>
  </si>
  <si>
    <t>03195467661/03116316540</t>
  </si>
  <si>
    <t>raheem shah</t>
  </si>
  <si>
    <t>the nisar  school</t>
  </si>
  <si>
    <t>umar sb</t>
  </si>
  <si>
    <t>Ibrar Haider</t>
  </si>
  <si>
    <t>Munzoor Hussain</t>
  </si>
  <si>
    <t>03202535334/03087392334</t>
  </si>
  <si>
    <t>high school 335/w.b</t>
  </si>
  <si>
    <t>Laiba Naseem</t>
  </si>
  <si>
    <t>Naseem Khan</t>
  </si>
  <si>
    <t>03051606745/03469136745</t>
  </si>
  <si>
    <t>kot wala</t>
  </si>
  <si>
    <t>Kinza Shoukat</t>
  </si>
  <si>
    <t>03026923235/03072314799</t>
  </si>
  <si>
    <t xml:space="preserve">the national Eductor </t>
  </si>
  <si>
    <t>27574/22-6-26</t>
  </si>
  <si>
    <t>M Yameen</t>
  </si>
  <si>
    <t>03037263243/03058908122</t>
  </si>
  <si>
    <t>Iqra Islamic</t>
  </si>
  <si>
    <t>27571/23-6-26</t>
  </si>
  <si>
    <t>Shanza Jamshaid</t>
  </si>
  <si>
    <t>Jamshaid Ali</t>
  </si>
  <si>
    <t>03037487380</t>
  </si>
  <si>
    <t>Eman Ajmal Kayani</t>
  </si>
  <si>
    <t>M Ajmal khan Kayani</t>
  </si>
  <si>
    <t>03320764335</t>
  </si>
  <si>
    <t>27576/24-6-26</t>
  </si>
  <si>
    <t>Aqsa Shaban</t>
  </si>
  <si>
    <t>M Shaban</t>
  </si>
  <si>
    <t>03097431706</t>
  </si>
  <si>
    <t>alshamas school</t>
  </si>
  <si>
    <t>27577/24-6-26</t>
  </si>
  <si>
    <t>Khadija Liaqat</t>
  </si>
  <si>
    <t>Liaqat Ali</t>
  </si>
  <si>
    <t>03067767618/03173320927</t>
  </si>
  <si>
    <t>146/w.b</t>
  </si>
  <si>
    <t>nisar school</t>
  </si>
  <si>
    <t>27578/24-6-26</t>
  </si>
  <si>
    <t>Alishba Khadim</t>
  </si>
  <si>
    <t>03033130906/03196519595</t>
  </si>
  <si>
    <t>27582/24-6-26</t>
  </si>
  <si>
    <t>Ayesha Noor</t>
  </si>
  <si>
    <t>03126890106/03340306435</t>
  </si>
  <si>
    <t>27581/24-6-26</t>
  </si>
  <si>
    <t>Saeed Ahmad</t>
  </si>
  <si>
    <t>M Mateen Fazal</t>
  </si>
  <si>
    <t>Sajid Fazal</t>
  </si>
  <si>
    <t>27580/24-6-26</t>
  </si>
  <si>
    <t>Huda Noor</t>
  </si>
  <si>
    <t>27579/24-6-26</t>
  </si>
  <si>
    <t>27575/4-6-26</t>
  </si>
  <si>
    <t>27573/23-6-26</t>
  </si>
  <si>
    <t>Shabbir Atari</t>
  </si>
  <si>
    <t>M Aslam Atari</t>
  </si>
  <si>
    <t>27572/23-6-26</t>
  </si>
  <si>
    <t>Ishmal Ahtar</t>
  </si>
  <si>
    <t>Rana Ahtar Latif</t>
  </si>
  <si>
    <t>03003054123</t>
  </si>
  <si>
    <t>27584/29-6-26</t>
  </si>
  <si>
    <t xml:space="preserve">M Ali Hamza </t>
  </si>
  <si>
    <t>Sanaullah</t>
  </si>
  <si>
    <t>03005713151/03191923077</t>
  </si>
  <si>
    <t>Dps School</t>
  </si>
  <si>
    <t>27592/29-6-26</t>
  </si>
  <si>
    <t>Akhtar Ali</t>
  </si>
  <si>
    <t>03058225124/03256764500</t>
  </si>
  <si>
    <t>27588/29-6-26</t>
  </si>
  <si>
    <t>Dua Kanwal</t>
  </si>
  <si>
    <t>03241591142/03008393802</t>
  </si>
  <si>
    <t>27591/29-6-26</t>
  </si>
  <si>
    <t>Ali Iqbal</t>
  </si>
  <si>
    <t>03216015560</t>
  </si>
  <si>
    <t>Girls High 158/w.b</t>
  </si>
  <si>
    <t>27590/29-6-26</t>
  </si>
  <si>
    <t xml:space="preserve">Sidra Safdar </t>
  </si>
  <si>
    <t>Safdar Hussain</t>
  </si>
  <si>
    <t>03007327506/03337663408</t>
  </si>
  <si>
    <t>27585/29-6-26</t>
  </si>
  <si>
    <t>Amama</t>
  </si>
  <si>
    <t>M Naveed Iqbal</t>
  </si>
  <si>
    <t>03066248846/03033131106</t>
  </si>
  <si>
    <t>27586/29-6-26</t>
  </si>
  <si>
    <t>03016576034</t>
  </si>
  <si>
    <t>27583/29-6-26</t>
  </si>
  <si>
    <t>03016576034/03193579334</t>
  </si>
  <si>
    <t>M Tariq</t>
  </si>
  <si>
    <t>M Hussain Kamran</t>
  </si>
  <si>
    <t>M kamran Rasheed</t>
  </si>
  <si>
    <t>03005667754</t>
  </si>
  <si>
    <t xml:space="preserve">Aristoerat </t>
  </si>
  <si>
    <t>24422/1-7-26</t>
  </si>
  <si>
    <t>Abiha Kamran</t>
  </si>
  <si>
    <t>M Kamran Rasheed</t>
  </si>
  <si>
    <t>Aristoerat</t>
  </si>
  <si>
    <t>27600/1-7-26</t>
  </si>
  <si>
    <t>Umm-e-Habiba</t>
  </si>
  <si>
    <t>Ghulam Shabbir</t>
  </si>
  <si>
    <t>03102542046</t>
  </si>
  <si>
    <t>Gulshan Town</t>
  </si>
  <si>
    <t>24424/1-7-26</t>
  </si>
  <si>
    <t>24438/2-7-26</t>
  </si>
  <si>
    <t xml:space="preserve">Naima </t>
  </si>
  <si>
    <t>M Jameel</t>
  </si>
  <si>
    <t>24437/2-7-26</t>
  </si>
  <si>
    <t>24436/2-7-26</t>
  </si>
  <si>
    <t xml:space="preserve">M Samar </t>
  </si>
  <si>
    <t>24435/2-7-26</t>
  </si>
  <si>
    <t>Ayesha Naeem</t>
  </si>
  <si>
    <t>M Naeem</t>
  </si>
  <si>
    <t>24434/2-7-26</t>
  </si>
  <si>
    <t>Sadia Haleema</t>
  </si>
  <si>
    <t>Irshad Hussain</t>
  </si>
  <si>
    <t>24432/2-7-26</t>
  </si>
  <si>
    <t>Asif Memood</t>
  </si>
  <si>
    <t>24431/1-7-26</t>
  </si>
  <si>
    <t>24430/1-7-26</t>
  </si>
  <si>
    <t>Areeba Fatima</t>
  </si>
  <si>
    <t>Murtaza</t>
  </si>
  <si>
    <t>24429/1-7-26</t>
  </si>
  <si>
    <t>24428/1-7-26</t>
  </si>
  <si>
    <t>24426/1-7-26</t>
  </si>
  <si>
    <t>03006896516/03288946823</t>
  </si>
  <si>
    <t>113/10.r</t>
  </si>
  <si>
    <t>the eductor school</t>
  </si>
  <si>
    <t>03077881235/03008862158</t>
  </si>
  <si>
    <t>158/w.b</t>
  </si>
  <si>
    <t>03005900025</t>
  </si>
  <si>
    <t xml:space="preserve">PuNJAB School </t>
  </si>
  <si>
    <t>03027817135/03068029463</t>
  </si>
  <si>
    <t>03022360990</t>
  </si>
  <si>
    <t>Amna Bibi</t>
  </si>
  <si>
    <t>Khalid Hussain</t>
  </si>
  <si>
    <t>03247563813/03085135597</t>
  </si>
  <si>
    <t>114/10.r</t>
  </si>
  <si>
    <t>salar school 114/10.r</t>
  </si>
  <si>
    <t>03045981217</t>
  </si>
  <si>
    <t>Almutaz school tiba</t>
  </si>
  <si>
    <t>Khansa Shahid</t>
  </si>
  <si>
    <t>Shahid Ikram</t>
  </si>
  <si>
    <t>03328172019/03077751107</t>
  </si>
  <si>
    <t>24439/2-7-26</t>
  </si>
  <si>
    <t>Abdull Shakoor Mujahid</t>
  </si>
  <si>
    <t>03324159740/03181610847</t>
  </si>
  <si>
    <t>Angel 140</t>
  </si>
  <si>
    <t>24440/2-7-26</t>
  </si>
  <si>
    <t>Areesha Khalid</t>
  </si>
  <si>
    <t>27599/2-7-26</t>
  </si>
  <si>
    <t>03034674630</t>
  </si>
  <si>
    <t xml:space="preserve">M Rehman </t>
  </si>
  <si>
    <t>M Sarwar</t>
  </si>
  <si>
    <t>03093131622/03025490601</t>
  </si>
  <si>
    <t>27504/1-7-26</t>
  </si>
  <si>
    <t>Ayesha Liaqat</t>
  </si>
  <si>
    <t>1/t</t>
  </si>
  <si>
    <t>mukhdom rasheed</t>
  </si>
  <si>
    <t>2444/3-7-26</t>
  </si>
  <si>
    <t>Wajeeha Sajid</t>
  </si>
  <si>
    <t>M Sajid</t>
  </si>
  <si>
    <t>03026394887</t>
  </si>
  <si>
    <t>114/10.R</t>
  </si>
  <si>
    <t>24443/6-7-26</t>
  </si>
  <si>
    <t>Hijjab Ajmal</t>
  </si>
  <si>
    <t>M Ajmal</t>
  </si>
  <si>
    <t>03019614940/03007352840</t>
  </si>
  <si>
    <t>derkhan wala</t>
  </si>
  <si>
    <t>24444/6-7-26</t>
  </si>
  <si>
    <t>Shair Khan</t>
  </si>
  <si>
    <t>Shah Wazeer</t>
  </si>
  <si>
    <t>03454201145/03237218235</t>
  </si>
  <si>
    <t>269/w.b</t>
  </si>
  <si>
    <t>24448/6-7-26</t>
  </si>
  <si>
    <t>24447/6-7-26</t>
  </si>
  <si>
    <t xml:space="preserve">Abdull Rehman </t>
  </si>
  <si>
    <t>03099432869/03467956304</t>
  </si>
  <si>
    <t>noor garah</t>
  </si>
  <si>
    <t>Hoorain Fatima</t>
  </si>
  <si>
    <t>M Usman Imran</t>
  </si>
  <si>
    <t>03147129751/03005195159</t>
  </si>
  <si>
    <t>159/10.r</t>
  </si>
  <si>
    <t>24450/6-7-26</t>
  </si>
  <si>
    <t>Intizar Hussain</t>
  </si>
  <si>
    <t>03066958492/03017429580</t>
  </si>
  <si>
    <t>24451/6-7-26</t>
  </si>
  <si>
    <t>Farwa Muzamil</t>
  </si>
  <si>
    <t>M Muzamil</t>
  </si>
  <si>
    <t>03027735147/03030745070</t>
  </si>
  <si>
    <t>24449/6-7-26</t>
  </si>
  <si>
    <t>03096006174/03007897103</t>
  </si>
  <si>
    <t>marzi pora</t>
  </si>
  <si>
    <t>24464/6-7-26</t>
  </si>
  <si>
    <t>Mulazim Hussain</t>
  </si>
  <si>
    <t>24461/6-7-26</t>
  </si>
  <si>
    <t>Khalid  Hussain</t>
  </si>
  <si>
    <t>03013796148/03286803500</t>
  </si>
  <si>
    <t>24463/6-7-26</t>
  </si>
  <si>
    <t>Shanza Zahoor</t>
  </si>
  <si>
    <t>Zahoor Ahmad</t>
  </si>
  <si>
    <t>03088822188</t>
  </si>
  <si>
    <t>24462/6-7-26</t>
  </si>
  <si>
    <t>24472/7-7-26</t>
  </si>
  <si>
    <t>Amna Kousar</t>
  </si>
  <si>
    <t>24471/7-7-26</t>
  </si>
  <si>
    <t>24468/7-7-26</t>
  </si>
  <si>
    <t>24467/6-7-26</t>
  </si>
  <si>
    <t>24466/6-7-26</t>
  </si>
  <si>
    <t>27598/2-7-26</t>
  </si>
  <si>
    <t>24456/6-7-26</t>
  </si>
  <si>
    <t>24455/6-7-26</t>
  </si>
  <si>
    <t>Hafsa Gulshad</t>
  </si>
  <si>
    <t>Gulshad Khan</t>
  </si>
  <si>
    <t>03017821131/03036575033</t>
  </si>
  <si>
    <t>158/10.r</t>
  </si>
  <si>
    <t>6792/6-5-26</t>
  </si>
  <si>
    <t>Muneeba Rafique</t>
  </si>
  <si>
    <t>03067449865/03016977846</t>
  </si>
  <si>
    <t>24486/13-7-26</t>
  </si>
  <si>
    <t xml:space="preserve">Fatima </t>
  </si>
  <si>
    <t xml:space="preserve">M Akhtar </t>
  </si>
  <si>
    <t>03444825440/03071478136</t>
  </si>
  <si>
    <t>136/10.R</t>
  </si>
  <si>
    <t>24487/13-7-26</t>
  </si>
  <si>
    <t>24481/10-9-26</t>
  </si>
  <si>
    <t>24480/10-9-26</t>
  </si>
  <si>
    <t>24479/10-7-26</t>
  </si>
  <si>
    <t>24478/10-7-26</t>
  </si>
  <si>
    <t>24476/9-7-26</t>
  </si>
  <si>
    <t>Rimsha Bibi</t>
  </si>
  <si>
    <t>24475/9-7-26</t>
  </si>
  <si>
    <t>24474/9-7-26</t>
  </si>
  <si>
    <t>03008395571/03106365059</t>
  </si>
  <si>
    <t>Shakoor Muhammad</t>
  </si>
  <si>
    <t xml:space="preserve">M Azan Anjam </t>
  </si>
  <si>
    <t>M Furqan Anjam</t>
  </si>
  <si>
    <t>03276114014/03088677014</t>
  </si>
  <si>
    <t>jahania</t>
  </si>
  <si>
    <t>24492/13-7-26</t>
  </si>
  <si>
    <t>24500/15-7-269</t>
  </si>
  <si>
    <t>24498/15-7-26</t>
  </si>
  <si>
    <t xml:space="preserve">M Yasir </t>
  </si>
  <si>
    <t xml:space="preserve">M Ramzan </t>
  </si>
  <si>
    <t>24497/15-7-26</t>
  </si>
  <si>
    <t>24496/15-7-26</t>
  </si>
  <si>
    <t>24493/14-7-26</t>
  </si>
  <si>
    <t>24491/13-4-26</t>
  </si>
  <si>
    <t>24489/13-6-26</t>
  </si>
  <si>
    <t>24488/13-7-26</t>
  </si>
  <si>
    <t>M Sharif</t>
  </si>
  <si>
    <t>24302/15-7-26</t>
  </si>
  <si>
    <t>Jahanain</t>
  </si>
  <si>
    <t>03025579555</t>
  </si>
  <si>
    <t>Shaeen School</t>
  </si>
  <si>
    <t>sehban sb</t>
  </si>
  <si>
    <t>03086957160/030221169504</t>
  </si>
  <si>
    <t>Govt h/s</t>
  </si>
  <si>
    <t>M Nazir Abbas</t>
  </si>
  <si>
    <t>ME Plus</t>
  </si>
  <si>
    <t>03008393727/03016506202</t>
  </si>
  <si>
    <t xml:space="preserve">Shaeen School </t>
  </si>
  <si>
    <t>jahanain</t>
  </si>
  <si>
    <t>24306/16-7-26</t>
  </si>
  <si>
    <t>Aliza Ejaz</t>
  </si>
  <si>
    <t>M Ejaz</t>
  </si>
  <si>
    <t>03296727725/03012687415</t>
  </si>
  <si>
    <t>139/10.r</t>
  </si>
  <si>
    <t>Govt H /s 138/10.r</t>
  </si>
  <si>
    <t>24403/16-7-26</t>
  </si>
  <si>
    <t>M Hassan Khan</t>
  </si>
  <si>
    <t>M Munawar</t>
  </si>
  <si>
    <t>03363692323</t>
  </si>
  <si>
    <t>Govt H/S Tibba</t>
  </si>
  <si>
    <t>24304/16-7-26</t>
  </si>
  <si>
    <t>M Arif</t>
  </si>
  <si>
    <t xml:space="preserve">Alisha Eman </t>
  </si>
  <si>
    <t>M Abdullah</t>
  </si>
  <si>
    <t>03099184272/03707370442</t>
  </si>
  <si>
    <t>24314/20-7-26</t>
  </si>
  <si>
    <t>03086959103/03136107303</t>
  </si>
  <si>
    <t>105/10.r</t>
  </si>
  <si>
    <t>24312/20-7-26</t>
  </si>
  <si>
    <t xml:space="preserve">M Usman </t>
  </si>
  <si>
    <t>03226138791/03428705021</t>
  </si>
  <si>
    <t>118/10.r</t>
  </si>
  <si>
    <t>high school 140/10.r</t>
  </si>
  <si>
    <t>24301/20-7-26</t>
  </si>
  <si>
    <t>03020877424/03284355938</t>
  </si>
  <si>
    <t>03001484334/03043391453</t>
  </si>
  <si>
    <t>334/W.B</t>
  </si>
  <si>
    <t>03020877600/03077535431</t>
  </si>
  <si>
    <t>03017821824/03267509208</t>
  </si>
  <si>
    <t>Kinza Bibi</t>
  </si>
  <si>
    <t>M Ayyub</t>
  </si>
  <si>
    <t>03707032228/03084668001</t>
  </si>
  <si>
    <t>123/10.r</t>
  </si>
  <si>
    <t>Ghulam Mustafa Baloch</t>
  </si>
  <si>
    <t>Abida Anwaar</t>
  </si>
  <si>
    <t>M Anwaar</t>
  </si>
  <si>
    <t>03036129089/03438752784</t>
  </si>
  <si>
    <t xml:space="preserve">Muskan </t>
  </si>
  <si>
    <t>Abdull Ghaffar</t>
  </si>
  <si>
    <t>03037640669</t>
  </si>
  <si>
    <t>Arkan Bano</t>
  </si>
  <si>
    <t>M Afzal</t>
  </si>
  <si>
    <t>03065708689/03236460286</t>
  </si>
  <si>
    <t>24327/21-7-26</t>
  </si>
  <si>
    <t>Muneeba Khan</t>
  </si>
  <si>
    <t>Zafar Hussain</t>
  </si>
  <si>
    <t>24326/21-7-26</t>
  </si>
  <si>
    <t>24323/20-7-26</t>
  </si>
  <si>
    <t>24320/20-7-26</t>
  </si>
  <si>
    <t>24319/20-7-26</t>
  </si>
  <si>
    <t>24318/20-7-26</t>
  </si>
  <si>
    <t>Shiza Noor</t>
  </si>
  <si>
    <t>Alishba Amjad</t>
  </si>
  <si>
    <t>M Amjad</t>
  </si>
  <si>
    <t>03083554329/030235</t>
  </si>
  <si>
    <t>Ayesha Mukhtar</t>
  </si>
  <si>
    <t>Mukhtar Ahmad</t>
  </si>
  <si>
    <t>03057493638/03007764059</t>
  </si>
  <si>
    <t>dare arkam</t>
  </si>
  <si>
    <t>Mubashra Waqas</t>
  </si>
  <si>
    <t>24345/3-8-26</t>
  </si>
  <si>
    <t>24339/27-7-26</t>
  </si>
  <si>
    <t>M Salman khan</t>
  </si>
  <si>
    <t>Khan Muhammad</t>
  </si>
  <si>
    <t>24338/28-7-26</t>
  </si>
  <si>
    <t>24336/24-7-26</t>
  </si>
  <si>
    <t>24335/23-7-26</t>
  </si>
  <si>
    <t>Kiran Fareed</t>
  </si>
  <si>
    <t>03008023509/03176523965</t>
  </si>
  <si>
    <t>24347/04-8-26</t>
  </si>
  <si>
    <t>24388/5-8-26</t>
  </si>
  <si>
    <t>Eman Waseem</t>
  </si>
  <si>
    <t>Waseem Anwar</t>
  </si>
  <si>
    <t>Umar Farooq</t>
  </si>
  <si>
    <t>24354/4-8-26</t>
  </si>
  <si>
    <t xml:space="preserve">Eman Liaqat </t>
  </si>
  <si>
    <t>03186133498/03151482806</t>
  </si>
  <si>
    <t>24374/5-8-26</t>
  </si>
  <si>
    <t>26350/7-8-26</t>
  </si>
  <si>
    <t>26366/7-8-26</t>
  </si>
  <si>
    <t>26362/7-8-26</t>
  </si>
  <si>
    <t>Sanam Bibi</t>
  </si>
  <si>
    <t>Arooj Shazadi</t>
  </si>
  <si>
    <t>M Adrees</t>
  </si>
  <si>
    <t>26391/11-8-26</t>
  </si>
  <si>
    <t>26392/11-8-26</t>
  </si>
  <si>
    <t>26389/11-8-26</t>
  </si>
  <si>
    <t>26386/11-8-26</t>
  </si>
  <si>
    <t>26384/11-8-26</t>
  </si>
  <si>
    <t>Alisha Iftikhar</t>
  </si>
  <si>
    <t>Rana Iftikhar</t>
  </si>
  <si>
    <t>26383/10-8-26</t>
  </si>
  <si>
    <t>M Arshad</t>
  </si>
  <si>
    <t>26382/10-8-26</t>
  </si>
  <si>
    <t>M Zohaib Aslam</t>
  </si>
  <si>
    <t>26381/10-8-26</t>
  </si>
  <si>
    <t xml:space="preserve">Maheen Fatima </t>
  </si>
  <si>
    <t>Ali Haider</t>
  </si>
  <si>
    <t>26377/18-8-26</t>
  </si>
  <si>
    <t>26376/10-8-26</t>
  </si>
  <si>
    <t>26375/10-8-26</t>
  </si>
  <si>
    <t>Urwa Muzammil</t>
  </si>
  <si>
    <t>M Muzamil Khan</t>
  </si>
  <si>
    <t>26363/7-8-26</t>
  </si>
  <si>
    <t>03047735041</t>
  </si>
  <si>
    <t>03012061061</t>
  </si>
  <si>
    <t>03287323157/03055026734</t>
  </si>
  <si>
    <t>157/10.r</t>
  </si>
  <si>
    <t xml:space="preserve">M Fahad </t>
  </si>
  <si>
    <t>03015036612/03027190889</t>
  </si>
  <si>
    <t>03037863986/03038187709</t>
  </si>
  <si>
    <t>03017533241/03012504311</t>
  </si>
  <si>
    <t>03269599142/03447031370</t>
  </si>
  <si>
    <t>99/10.r</t>
  </si>
  <si>
    <t>03064151300/03154929106</t>
  </si>
  <si>
    <t>26398/12-8-26</t>
  </si>
  <si>
    <t>25001/16-7-26</t>
  </si>
  <si>
    <t>25005/13-8-26</t>
  </si>
  <si>
    <t>25010/13-8-26</t>
  </si>
  <si>
    <t>25011/13-8-26</t>
  </si>
  <si>
    <t>25012/13-8-26</t>
  </si>
  <si>
    <t xml:space="preserve">Marwa Fayyaz </t>
  </si>
  <si>
    <t>M Fayyaz</t>
  </si>
  <si>
    <t>25014/13-8-26</t>
  </si>
  <si>
    <t>03027448517/03055662415</t>
  </si>
  <si>
    <t>basti shaidabad</t>
  </si>
  <si>
    <t>Amna Boota</t>
  </si>
  <si>
    <t>M Boota</t>
  </si>
  <si>
    <t>03255305319/03080000784</t>
  </si>
  <si>
    <t>25067/19-8-26</t>
  </si>
  <si>
    <t>M Adnan</t>
  </si>
  <si>
    <t>25064/19-8-26</t>
  </si>
  <si>
    <t>25061/19-8-26</t>
  </si>
  <si>
    <t>25059/19-8-26</t>
  </si>
  <si>
    <t>25052/19-8-26</t>
  </si>
  <si>
    <t>25051/19-8-26</t>
  </si>
  <si>
    <t>25049/19-8-26</t>
  </si>
  <si>
    <t>25048/18-8-26</t>
  </si>
  <si>
    <t>Iqra Ashiq</t>
  </si>
  <si>
    <t>Ashiq Hussain</t>
  </si>
  <si>
    <t>25039/18-8-26</t>
  </si>
  <si>
    <t>Atif Ali</t>
  </si>
  <si>
    <t>Asif Ali</t>
  </si>
  <si>
    <t>25029/18-8-26</t>
  </si>
  <si>
    <t>25024/17-8-26</t>
  </si>
  <si>
    <t xml:space="preserve">M Saim </t>
  </si>
  <si>
    <t>Matloob Hussain</t>
  </si>
  <si>
    <t>25015/17-8-26</t>
  </si>
  <si>
    <t>03094561569/03288946320</t>
  </si>
  <si>
    <t>03066520343</t>
  </si>
  <si>
    <t>M Shakeel Raza</t>
  </si>
  <si>
    <t>M Mubashir Shakeel</t>
  </si>
  <si>
    <t>144/w.b</t>
  </si>
  <si>
    <t>03016576875/03033131260</t>
  </si>
  <si>
    <t>03075333086/03014131534</t>
  </si>
  <si>
    <t>104/10.r</t>
  </si>
  <si>
    <t>Mawra Fiaz</t>
  </si>
  <si>
    <t>03027478517/03055662415</t>
  </si>
  <si>
    <t>shahidabad</t>
  </si>
  <si>
    <t>M Asif Aslam</t>
  </si>
  <si>
    <t>0345209200/03051812703</t>
  </si>
  <si>
    <t>Karachi Pablic School</t>
  </si>
  <si>
    <t>20802/24-8-26</t>
  </si>
  <si>
    <t>Sania Habib</t>
  </si>
  <si>
    <t>M Habib</t>
  </si>
  <si>
    <t>03437140244/03497440939</t>
  </si>
  <si>
    <t>20801/24-8-26</t>
  </si>
  <si>
    <t>Fatima Yasir</t>
  </si>
  <si>
    <t>M yasir</t>
  </si>
  <si>
    <t>03084926069/03045914219</t>
  </si>
  <si>
    <t>Zainab Bibi</t>
  </si>
  <si>
    <t xml:space="preserve">Allah Rakha </t>
  </si>
  <si>
    <t>03146418993/03022115843</t>
  </si>
  <si>
    <t>111/10.r</t>
  </si>
  <si>
    <t>20818/25-8-26</t>
  </si>
  <si>
    <t>Javeria Azam</t>
  </si>
  <si>
    <t>03154724104/03068270671</t>
  </si>
  <si>
    <t>20816/25-8-26</t>
  </si>
  <si>
    <t xml:space="preserve">Eman Fatima </t>
  </si>
  <si>
    <t>03286804505/03040771704</t>
  </si>
  <si>
    <t>20811/25-8-26</t>
  </si>
  <si>
    <t>Adan Muskan</t>
  </si>
  <si>
    <t>0300839212</t>
  </si>
  <si>
    <t>20810/25-8-26</t>
  </si>
  <si>
    <t>M Asif</t>
  </si>
  <si>
    <t>03458233919/03018233919</t>
  </si>
  <si>
    <t>27701/25-8-26</t>
  </si>
  <si>
    <t>03700738104/03097165451</t>
  </si>
  <si>
    <t>25081/20-8-26</t>
  </si>
  <si>
    <t>Nadeem Iqbal</t>
  </si>
  <si>
    <t>03284290851/03027762172</t>
  </si>
  <si>
    <t>25092/22-8-26</t>
  </si>
  <si>
    <t>Zain Ali</t>
  </si>
  <si>
    <t>Allah Rakha</t>
  </si>
  <si>
    <t>20817/25-8-26</t>
  </si>
  <si>
    <t>M Mushtaq</t>
  </si>
  <si>
    <t>03016845250</t>
  </si>
  <si>
    <t>20814/25-8-26</t>
  </si>
  <si>
    <t>Kashif Rasool</t>
  </si>
  <si>
    <t>03017607010/03219279916</t>
  </si>
  <si>
    <t xml:space="preserve">M Asad </t>
  </si>
  <si>
    <t>Mukhtiyar Ahmad</t>
  </si>
  <si>
    <t>03058312756/03045240927</t>
  </si>
  <si>
    <t>Shahidabad</t>
  </si>
  <si>
    <t>03047730569/03137834709</t>
  </si>
  <si>
    <t>03191048210/03448228113</t>
  </si>
  <si>
    <t>289/w.b</t>
  </si>
  <si>
    <t>20819/27-8-26</t>
  </si>
  <si>
    <t>20808/25-8-26</t>
  </si>
  <si>
    <t>20807/25-8-26</t>
  </si>
  <si>
    <t>25095/24-8-26</t>
  </si>
  <si>
    <t>Tania Nadeem</t>
  </si>
  <si>
    <t>25086/21-8-26</t>
  </si>
  <si>
    <t>25083/21-8-26</t>
  </si>
  <si>
    <t>20826/28-8-26</t>
  </si>
  <si>
    <t>Sunaina Raheem</t>
  </si>
  <si>
    <t>Abdull Raheem</t>
  </si>
  <si>
    <t>20825/28-8-26</t>
  </si>
  <si>
    <t>20823/28-8-26</t>
  </si>
  <si>
    <t>20822/28-8-26</t>
  </si>
  <si>
    <t>M Imran</t>
  </si>
  <si>
    <t>20821/27-8-26</t>
  </si>
  <si>
    <t>20820/27-8-26</t>
  </si>
  <si>
    <t>Mafia Shoukat</t>
  </si>
  <si>
    <t>Shoukat Hussain</t>
  </si>
  <si>
    <t>20849/31-8-26</t>
  </si>
  <si>
    <t>Iqra Bibi</t>
  </si>
  <si>
    <t>Khuda Yar</t>
  </si>
  <si>
    <t>20838/31-8-26</t>
  </si>
  <si>
    <t>Anosha Aslam</t>
  </si>
  <si>
    <t>20835/31-8-26</t>
  </si>
  <si>
    <t>20834/31-8-26</t>
  </si>
  <si>
    <t>20833/31-8-26</t>
  </si>
  <si>
    <t>03014017256/03061374355</t>
  </si>
  <si>
    <t>03039535034</t>
  </si>
  <si>
    <t>Registrion</t>
  </si>
  <si>
    <t>1163/1-9-26</t>
  </si>
  <si>
    <t>1162/1-9-26</t>
  </si>
  <si>
    <t>Hussnain Safdar</t>
  </si>
  <si>
    <t>20864/2-9-26</t>
  </si>
  <si>
    <t>20863/2-9-26</t>
  </si>
  <si>
    <t>20862/2-9-26</t>
  </si>
  <si>
    <t>M Ahsan</t>
  </si>
  <si>
    <t>Bashir Ahmad</t>
  </si>
  <si>
    <t>20861/1-9-26</t>
  </si>
  <si>
    <t>Muneeb Ashrif</t>
  </si>
  <si>
    <t>20860/1-9-26</t>
  </si>
  <si>
    <t>20858/1-9-26</t>
  </si>
  <si>
    <t>20857/1-9-26</t>
  </si>
  <si>
    <t>03029609835/03119875335</t>
  </si>
  <si>
    <t>03299187645/03029609835</t>
  </si>
  <si>
    <t>03284290416</t>
  </si>
  <si>
    <t>27553/15-6-26</t>
  </si>
  <si>
    <t>M Mujahid Maqbool</t>
  </si>
  <si>
    <t>03039530136</t>
  </si>
  <si>
    <t>20867/2-9-26</t>
  </si>
  <si>
    <t xml:space="preserve">M Ayan </t>
  </si>
  <si>
    <t>M Rizwa</t>
  </si>
  <si>
    <t>Sheza Saeed</t>
  </si>
  <si>
    <t>Saeed Iqbal</t>
  </si>
  <si>
    <t>20874/3-9-26</t>
  </si>
  <si>
    <t>20871/2-9-26</t>
  </si>
  <si>
    <t>20866/2-9-26</t>
  </si>
  <si>
    <t>20865/2-9-26</t>
  </si>
  <si>
    <t>03154420334/03015520334</t>
  </si>
  <si>
    <t>03128622153/03047222153</t>
  </si>
  <si>
    <t>JAHANIAN</t>
  </si>
  <si>
    <t>27703/11-8-26</t>
  </si>
  <si>
    <t>03049074651/0304</t>
  </si>
  <si>
    <t>03068658219/3206502991</t>
  </si>
  <si>
    <t>113/10.R</t>
  </si>
  <si>
    <t>03006326277/03052008675</t>
  </si>
  <si>
    <t>Kishwar Sultana</t>
  </si>
  <si>
    <t>03017832858/03056196618</t>
  </si>
  <si>
    <t>03358637979/03047443646</t>
  </si>
  <si>
    <t>Mehru Nisa</t>
  </si>
  <si>
    <t>Muhabbat Khan</t>
  </si>
  <si>
    <t>03244397921/03370416322</t>
  </si>
  <si>
    <t>20886/03-9-26</t>
  </si>
  <si>
    <t xml:space="preserve">Mafia </t>
  </si>
  <si>
    <t>Rab Nawaz</t>
  </si>
  <si>
    <t>03066065431/03256764796</t>
  </si>
  <si>
    <t>20885/3-9-26</t>
  </si>
  <si>
    <t xml:space="preserve">Nazma </t>
  </si>
  <si>
    <t>20884/3-9-269</t>
  </si>
  <si>
    <t>Reg</t>
  </si>
  <si>
    <t>23501/3-9-26</t>
  </si>
  <si>
    <t>23502/3-9-26</t>
  </si>
  <si>
    <t>23503/3-9-26</t>
  </si>
  <si>
    <t>23403/2-9-26</t>
  </si>
  <si>
    <t>23404/2-9-26</t>
  </si>
  <si>
    <t xml:space="preserve">Aman Kousa </t>
  </si>
  <si>
    <t>23405/3-9-26</t>
  </si>
  <si>
    <t>23406/3-9-26</t>
  </si>
  <si>
    <t>23407/3-9-26</t>
  </si>
  <si>
    <t>23408/3-9-26</t>
  </si>
  <si>
    <t>23409/3-9-26</t>
  </si>
  <si>
    <t>23411/3-9-26</t>
  </si>
  <si>
    <t>23412/4-9-26</t>
  </si>
  <si>
    <t>23413/4-9-26</t>
  </si>
  <si>
    <t>23414/4-9-26</t>
  </si>
  <si>
    <t>23415/4-9-26</t>
  </si>
  <si>
    <t>Nimra Rehman</t>
  </si>
  <si>
    <t>03017838974</t>
  </si>
  <si>
    <t>20896/4-9-26</t>
  </si>
  <si>
    <t>23508/4-9-26</t>
  </si>
  <si>
    <t>23507/4-9-26</t>
  </si>
  <si>
    <t>23506/4-9-26</t>
  </si>
  <si>
    <t>23505/4-9-26</t>
  </si>
  <si>
    <t>23418/4-9-26</t>
  </si>
  <si>
    <t>23417/4-9-26</t>
  </si>
  <si>
    <t>23416/4-9-26</t>
  </si>
  <si>
    <t>20895/4-9-26</t>
  </si>
  <si>
    <t>20890/4-9-26</t>
  </si>
  <si>
    <t>20875/3-9-26</t>
  </si>
  <si>
    <t>Eman Dildar</t>
  </si>
  <si>
    <t>03176110422/03071884197</t>
  </si>
  <si>
    <t>old fee adjeest</t>
  </si>
  <si>
    <t>23428/5-9-26</t>
  </si>
  <si>
    <t>23427/5-9-26</t>
  </si>
  <si>
    <t>23426/5-9-26</t>
  </si>
  <si>
    <t>23425/5-9-26</t>
  </si>
  <si>
    <t>23424/5-9-26</t>
  </si>
  <si>
    <t>23422/5-9-26</t>
  </si>
  <si>
    <t>23421/5-9-26</t>
  </si>
  <si>
    <t>23420/5-9-26</t>
  </si>
  <si>
    <t>Humaira Bibi</t>
  </si>
  <si>
    <t>23419/4-9-26</t>
  </si>
  <si>
    <t>23510/7-9-26</t>
  </si>
  <si>
    <t>23429/5-9-26</t>
  </si>
  <si>
    <t>23448/7-9-26</t>
  </si>
  <si>
    <t>23447/7-9-26</t>
  </si>
  <si>
    <t>23446/7-9-26</t>
  </si>
  <si>
    <t>23444/7-9-26</t>
  </si>
  <si>
    <t>23443/7-9-26</t>
  </si>
  <si>
    <t>23442/7-9-26</t>
  </si>
  <si>
    <t>23441/7-9-26</t>
  </si>
  <si>
    <t>23440/7-9-26</t>
  </si>
  <si>
    <t>Abu huraira</t>
  </si>
  <si>
    <t>M Qasim</t>
  </si>
  <si>
    <t>20722/7-9-26</t>
  </si>
  <si>
    <t>03060030375</t>
  </si>
  <si>
    <t>M Murtaza</t>
  </si>
  <si>
    <t>M Sonhara</t>
  </si>
  <si>
    <t>03008180106</t>
  </si>
  <si>
    <t>23523/8-9-26</t>
  </si>
  <si>
    <t>23520/7-9-26</t>
  </si>
  <si>
    <t>23519/7-9-26</t>
  </si>
  <si>
    <t>23518/7-8-26</t>
  </si>
  <si>
    <t>23517/7-9-26</t>
  </si>
  <si>
    <t>23516/7-9-26</t>
  </si>
  <si>
    <t>23515/7-8-26</t>
  </si>
  <si>
    <t>23514/7-9-26</t>
  </si>
  <si>
    <t>23513/7-9-26</t>
  </si>
  <si>
    <t>23512/7-9-26</t>
  </si>
  <si>
    <t>23511/7-9-26</t>
  </si>
  <si>
    <t>23509/5-9-26</t>
  </si>
  <si>
    <t>23522/8-9-26</t>
  </si>
  <si>
    <t>23451/8-9-26</t>
  </si>
  <si>
    <t>23449/7-9-26</t>
  </si>
  <si>
    <t>23439/7-9-26</t>
  </si>
  <si>
    <t>23438/7-9-26</t>
  </si>
  <si>
    <t>23437/7-9-26</t>
  </si>
  <si>
    <t>23436/7-9-26</t>
  </si>
  <si>
    <t>23435/7-9-26</t>
  </si>
  <si>
    <t>23434/7-9-26</t>
  </si>
  <si>
    <t>23433/7-9-26</t>
  </si>
  <si>
    <t>23432/7-9-26</t>
  </si>
  <si>
    <t>Aima</t>
  </si>
  <si>
    <t>23430/7-9-26</t>
  </si>
  <si>
    <t>20717/7-9-26</t>
  </si>
  <si>
    <t>MahNoor Sharif</t>
  </si>
  <si>
    <t>20713/7-9-26</t>
  </si>
  <si>
    <t>20712/7-9-26</t>
  </si>
  <si>
    <t xml:space="preserve">M Farhan </t>
  </si>
  <si>
    <t>M Munir</t>
  </si>
  <si>
    <t>03267928320/03077027720</t>
  </si>
  <si>
    <t>20733/8-9-26</t>
  </si>
  <si>
    <t>Abdull Jabbar</t>
  </si>
  <si>
    <t>03197168098/03006854846</t>
  </si>
  <si>
    <t>20734/8-9-26</t>
  </si>
  <si>
    <t xml:space="preserve">M Saeed Mustafa </t>
  </si>
  <si>
    <t>Haji Ghulam Mustafa</t>
  </si>
  <si>
    <t>03292546915</t>
  </si>
  <si>
    <t>20731/8-9-26</t>
  </si>
  <si>
    <t>Zahra Sajjad</t>
  </si>
  <si>
    <t>M Sajjad</t>
  </si>
  <si>
    <t>03033293005/03033293065</t>
  </si>
  <si>
    <t>20832/8-9-26</t>
  </si>
  <si>
    <t>23499/8-9-26</t>
  </si>
  <si>
    <t>23468/8-9-26</t>
  </si>
  <si>
    <t>23467/8-9-26</t>
  </si>
  <si>
    <t>23466/8-9-26</t>
  </si>
  <si>
    <t>23465/8-9-26</t>
  </si>
  <si>
    <t>23464/8-9-26</t>
  </si>
  <si>
    <t>23463/8-9-26</t>
  </si>
  <si>
    <t>23462/8-9-26</t>
  </si>
  <si>
    <t>23461/8--26</t>
  </si>
  <si>
    <t>23460/8-9-26</t>
  </si>
  <si>
    <t>23458/8-9-26</t>
  </si>
  <si>
    <t>23457/7-9-26</t>
  </si>
  <si>
    <t>23455/8-9-26</t>
  </si>
  <si>
    <t>23454/8-9-26</t>
  </si>
  <si>
    <t>23453/8-9-26</t>
  </si>
  <si>
    <t>23452/8-9-26</t>
  </si>
  <si>
    <t>23526/8-9-26</t>
  </si>
  <si>
    <t>23525/8-9-26</t>
  </si>
  <si>
    <t>23524/8-9-26</t>
  </si>
  <si>
    <t>23521/7-9-26</t>
  </si>
  <si>
    <t>20725/8-9-26</t>
  </si>
  <si>
    <t>20724/8-9-26</t>
  </si>
  <si>
    <t>20745/9-9-26</t>
  </si>
  <si>
    <t xml:space="preserve">M Bilal </t>
  </si>
  <si>
    <t>03064096553/3017588144</t>
  </si>
  <si>
    <t>Falaq Shair</t>
  </si>
  <si>
    <t>03180472368</t>
  </si>
  <si>
    <t>20742/9-9-26</t>
  </si>
  <si>
    <t>20744/10-9-26</t>
  </si>
  <si>
    <t>Asma Bibi</t>
  </si>
  <si>
    <t>20743/9-9-26</t>
  </si>
  <si>
    <t>M Yaqoob</t>
  </si>
  <si>
    <t>03006345886/03292540063</t>
  </si>
  <si>
    <t>23491/9-9-26</t>
  </si>
  <si>
    <t>Maryam Fatima</t>
  </si>
  <si>
    <t>Rana Azhar Lateef</t>
  </si>
  <si>
    <t>03245887233/03069511416</t>
  </si>
  <si>
    <t>Rafia Aftab</t>
  </si>
  <si>
    <t>Aftab Hussain</t>
  </si>
  <si>
    <t>03076322159/03016587152</t>
  </si>
  <si>
    <t>20735/9-9-26</t>
  </si>
  <si>
    <t>Ammar Yasir</t>
  </si>
  <si>
    <t>Yasir Arfat</t>
  </si>
  <si>
    <t>03442575121/03288927530</t>
  </si>
  <si>
    <t>20736/9-9-26</t>
  </si>
  <si>
    <t>23494/10-9-26</t>
  </si>
  <si>
    <t>23493/10-9-26</t>
  </si>
  <si>
    <t>23492/9-9-26</t>
  </si>
  <si>
    <t>23490/9-9-26</t>
  </si>
  <si>
    <t>23489/9-9-26</t>
  </si>
  <si>
    <t>23488/9-9-26</t>
  </si>
  <si>
    <t>Hasnain Afzal</t>
  </si>
  <si>
    <t>03086021366/03124589082</t>
  </si>
  <si>
    <t>Aqsa Raees</t>
  </si>
  <si>
    <t>Raees Ahmad Khan</t>
  </si>
  <si>
    <t>03047395353/03447363053</t>
  </si>
  <si>
    <t>53/10.r</t>
  </si>
  <si>
    <t>20746/10-9-26</t>
  </si>
  <si>
    <t>23535/10-9-26</t>
  </si>
  <si>
    <t>23534/10-9-26</t>
  </si>
  <si>
    <t>23533/9-9-26</t>
  </si>
  <si>
    <t>23532/9-9-26</t>
  </si>
  <si>
    <t>23530/9-9-26</t>
  </si>
  <si>
    <t>23529/9-9-26</t>
  </si>
  <si>
    <t>23528/9-9-26</t>
  </si>
  <si>
    <t>23498/10-9-26</t>
  </si>
  <si>
    <t>23497/10-9-26</t>
  </si>
  <si>
    <t>23496/10-9-26</t>
  </si>
  <si>
    <t xml:space="preserve">Fahad Akber </t>
  </si>
  <si>
    <t>Haji M Akber</t>
  </si>
  <si>
    <t>03092734791/03045858906</t>
  </si>
  <si>
    <t>23536/10-9-26</t>
  </si>
  <si>
    <t>M Ikraam</t>
  </si>
  <si>
    <t>23485/9-9-26</t>
  </si>
  <si>
    <t>23484/9-9-26</t>
  </si>
  <si>
    <t>23483/9-9-26</t>
  </si>
  <si>
    <t>23482/9-9-26</t>
  </si>
  <si>
    <t>23481/9-9-26</t>
  </si>
  <si>
    <t>23479/9-9-26</t>
  </si>
  <si>
    <t>Ayesha Khalid</t>
  </si>
  <si>
    <t>23478/9-9-26</t>
  </si>
  <si>
    <t>23474/9-9-26</t>
  </si>
  <si>
    <t>23473/9-9-26</t>
  </si>
  <si>
    <t>23472/9-9-26</t>
  </si>
  <si>
    <t>23471/9-9-26</t>
  </si>
  <si>
    <t>23470/9-9-26</t>
  </si>
  <si>
    <t>23476/9-9-26</t>
  </si>
  <si>
    <t>Shamaun</t>
  </si>
  <si>
    <t>Saim Shamaun</t>
  </si>
  <si>
    <t>Ayesha Saeed</t>
  </si>
  <si>
    <t>03287535011/03026221624</t>
  </si>
  <si>
    <t>Ayesha Shabbir</t>
  </si>
  <si>
    <t>Shabbir Ahmad</t>
  </si>
  <si>
    <t>03017558115/03292541055</t>
  </si>
  <si>
    <t>20763/10-9-26</t>
  </si>
  <si>
    <t>Ch M Ahtisham</t>
  </si>
  <si>
    <t>03005397590/03086956605</t>
  </si>
  <si>
    <t>20762/10-9-26</t>
  </si>
  <si>
    <t>20759/10-9-26</t>
  </si>
  <si>
    <t>1014/11-9-26</t>
  </si>
  <si>
    <t>1013/11-10-26</t>
  </si>
  <si>
    <t>1012/10-9-26</t>
  </si>
  <si>
    <t>1011/10-9-26</t>
  </si>
  <si>
    <t>1009/10-9-26</t>
  </si>
  <si>
    <t>1008/10-9-26</t>
  </si>
  <si>
    <t>1007/10-9-26</t>
  </si>
  <si>
    <t>1006/10-9-26</t>
  </si>
  <si>
    <t>1005/10-9-26</t>
  </si>
  <si>
    <t>1004/10-9-26</t>
  </si>
  <si>
    <t>1003/10-9-26</t>
  </si>
  <si>
    <t>1002/10-9-26</t>
  </si>
  <si>
    <t>1015/11-9-26</t>
  </si>
  <si>
    <t>23500/10-9-26</t>
  </si>
  <si>
    <t>1001/0-9-26</t>
  </si>
  <si>
    <t>23499/10-9-26</t>
  </si>
  <si>
    <t>23495/10-9-26</t>
  </si>
  <si>
    <t>23546/11-9-26</t>
  </si>
  <si>
    <t>23545/11-9-26</t>
  </si>
  <si>
    <t>Alia Iqbal</t>
  </si>
  <si>
    <t>23544/10-9-26</t>
  </si>
  <si>
    <t>23542/10-9-26</t>
  </si>
  <si>
    <t>23541/10-9-26</t>
  </si>
  <si>
    <t>23540/10-9-26</t>
  </si>
  <si>
    <t>23539/10-9-26</t>
  </si>
  <si>
    <t>23538/10-9-26</t>
  </si>
  <si>
    <t>Zia Ul Haq</t>
  </si>
  <si>
    <t>Anwaar Ul Haq</t>
  </si>
  <si>
    <t>23537/10-9-26</t>
  </si>
  <si>
    <t>03040728102/03027823866</t>
  </si>
  <si>
    <t>Riaz Ahmad</t>
  </si>
  <si>
    <t>Hooria Mujahid</t>
  </si>
  <si>
    <t>23543/10-9-26</t>
  </si>
  <si>
    <t>1031/11-9-26</t>
  </si>
  <si>
    <t>1030/11-9-26</t>
  </si>
  <si>
    <t>1029/11-9-26</t>
  </si>
  <si>
    <t>M Khalid</t>
  </si>
  <si>
    <t>03064067876</t>
  </si>
  <si>
    <t>24309/18-7-26</t>
  </si>
  <si>
    <t>Ali Tabish</t>
  </si>
  <si>
    <t>Khalid Shehzad</t>
  </si>
  <si>
    <t>1027/11-9-26</t>
  </si>
  <si>
    <t>1025/11-9-26</t>
  </si>
  <si>
    <t>1024/11-9-26</t>
  </si>
  <si>
    <t>1023/11-9-26</t>
  </si>
  <si>
    <t>1022/11-9-26</t>
  </si>
  <si>
    <t>1021/11-9-26</t>
  </si>
  <si>
    <t>1020/11-9-26</t>
  </si>
  <si>
    <t>1018/11-9-26</t>
  </si>
  <si>
    <t>1017/11-9-26</t>
  </si>
  <si>
    <t>1016/11-9-26</t>
  </si>
  <si>
    <t xml:space="preserve">Afshan Qamar </t>
  </si>
  <si>
    <t>M Razzaq</t>
  </si>
  <si>
    <t>03042230091/03027602988</t>
  </si>
  <si>
    <t>20779/11-9-26</t>
  </si>
  <si>
    <t>03054651122/03077098122</t>
  </si>
  <si>
    <t>03068658214</t>
  </si>
  <si>
    <t>20774/11-9-26</t>
  </si>
  <si>
    <t>20772/11-9-26</t>
  </si>
  <si>
    <t>Wasey Ahmad Shah</t>
  </si>
  <si>
    <t>Mukhdoom Ishtique Shah</t>
  </si>
  <si>
    <t>20784/11-9-26</t>
  </si>
  <si>
    <t>20771/11-9-26</t>
  </si>
  <si>
    <t>20769/11-9-26</t>
  </si>
  <si>
    <t>1039/11-9-26</t>
  </si>
  <si>
    <t>1037/11-9-26</t>
  </si>
  <si>
    <t>1036/11-9-26</t>
  </si>
  <si>
    <t>1035/11-9-26</t>
  </si>
  <si>
    <t>1034/11-9-26</t>
  </si>
  <si>
    <t>1033/11-9-26</t>
  </si>
  <si>
    <t>1032/11-9-26</t>
  </si>
  <si>
    <t>03012142626/03075295616</t>
  </si>
  <si>
    <t>23553/11-9-26</t>
  </si>
  <si>
    <t>23551/11-9-26</t>
  </si>
  <si>
    <t>23550/12-9-26</t>
  </si>
  <si>
    <t>23549/11-9-26</t>
  </si>
  <si>
    <t>23547/11-9-26</t>
  </si>
  <si>
    <t>Asad Ali</t>
  </si>
  <si>
    <t>03079343760</t>
  </si>
  <si>
    <t>101/10.r</t>
  </si>
  <si>
    <t>20794/11-9-26</t>
  </si>
  <si>
    <t>23555/12-9-26</t>
  </si>
  <si>
    <t>23554/12-9-26</t>
  </si>
  <si>
    <t>1047/12-9-26</t>
  </si>
  <si>
    <t>Umm-e-Hani</t>
  </si>
  <si>
    <t>1045/11-9-26</t>
  </si>
  <si>
    <t>1044/11-9-26</t>
  </si>
  <si>
    <t>1042/11-9-26</t>
  </si>
  <si>
    <t>1043/11-9-26</t>
  </si>
  <si>
    <t>1041/11-9-26</t>
  </si>
  <si>
    <t>Hafiz M Zeeshan</t>
  </si>
  <si>
    <t>Haji Ameen</t>
  </si>
  <si>
    <t>030267815862/03217352369</t>
  </si>
  <si>
    <t>27707/15-9-26</t>
  </si>
  <si>
    <t>27708/15-9-26</t>
  </si>
  <si>
    <t xml:space="preserve">Maham Liaqat </t>
  </si>
  <si>
    <t>27704/15-9-26</t>
  </si>
  <si>
    <t>1053/14-9-26</t>
  </si>
  <si>
    <t>1052/14-9-26</t>
  </si>
  <si>
    <t>1051/14-9-26</t>
  </si>
  <si>
    <t>1050/12-9-26</t>
  </si>
  <si>
    <t>Haris Umar</t>
  </si>
  <si>
    <t>Umar Hayat</t>
  </si>
  <si>
    <t>03277802256/03039139743</t>
  </si>
  <si>
    <t>27712/15-9-26</t>
  </si>
  <si>
    <t>1048/12-9-26</t>
  </si>
  <si>
    <t>1046/12-9-26</t>
  </si>
  <si>
    <t>23559/15-9-26</t>
  </si>
  <si>
    <t>23558/15-9-26</t>
  </si>
  <si>
    <t>23557/15-9-26</t>
  </si>
  <si>
    <t>23556/15-9-26</t>
  </si>
  <si>
    <t>27721/17-9-26</t>
  </si>
  <si>
    <t>27716/16-9-26</t>
  </si>
  <si>
    <t>27715/16-9-26</t>
  </si>
  <si>
    <t>1056/17-9-26</t>
  </si>
  <si>
    <t>1055/17-9-26</t>
  </si>
  <si>
    <t>1054/17-9-26</t>
  </si>
  <si>
    <t>23560/17-9-26</t>
  </si>
  <si>
    <t>M Sheraz</t>
  </si>
  <si>
    <t>03267613716/03033818704</t>
  </si>
  <si>
    <t>27726/18-9-26</t>
  </si>
  <si>
    <t>1061/18-9-26</t>
  </si>
  <si>
    <t>1059/18-9-26</t>
  </si>
  <si>
    <t>1057/18-9-26</t>
  </si>
  <si>
    <t>23562/18-9-26</t>
  </si>
  <si>
    <t>sher</t>
  </si>
  <si>
    <t>23561/18-9-26</t>
  </si>
  <si>
    <t>27732/19-9-26</t>
  </si>
  <si>
    <t>23563/19-9-26</t>
  </si>
  <si>
    <t>1066/21-9-26</t>
  </si>
  <si>
    <t>M Kashif</t>
  </si>
  <si>
    <t>1064/21-9-26</t>
  </si>
  <si>
    <t>27740/21-9-26</t>
  </si>
  <si>
    <t>M Safdar</t>
  </si>
  <si>
    <t>03236259245</t>
  </si>
  <si>
    <t>27746/21-9-26</t>
  </si>
  <si>
    <t>Shamama Noor</t>
  </si>
  <si>
    <t>Amir Hussain</t>
  </si>
  <si>
    <t>23564/21-9-26</t>
  </si>
  <si>
    <t>1069/22-9-26</t>
  </si>
  <si>
    <t>23450/8-9</t>
  </si>
  <si>
    <t>1068/22-9-26</t>
  </si>
  <si>
    <t>Asra Abbas</t>
  </si>
  <si>
    <t>03069286046/03217676543</t>
  </si>
  <si>
    <t>143/10.r</t>
  </si>
  <si>
    <t>1074/24-9-26</t>
  </si>
  <si>
    <t>1073/24-9-26</t>
  </si>
  <si>
    <t xml:space="preserve">Eshal Jahangeer </t>
  </si>
  <si>
    <t>M Jahangeer</t>
  </si>
  <si>
    <t>1072/23-9-26</t>
  </si>
  <si>
    <t>27765/24-9-26</t>
  </si>
  <si>
    <t>27759/23-9-26</t>
  </si>
  <si>
    <t>27758/23-9-26</t>
  </si>
  <si>
    <t>Hifza Eman</t>
  </si>
  <si>
    <t>M  Akber</t>
  </si>
  <si>
    <t>27769/25-9-26</t>
  </si>
  <si>
    <t>03158557841/03167841123</t>
  </si>
  <si>
    <t>27772/25-9-26</t>
  </si>
  <si>
    <t>03033130733/03056599585</t>
  </si>
  <si>
    <t>1080/28-9-26</t>
  </si>
  <si>
    <t>Nawaz Ul Haq</t>
  </si>
  <si>
    <t>1079/26-9-26</t>
  </si>
  <si>
    <t>Falaq Liaqat</t>
  </si>
  <si>
    <t>1078/25-9-26</t>
  </si>
  <si>
    <t>1077/25-9-26</t>
  </si>
  <si>
    <t>1076/25-9-26</t>
  </si>
  <si>
    <t>27776/29-9-26</t>
  </si>
  <si>
    <t>Ayman BiBi</t>
  </si>
  <si>
    <t>M Shakeel</t>
  </si>
  <si>
    <t>03056914591/03276330865</t>
  </si>
  <si>
    <t>Abdullah Saddique</t>
  </si>
  <si>
    <t>M Asif Guhmman</t>
  </si>
  <si>
    <t>1086/2-10-26</t>
  </si>
  <si>
    <t>1085/1-10-26</t>
  </si>
  <si>
    <t>1084/1-10-26</t>
  </si>
  <si>
    <t>1083/1-10-2026</t>
  </si>
  <si>
    <t>1082/29-9-26</t>
  </si>
  <si>
    <t>1081/29-9-26</t>
  </si>
  <si>
    <t>Ali Raza</t>
  </si>
  <si>
    <t>03274348740/03006373406</t>
  </si>
  <si>
    <t>khad</t>
  </si>
  <si>
    <t>Hafsa Khalid</t>
  </si>
  <si>
    <t>27800/2-10-26</t>
  </si>
  <si>
    <t>27799/2-10-26</t>
  </si>
  <si>
    <t>27798/2-10-26</t>
  </si>
  <si>
    <t>27797/2-10-26</t>
  </si>
  <si>
    <t>27796/2-10-26</t>
  </si>
  <si>
    <t>27794/2-10-26</t>
  </si>
  <si>
    <t>Abdull Zaman</t>
  </si>
  <si>
    <t>03074631127/03085145892</t>
  </si>
  <si>
    <t>zorkot</t>
  </si>
  <si>
    <t>1008/3-10-26</t>
  </si>
  <si>
    <t>1006/3-10-26</t>
  </si>
  <si>
    <t>1003/2-10-26</t>
  </si>
  <si>
    <t>20790/11-9-26</t>
  </si>
  <si>
    <t>Waleed Tahir</t>
  </si>
  <si>
    <t>Tahir Mushtaq</t>
  </si>
  <si>
    <t>03294831531/03714727160</t>
  </si>
  <si>
    <t>1084/6-10-26</t>
  </si>
  <si>
    <t>1083/6-10-26</t>
  </si>
  <si>
    <t>1077/6-10-26</t>
  </si>
  <si>
    <t>1074/6-10-26</t>
  </si>
  <si>
    <t>1071/6-10-26</t>
  </si>
  <si>
    <t>1070/6-10-26</t>
  </si>
  <si>
    <t>1057/6-10-26</t>
  </si>
  <si>
    <t>1056/5-10-26</t>
  </si>
  <si>
    <t>1053/5-10-26</t>
  </si>
  <si>
    <t>1052/5-10-26</t>
  </si>
  <si>
    <t>1051/5-10-26</t>
  </si>
  <si>
    <t>M Adeel</t>
  </si>
  <si>
    <t>1049/5-10-26</t>
  </si>
  <si>
    <t>Zohaib Imran</t>
  </si>
  <si>
    <t>1048/5-10-26</t>
  </si>
  <si>
    <t>1047/5-10-26</t>
  </si>
  <si>
    <t>1042/5-10-26</t>
  </si>
  <si>
    <t>1041/5-10-26</t>
  </si>
  <si>
    <t>1039/5-10-26</t>
  </si>
  <si>
    <t>1038/5-10-26</t>
  </si>
  <si>
    <t>1037/5-10-26</t>
  </si>
  <si>
    <t>1035/5-10-26</t>
  </si>
  <si>
    <t>1034/5-10-26</t>
  </si>
  <si>
    <t>1033/5-10-26</t>
  </si>
  <si>
    <t>1030/5-10-26</t>
  </si>
  <si>
    <t>1028/3-10-26</t>
  </si>
  <si>
    <t>1026/3-10-26</t>
  </si>
  <si>
    <t>1023/3-10-26</t>
  </si>
  <si>
    <t>1021/3-10-26</t>
  </si>
  <si>
    <t>1020/3-10-26</t>
  </si>
  <si>
    <t>1019/3-10-26</t>
  </si>
  <si>
    <t>1007/2-10-26</t>
  </si>
  <si>
    <t>1012/3-10-26</t>
  </si>
  <si>
    <t>1100/6-10-26</t>
  </si>
  <si>
    <t>1098/5-10-26</t>
  </si>
  <si>
    <t>1097/5-10-26</t>
  </si>
  <si>
    <t>1096/5-10-26</t>
  </si>
  <si>
    <t>Amaima Arif</t>
  </si>
  <si>
    <t>1095/5-10-26</t>
  </si>
  <si>
    <t>1094/5-10-26</t>
  </si>
  <si>
    <t>1093/5-10-26</t>
  </si>
  <si>
    <t>1092/3-10-26</t>
  </si>
  <si>
    <t>1090/3-10-26</t>
  </si>
  <si>
    <t>1089/3-10-26</t>
  </si>
  <si>
    <t>1088/3-10-26</t>
  </si>
  <si>
    <t>1087/2-10-26</t>
  </si>
  <si>
    <t>1096/7-10-26</t>
  </si>
  <si>
    <t>1094/7-10-26</t>
  </si>
  <si>
    <t>1093/7-10-26</t>
  </si>
  <si>
    <t>1092/7-10-26</t>
  </si>
  <si>
    <t>1100/7-10-26</t>
  </si>
  <si>
    <t>301/7-10-26</t>
  </si>
  <si>
    <t>307/7-10-26</t>
  </si>
  <si>
    <t>306/7-10-26</t>
  </si>
  <si>
    <t>302/7-10-26</t>
  </si>
  <si>
    <t>1415/7-10-26</t>
  </si>
  <si>
    <t>1414/7-10-26</t>
  </si>
  <si>
    <t>1411/6-10-26</t>
  </si>
  <si>
    <t>1410/6-10-26</t>
  </si>
  <si>
    <t>1409/6-10-26</t>
  </si>
  <si>
    <t>2101/8-10-26</t>
  </si>
  <si>
    <t>2102/8-10-26</t>
  </si>
  <si>
    <t>2103/8-10-26</t>
  </si>
  <si>
    <t>2104/8-10-26</t>
  </si>
  <si>
    <t>2105/8-10-26</t>
  </si>
  <si>
    <t>2106/8-10-26</t>
  </si>
  <si>
    <t>2107/8-10-26</t>
  </si>
  <si>
    <t>310/7-10-26</t>
  </si>
  <si>
    <t xml:space="preserve">Sameer </t>
  </si>
  <si>
    <t>Emmunawal</t>
  </si>
  <si>
    <t>03112435933/03377628304</t>
  </si>
  <si>
    <t>2111/9-10-26</t>
  </si>
  <si>
    <t>2123/10-10-26</t>
  </si>
  <si>
    <t>2122/10-10-26</t>
  </si>
  <si>
    <t>2121/10-10-26</t>
  </si>
  <si>
    <t>2120/10-10-26</t>
  </si>
  <si>
    <t>2119/10-10-26</t>
  </si>
  <si>
    <t>2118/9-10-26</t>
  </si>
  <si>
    <t>2116/9-10-26</t>
  </si>
  <si>
    <t>2115/9-10-26</t>
  </si>
  <si>
    <t>2114/9-10-26</t>
  </si>
  <si>
    <t>2113/9-10-26</t>
  </si>
  <si>
    <t>2112/9-10-26</t>
  </si>
  <si>
    <t>2110/9-10-26</t>
  </si>
  <si>
    <t>2109/9-10-26</t>
  </si>
  <si>
    <t>2108/9-10-26</t>
  </si>
  <si>
    <t>M Sameer Fareed</t>
  </si>
  <si>
    <t>Shair Muhammad</t>
  </si>
  <si>
    <t>03245889381/03276110443</t>
  </si>
  <si>
    <t>2125/10-10-26</t>
  </si>
  <si>
    <t>2129/12-10-26</t>
  </si>
  <si>
    <t>2128/12-10-26</t>
  </si>
  <si>
    <t>2127/12-10-26</t>
  </si>
  <si>
    <t>2126/12-10-26</t>
  </si>
  <si>
    <t>2124/12-10-26</t>
  </si>
  <si>
    <t>2133/12-10-26</t>
  </si>
  <si>
    <t>2132/10-12-26</t>
  </si>
  <si>
    <t>2131/12-10-26</t>
  </si>
  <si>
    <t>2130/12-10-26</t>
  </si>
  <si>
    <t>2138/13-10-26</t>
  </si>
  <si>
    <t>2137/13-10-26</t>
  </si>
  <si>
    <t>2136/13-10-26</t>
  </si>
  <si>
    <t>2135/13-10-26</t>
  </si>
  <si>
    <t>m Khalid</t>
  </si>
  <si>
    <t>2156/15-10-26</t>
  </si>
  <si>
    <t>2155/15-10-26</t>
  </si>
  <si>
    <t>2154/15-10-26</t>
  </si>
  <si>
    <t>2153/15-10-26</t>
  </si>
  <si>
    <t>2152/15-10-26</t>
  </si>
  <si>
    <t>2151/15-10-26</t>
  </si>
  <si>
    <t>2150/15-10-26</t>
  </si>
  <si>
    <t>2149/13-10-26</t>
  </si>
  <si>
    <t>2148/13-10-26</t>
  </si>
  <si>
    <t>2146/13-10-26</t>
  </si>
  <si>
    <t>2145/14-10-26</t>
  </si>
  <si>
    <t>2144/14-10-26</t>
  </si>
  <si>
    <t>2143/14-10-26</t>
  </si>
  <si>
    <t>2142/13-10-26</t>
  </si>
  <si>
    <t>2141/13-10-26</t>
  </si>
  <si>
    <t>2140/13-10-26</t>
  </si>
  <si>
    <t>2139/14-10-26</t>
  </si>
  <si>
    <t>Saif Ullah Sadiq</t>
  </si>
  <si>
    <t>M Sadiq</t>
  </si>
  <si>
    <t>1426/15-10-26</t>
  </si>
  <si>
    <t>13-10-26</t>
  </si>
  <si>
    <t>Nouman Ahmad</t>
  </si>
  <si>
    <t>1419/12-10-26</t>
  </si>
  <si>
    <t>1418/10-10-26</t>
  </si>
  <si>
    <t>275895/30-6-26</t>
  </si>
  <si>
    <t>20730/8-9-26</t>
  </si>
  <si>
    <t>1433/16-10-26</t>
  </si>
  <si>
    <t>2162/16-10-26</t>
  </si>
  <si>
    <t>2161/16-10-26</t>
  </si>
  <si>
    <t>M Yousaf</t>
  </si>
  <si>
    <t>2160/16-10-26</t>
  </si>
  <si>
    <t>2170/19-10-26</t>
  </si>
  <si>
    <t>2169/17-10-26</t>
  </si>
  <si>
    <t>2168/17-10-26</t>
  </si>
  <si>
    <t>2166/17-10-26</t>
  </si>
  <si>
    <t>2165/17-10-26</t>
  </si>
  <si>
    <t>2164/17-10-26</t>
  </si>
  <si>
    <t>2163/16-10-26</t>
  </si>
  <si>
    <t>2175/20-10-26</t>
  </si>
  <si>
    <t>2174/20-10-26</t>
  </si>
  <si>
    <t>2173/20-10-26</t>
  </si>
  <si>
    <t>2172/19-10-26</t>
  </si>
  <si>
    <t>2171/19-10-26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</si>
</sst>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rgb="FFFF0000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5"/>
      <color theme="1"/>
      <name val="Calibri"/>
      <family val="2"/>
      <scheme val="minor"/>
    </font>
    <font>
      <sz val="15"/>
      <color rgb="FFFF0000"/>
      <name val="Calibri"/>
      <family val="2"/>
      <scheme val="minor"/>
    </font>
    <font>
      <b/>
      <sz val="14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96">
    <xf numFmtId="0" fontId="0" fillId="0" borderId="0" xfId="0"/>
    <xf numFmtId="0" fontId="0" fillId="0" borderId="1" xfId="0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3" borderId="0" xfId="0" applyFill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0" fillId="2" borderId="0" xfId="0" applyFill="1" applyAlignment="1">
      <alignment vertical="top" wrapText="1"/>
    </xf>
    <xf numFmtId="0" fontId="1" fillId="8" borderId="1" xfId="0" applyFont="1" applyFill="1" applyBorder="1" applyAlignment="1">
      <alignment vertical="top" wrapText="1"/>
    </xf>
    <xf numFmtId="0" fontId="0" fillId="8" borderId="0" xfId="0" applyFill="1" applyAlignment="1">
      <alignment vertical="top" wrapText="1"/>
    </xf>
    <xf numFmtId="14" fontId="0" fillId="7" borderId="1" xfId="0" applyNumberFormat="1" applyFill="1" applyBorder="1" applyAlignment="1">
      <alignment vertical="top" wrapText="1"/>
    </xf>
    <xf numFmtId="0" fontId="0" fillId="8" borderId="1" xfId="0" applyFill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7" fillId="8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8" borderId="1" xfId="0" applyFont="1" applyFill="1" applyBorder="1" applyAlignment="1">
      <alignment vertical="top" wrapText="1"/>
    </xf>
    <xf numFmtId="0" fontId="0" fillId="10" borderId="1" xfId="0" applyFill="1" applyBorder="1" applyAlignment="1">
      <alignment vertical="top" wrapText="1"/>
    </xf>
    <xf numFmtId="0" fontId="0" fillId="10" borderId="0" xfId="0" applyFill="1" applyAlignment="1">
      <alignment vertical="top" wrapText="1"/>
    </xf>
    <xf numFmtId="0" fontId="0" fillId="10" borderId="1" xfId="0" applyFont="1" applyFill="1" applyBorder="1" applyAlignment="1">
      <alignment vertical="top" wrapText="1"/>
    </xf>
    <xf numFmtId="0" fontId="0" fillId="10" borderId="0" xfId="0" applyFont="1" applyFill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7" fillId="11" borderId="1" xfId="0" applyFont="1" applyFill="1" applyBorder="1" applyAlignment="1">
      <alignment vertical="top" wrapText="1"/>
    </xf>
    <xf numFmtId="0" fontId="7" fillId="11" borderId="0" xfId="0" applyFont="1" applyFill="1" applyAlignment="1">
      <alignment vertical="top" wrapText="1"/>
    </xf>
    <xf numFmtId="0" fontId="0" fillId="8" borderId="0" xfId="0" applyFont="1" applyFill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49" fontId="0" fillId="8" borderId="1" xfId="0" applyNumberFormat="1" applyFill="1" applyBorder="1" applyAlignment="1">
      <alignment horizontal="center" vertical="top" wrapText="1"/>
    </xf>
    <xf numFmtId="49" fontId="0" fillId="0" borderId="0" xfId="0" applyNumberFormat="1" applyAlignment="1">
      <alignment horizontal="center" vertical="top" wrapText="1"/>
    </xf>
    <xf numFmtId="0" fontId="0" fillId="8" borderId="2" xfId="0" applyFill="1" applyBorder="1" applyAlignment="1">
      <alignment vertical="top" wrapText="1"/>
    </xf>
    <xf numFmtId="0" fontId="0" fillId="8" borderId="4" xfId="0" applyFill="1" applyBorder="1" applyAlignment="1">
      <alignment vertical="top" wrapText="1"/>
    </xf>
    <xf numFmtId="0" fontId="12" fillId="0" borderId="1" xfId="0" applyFont="1" applyBorder="1" applyAlignment="1">
      <alignment horizontal="center" vertical="top" wrapText="1"/>
    </xf>
    <xf numFmtId="0" fontId="12" fillId="2" borderId="1" xfId="0" applyFont="1" applyFill="1" applyBorder="1" applyAlignment="1">
      <alignment vertical="top" wrapText="1"/>
    </xf>
    <xf numFmtId="0" fontId="12" fillId="5" borderId="1" xfId="0" applyFont="1" applyFill="1" applyBorder="1" applyAlignment="1">
      <alignment horizontal="center" vertical="top" wrapText="1"/>
    </xf>
    <xf numFmtId="0" fontId="12" fillId="8" borderId="1" xfId="0" applyFont="1" applyFill="1" applyBorder="1" applyAlignment="1">
      <alignment vertical="top" wrapText="1"/>
    </xf>
    <xf numFmtId="0" fontId="12" fillId="8" borderId="1" xfId="0" applyFont="1" applyFill="1" applyBorder="1" applyAlignment="1">
      <alignment horizontal="center" vertical="top" wrapText="1"/>
    </xf>
    <xf numFmtId="0" fontId="13" fillId="8" borderId="1" xfId="0" applyFont="1" applyFill="1" applyBorder="1" applyAlignment="1">
      <alignment vertical="top" wrapText="1"/>
    </xf>
    <xf numFmtId="0" fontId="12" fillId="7" borderId="1" xfId="0" applyFont="1" applyFill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8" borderId="1" xfId="0" applyNumberFormat="1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8" borderId="1" xfId="0" applyFont="1" applyFill="1" applyBorder="1" applyAlignment="1">
      <alignment horizontal="center" vertical="top" wrapText="1"/>
    </xf>
    <xf numFmtId="49" fontId="3" fillId="8" borderId="1" xfId="0" applyNumberFormat="1" applyFont="1" applyFill="1" applyBorder="1" applyAlignment="1">
      <alignment horizontal="center" vertical="top" wrapText="1"/>
    </xf>
    <xf numFmtId="0" fontId="3" fillId="8" borderId="1" xfId="0" applyFont="1" applyFill="1" applyBorder="1" applyAlignment="1">
      <alignment vertical="top" wrapText="1"/>
    </xf>
    <xf numFmtId="0" fontId="18" fillId="8" borderId="1" xfId="0" applyFont="1" applyFill="1" applyBorder="1" applyAlignment="1">
      <alignment horizontal="center" vertical="top" wrapText="1"/>
    </xf>
    <xf numFmtId="49" fontId="18" fillId="8" borderId="1" xfId="0" applyNumberFormat="1" applyFont="1" applyFill="1" applyBorder="1" applyAlignment="1">
      <alignment horizontal="center" vertical="top" wrapText="1"/>
    </xf>
    <xf numFmtId="0" fontId="18" fillId="8" borderId="1" xfId="0" applyFont="1" applyFill="1" applyBorder="1" applyAlignment="1">
      <alignment vertical="top" wrapText="1"/>
    </xf>
    <xf numFmtId="49" fontId="17" fillId="8" borderId="1" xfId="0" applyNumberFormat="1" applyFont="1" applyFill="1" applyBorder="1" applyAlignment="1">
      <alignment horizontal="center" vertical="top" wrapText="1"/>
    </xf>
    <xf numFmtId="0" fontId="0" fillId="4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7" fillId="8" borderId="1" xfId="0" applyFont="1" applyFill="1" applyBorder="1" applyAlignment="1">
      <alignment horizontal="center" vertical="top" wrapText="1"/>
    </xf>
    <xf numFmtId="0" fontId="0" fillId="8" borderId="0" xfId="0" applyFill="1" applyAlignment="1">
      <alignment horizontal="center" vertical="top" wrapText="1"/>
    </xf>
    <xf numFmtId="16" fontId="3" fillId="7" borderId="1" xfId="0" applyNumberFormat="1" applyFont="1" applyFill="1" applyBorder="1" applyAlignment="1">
      <alignment horizontal="center" vertical="center" wrapText="1"/>
    </xf>
    <xf numFmtId="16" fontId="12" fillId="7" borderId="1" xfId="0" applyNumberFormat="1" applyFont="1" applyFill="1" applyBorder="1" applyAlignment="1">
      <alignment vertical="top" wrapText="1"/>
    </xf>
    <xf numFmtId="0" fontId="15" fillId="7" borderId="1" xfId="0" applyFont="1" applyFill="1" applyBorder="1" applyAlignment="1">
      <alignment vertical="top" wrapText="1"/>
    </xf>
    <xf numFmtId="0" fontId="12" fillId="7" borderId="2" xfId="0" applyFont="1" applyFill="1" applyBorder="1" applyAlignment="1">
      <alignment vertical="top" wrapText="1"/>
    </xf>
    <xf numFmtId="0" fontId="12" fillId="7" borderId="4" xfId="0" applyFont="1" applyFill="1" applyBorder="1" applyAlignment="1">
      <alignment vertical="top" wrapText="1"/>
    </xf>
    <xf numFmtId="0" fontId="16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7" fillId="8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16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vertical="top" wrapText="1"/>
    </xf>
    <xf numFmtId="0" fontId="3" fillId="8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3" fillId="9" borderId="1" xfId="0" applyFont="1" applyFill="1" applyBorder="1" applyAlignment="1">
      <alignment vertical="top" wrapText="1"/>
    </xf>
    <xf numFmtId="0" fontId="3" fillId="9" borderId="0" xfId="0" applyFont="1" applyFill="1" applyAlignment="1">
      <alignment vertical="top" wrapText="1"/>
    </xf>
    <xf numFmtId="16" fontId="3" fillId="7" borderId="1" xfId="0" applyNumberFormat="1" applyFont="1" applyFill="1" applyBorder="1" applyAlignment="1">
      <alignment vertical="top" wrapText="1"/>
    </xf>
    <xf numFmtId="0" fontId="19" fillId="0" borderId="1" xfId="0" applyFont="1" applyBorder="1" applyAlignment="1">
      <alignment vertical="top" wrapText="1"/>
    </xf>
    <xf numFmtId="0" fontId="19" fillId="8" borderId="1" xfId="0" applyFont="1" applyFill="1" applyBorder="1" applyAlignment="1">
      <alignment vertical="top" wrapText="1"/>
    </xf>
    <xf numFmtId="0" fontId="19" fillId="7" borderId="1" xfId="0" applyFont="1" applyFill="1" applyBorder="1" applyAlignment="1">
      <alignment vertical="top" wrapText="1"/>
    </xf>
    <xf numFmtId="0" fontId="19" fillId="8" borderId="0" xfId="0" applyFont="1" applyFill="1" applyAlignment="1">
      <alignment vertical="top" wrapText="1"/>
    </xf>
    <xf numFmtId="0" fontId="19" fillId="0" borderId="0" xfId="0" applyFont="1" applyAlignment="1">
      <alignment vertical="top" wrapText="1"/>
    </xf>
    <xf numFmtId="0" fontId="3" fillId="8" borderId="2" xfId="0" applyFont="1" applyFill="1" applyBorder="1" applyAlignment="1">
      <alignment horizontal="center" vertical="top" wrapText="1"/>
    </xf>
    <xf numFmtId="49" fontId="3" fillId="8" borderId="2" xfId="0" applyNumberFormat="1" applyFont="1" applyFill="1" applyBorder="1" applyAlignment="1">
      <alignment horizontal="center" vertical="top" wrapText="1"/>
    </xf>
    <xf numFmtId="0" fontId="3" fillId="8" borderId="4" xfId="0" applyFont="1" applyFill="1" applyBorder="1" applyAlignment="1">
      <alignment horizontal="center" vertical="top" wrapText="1"/>
    </xf>
    <xf numFmtId="49" fontId="3" fillId="8" borderId="4" xfId="0" applyNumberFormat="1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vertical="top" wrapText="1"/>
    </xf>
    <xf numFmtId="0" fontId="18" fillId="5" borderId="1" xfId="0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horizontal="center" vertical="top" wrapText="1"/>
    </xf>
    <xf numFmtId="0" fontId="3" fillId="5" borderId="4" xfId="0" applyFont="1" applyFill="1" applyBorder="1" applyAlignment="1">
      <alignment horizontal="center" vertical="top" wrapText="1"/>
    </xf>
    <xf numFmtId="0" fontId="18" fillId="4" borderId="1" xfId="0" applyFont="1" applyFill="1" applyBorder="1" applyAlignment="1">
      <alignment vertical="top" wrapText="1"/>
    </xf>
    <xf numFmtId="0" fontId="16" fillId="4" borderId="2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16" fillId="4" borderId="4" xfId="0" applyFont="1" applyFill="1" applyBorder="1" applyAlignment="1">
      <alignment vertical="top" wrapText="1"/>
    </xf>
    <xf numFmtId="0" fontId="3" fillId="4" borderId="4" xfId="0" applyFont="1" applyFill="1" applyBorder="1" applyAlignment="1">
      <alignment vertical="top" wrapText="1"/>
    </xf>
    <xf numFmtId="49" fontId="3" fillId="8" borderId="1" xfId="0" applyNumberFormat="1" applyFont="1" applyFill="1" applyBorder="1" applyAlignment="1">
      <alignment vertical="top" wrapText="1"/>
    </xf>
    <xf numFmtId="0" fontId="22" fillId="8" borderId="1" xfId="1" applyFont="1" applyFill="1" applyBorder="1" applyAlignment="1">
      <alignment horizontal="center" vertical="top" wrapText="1"/>
    </xf>
    <xf numFmtId="0" fontId="3" fillId="8" borderId="2" xfId="0" applyFont="1" applyFill="1" applyBorder="1" applyAlignment="1">
      <alignment vertical="top" wrapText="1"/>
    </xf>
    <xf numFmtId="0" fontId="3" fillId="8" borderId="4" xfId="0" applyFont="1" applyFill="1" applyBorder="1" applyAlignment="1">
      <alignment vertical="top" wrapText="1"/>
    </xf>
    <xf numFmtId="0" fontId="17" fillId="8" borderId="1" xfId="0" applyFont="1" applyFill="1" applyBorder="1" applyAlignment="1">
      <alignment horizontal="center" vertical="top" wrapText="1"/>
    </xf>
    <xf numFmtId="1" fontId="0" fillId="8" borderId="1" xfId="0" applyNumberFormat="1" applyFill="1" applyBorder="1" applyAlignment="1">
      <alignment vertical="top" wrapText="1"/>
    </xf>
    <xf numFmtId="1" fontId="3" fillId="8" borderId="1" xfId="0" applyNumberFormat="1" applyFont="1" applyFill="1" applyBorder="1" applyAlignment="1">
      <alignment vertical="top" wrapText="1"/>
    </xf>
    <xf numFmtId="0" fontId="3" fillId="0" borderId="0" xfId="0" applyFont="1" applyAlignment="1">
      <alignment horizontal="center" vertical="top" wrapText="1"/>
    </xf>
    <xf numFmtId="0" fontId="3" fillId="7" borderId="0" xfId="0" applyFont="1" applyFill="1" applyAlignment="1">
      <alignment vertical="top" wrapText="1"/>
    </xf>
    <xf numFmtId="14" fontId="3" fillId="7" borderId="1" xfId="0" applyNumberFormat="1" applyFont="1" applyFill="1" applyBorder="1" applyAlignment="1">
      <alignment vertical="top" wrapText="1"/>
    </xf>
    <xf numFmtId="0" fontId="18" fillId="7" borderId="1" xfId="0" applyFont="1" applyFill="1" applyBorder="1" applyAlignment="1">
      <alignment vertical="top" wrapText="1"/>
    </xf>
    <xf numFmtId="0" fontId="5" fillId="0" borderId="3" xfId="0" applyFont="1" applyBorder="1" applyAlignment="1">
      <alignment horizontal="center" vertical="top" wrapText="1"/>
    </xf>
    <xf numFmtId="0" fontId="0" fillId="8" borderId="0" xfId="0" applyFill="1" applyBorder="1" applyAlignment="1">
      <alignment vertical="top" wrapText="1"/>
    </xf>
    <xf numFmtId="14" fontId="12" fillId="7" borderId="1" xfId="0" applyNumberFormat="1" applyFont="1" applyFill="1" applyBorder="1" applyAlignment="1">
      <alignment vertical="top" wrapText="1"/>
    </xf>
    <xf numFmtId="49" fontId="17" fillId="8" borderId="1" xfId="0" applyNumberFormat="1" applyFont="1" applyFill="1" applyBorder="1" applyAlignment="1">
      <alignment horizontal="center" vertical="center" wrapText="1"/>
    </xf>
    <xf numFmtId="14" fontId="17" fillId="7" borderId="1" xfId="0" applyNumberFormat="1" applyFont="1" applyFill="1" applyBorder="1" applyAlignment="1">
      <alignment horizontal="center" vertical="center" wrapText="1"/>
    </xf>
    <xf numFmtId="14" fontId="3" fillId="7" borderId="1" xfId="0" applyNumberFormat="1" applyFont="1" applyFill="1" applyBorder="1" applyAlignment="1">
      <alignment horizontal="center" vertical="center" wrapText="1"/>
    </xf>
    <xf numFmtId="0" fontId="0" fillId="8" borderId="0" xfId="0" applyFont="1" applyFill="1" applyBorder="1" applyAlignment="1">
      <alignment vertical="top" wrapText="1"/>
    </xf>
    <xf numFmtId="0" fontId="3" fillId="8" borderId="0" xfId="0" applyFont="1" applyFill="1" applyBorder="1" applyAlignment="1">
      <alignment vertical="top" wrapText="1"/>
    </xf>
    <xf numFmtId="0" fontId="7" fillId="8" borderId="0" xfId="0" applyFont="1" applyFill="1" applyBorder="1" applyAlignment="1">
      <alignment vertical="top" wrapText="1"/>
    </xf>
    <xf numFmtId="0" fontId="19" fillId="8" borderId="0" xfId="0" applyFont="1" applyFill="1" applyBorder="1" applyAlignment="1">
      <alignment vertical="top" wrapText="1"/>
    </xf>
    <xf numFmtId="0" fontId="14" fillId="5" borderId="1" xfId="0" applyFont="1" applyFill="1" applyBorder="1" applyAlignment="1">
      <alignment horizontal="center" vertical="top" wrapText="1"/>
    </xf>
    <xf numFmtId="0" fontId="2" fillId="8" borderId="1" xfId="0" applyFont="1" applyFill="1" applyBorder="1" applyAlignment="1">
      <alignment horizontal="center" vertical="top" wrapText="1"/>
    </xf>
    <xf numFmtId="49" fontId="2" fillId="8" borderId="1" xfId="0" applyNumberFormat="1" applyFont="1" applyFill="1" applyBorder="1" applyAlignment="1">
      <alignment horizontal="center" vertical="top" wrapText="1"/>
    </xf>
    <xf numFmtId="0" fontId="3" fillId="12" borderId="1" xfId="0" applyFont="1" applyFill="1" applyBorder="1" applyAlignment="1">
      <alignment horizontal="center" vertical="top" wrapText="1"/>
    </xf>
    <xf numFmtId="0" fontId="3" fillId="7" borderId="0" xfId="0" applyFont="1" applyFill="1" applyBorder="1" applyAlignment="1">
      <alignment horizontal="center" vertical="center" wrapText="1"/>
    </xf>
    <xf numFmtId="0" fontId="0" fillId="7" borderId="0" xfId="0" applyFill="1" applyBorder="1" applyAlignment="1">
      <alignment vertical="top" wrapText="1"/>
    </xf>
    <xf numFmtId="0" fontId="18" fillId="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top" wrapText="1"/>
    </xf>
    <xf numFmtId="16" fontId="3" fillId="6" borderId="1" xfId="0" applyNumberFormat="1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vertical="top" wrapText="1"/>
    </xf>
    <xf numFmtId="14" fontId="3" fillId="5" borderId="1" xfId="0" applyNumberFormat="1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16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13" borderId="1" xfId="0" applyFont="1" applyFill="1" applyBorder="1" applyAlignment="1">
      <alignment vertical="top" wrapText="1"/>
    </xf>
    <xf numFmtId="0" fontId="0" fillId="13" borderId="1" xfId="0" applyFill="1" applyBorder="1" applyAlignment="1">
      <alignment vertical="top" wrapText="1"/>
    </xf>
    <xf numFmtId="0" fontId="3" fillId="13" borderId="1" xfId="0" applyFont="1" applyFill="1" applyBorder="1" applyAlignment="1">
      <alignment horizontal="center" vertical="top" wrapText="1"/>
    </xf>
    <xf numFmtId="0" fontId="0" fillId="13" borderId="0" xfId="0" applyFill="1" applyAlignment="1">
      <alignment vertical="top" wrapText="1"/>
    </xf>
    <xf numFmtId="0" fontId="16" fillId="8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vertical="top" wrapText="1"/>
    </xf>
    <xf numFmtId="0" fontId="16" fillId="8" borderId="4" xfId="0" applyFont="1" applyFill="1" applyBorder="1" applyAlignment="1">
      <alignment vertical="top" wrapText="1"/>
    </xf>
    <xf numFmtId="0" fontId="16" fillId="8" borderId="1" xfId="0" applyFont="1" applyFill="1" applyBorder="1" applyAlignment="1">
      <alignment vertical="center" wrapText="1"/>
    </xf>
    <xf numFmtId="0" fontId="15" fillId="8" borderId="1" xfId="0" applyFont="1" applyFill="1" applyBorder="1" applyAlignment="1">
      <alignment vertical="top" wrapText="1"/>
    </xf>
    <xf numFmtId="14" fontId="0" fillId="8" borderId="0" xfId="0" applyNumberFormat="1" applyFill="1" applyAlignment="1">
      <alignment vertical="top" wrapText="1"/>
    </xf>
    <xf numFmtId="0" fontId="9" fillId="8" borderId="1" xfId="0" applyFont="1" applyFill="1" applyBorder="1" applyAlignment="1">
      <alignment vertical="center" wrapText="1"/>
    </xf>
    <xf numFmtId="0" fontId="9" fillId="8" borderId="1" xfId="0" applyFont="1" applyFill="1" applyBorder="1" applyAlignment="1">
      <alignment vertical="top" wrapText="1"/>
    </xf>
    <xf numFmtId="0" fontId="16" fillId="8" borderId="2" xfId="0" applyFont="1" applyFill="1" applyBorder="1" applyAlignment="1">
      <alignment vertical="top" wrapText="1"/>
    </xf>
    <xf numFmtId="0" fontId="21" fillId="8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center" wrapText="1"/>
    </xf>
    <xf numFmtId="16" fontId="3" fillId="8" borderId="1" xfId="0" applyNumberFormat="1" applyFont="1" applyFill="1" applyBorder="1" applyAlignment="1">
      <alignment horizontal="center" vertical="center" wrapText="1"/>
    </xf>
    <xf numFmtId="14" fontId="12" fillId="8" borderId="1" xfId="0" applyNumberFormat="1" applyFont="1" applyFill="1" applyBorder="1" applyAlignment="1">
      <alignment vertical="top" wrapText="1"/>
    </xf>
    <xf numFmtId="0" fontId="12" fillId="8" borderId="2" xfId="0" applyFont="1" applyFill="1" applyBorder="1" applyAlignment="1">
      <alignment vertical="top" wrapText="1"/>
    </xf>
    <xf numFmtId="0" fontId="12" fillId="8" borderId="4" xfId="0" applyFont="1" applyFill="1" applyBorder="1" applyAlignment="1">
      <alignment vertical="top" wrapText="1"/>
    </xf>
    <xf numFmtId="0" fontId="5" fillId="8" borderId="3" xfId="0" applyFont="1" applyFill="1" applyBorder="1" applyAlignment="1">
      <alignment horizontal="center" vertical="top" wrapText="1"/>
    </xf>
    <xf numFmtId="0" fontId="14" fillId="8" borderId="1" xfId="0" applyFont="1" applyFill="1" applyBorder="1" applyAlignment="1">
      <alignment horizontal="center" vertical="top" wrapText="1"/>
    </xf>
    <xf numFmtId="0" fontId="5" fillId="8" borderId="0" xfId="0" applyFont="1" applyFill="1" applyAlignment="1">
      <alignment horizontal="center" vertical="top" wrapText="1"/>
    </xf>
    <xf numFmtId="0" fontId="6" fillId="8" borderId="0" xfId="0" applyFont="1" applyFill="1" applyAlignment="1">
      <alignment horizontal="center" vertical="top" wrapText="1"/>
    </xf>
    <xf numFmtId="16" fontId="3" fillId="8" borderId="1" xfId="0" applyNumberFormat="1" applyFont="1" applyFill="1" applyBorder="1" applyAlignment="1">
      <alignment horizontal="center" vertical="top" wrapText="1"/>
    </xf>
    <xf numFmtId="16" fontId="12" fillId="8" borderId="1" xfId="0" applyNumberFormat="1" applyFont="1" applyFill="1" applyBorder="1" applyAlignment="1">
      <alignment vertical="top" wrapText="1"/>
    </xf>
    <xf numFmtId="14" fontId="3" fillId="8" borderId="1" xfId="0" applyNumberFormat="1" applyFont="1" applyFill="1" applyBorder="1" applyAlignment="1">
      <alignment vertical="top" wrapText="1"/>
    </xf>
    <xf numFmtId="14" fontId="3" fillId="0" borderId="0" xfId="0" applyNumberFormat="1" applyFont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14" fontId="0" fillId="0" borderId="0" xfId="0" applyNumberFormat="1" applyFill="1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0" fillId="0" borderId="0" xfId="0" applyFill="1" applyAlignment="1">
      <alignment vertical="top" wrapText="1"/>
    </xf>
    <xf numFmtId="0" fontId="3" fillId="12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11" fillId="8" borderId="0" xfId="0" applyFont="1" applyFill="1" applyBorder="1" applyAlignment="1">
      <alignment vertical="top" wrapText="1"/>
    </xf>
    <xf numFmtId="0" fontId="11" fillId="8" borderId="0" xfId="0" applyFont="1" applyFill="1" applyBorder="1" applyAlignment="1">
      <alignment horizontal="center" vertical="center" wrapText="1"/>
    </xf>
    <xf numFmtId="0" fontId="10" fillId="8" borderId="0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8" borderId="0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8" fillId="8" borderId="1" xfId="1" applyFont="1" applyFill="1" applyBorder="1" applyAlignment="1">
      <alignment horizontal="center" vertical="top" wrapText="1"/>
    </xf>
    <xf numFmtId="0" fontId="23" fillId="8" borderId="1" xfId="0" applyFont="1" applyFill="1" applyBorder="1" applyAlignment="1">
      <alignment vertical="top" wrapText="1"/>
    </xf>
    <xf numFmtId="0" fontId="20" fillId="8" borderId="1" xfId="0" applyFont="1" applyFill="1" applyBorder="1" applyAlignment="1">
      <alignment vertical="top" wrapText="1"/>
    </xf>
    <xf numFmtId="0" fontId="13" fillId="8" borderId="2" xfId="0" applyFont="1" applyFill="1" applyBorder="1" applyAlignment="1">
      <alignment vertical="top" wrapText="1"/>
    </xf>
    <xf numFmtId="0" fontId="13" fillId="8" borderId="4" xfId="0" applyFont="1" applyFill="1" applyBorder="1" applyAlignment="1">
      <alignment vertical="top" wrapText="1"/>
    </xf>
    <xf numFmtId="14" fontId="3" fillId="8" borderId="1" xfId="0" applyNumberFormat="1" applyFont="1" applyFill="1" applyBorder="1" applyAlignment="1">
      <alignment horizontal="center" vertical="center" wrapText="1"/>
    </xf>
    <xf numFmtId="14" fontId="3" fillId="8" borderId="1" xfId="0" applyNumberFormat="1" applyFont="1" applyFill="1" applyBorder="1" applyAlignment="1">
      <alignment horizontal="center" vertical="top" wrapText="1"/>
    </xf>
    <xf numFmtId="0" fontId="3" fillId="8" borderId="0" xfId="0" applyFont="1" applyFill="1" applyBorder="1" applyAlignment="1">
      <alignment horizontal="center" vertical="center" wrapText="1"/>
    </xf>
    <xf numFmtId="16" fontId="3" fillId="8" borderId="1" xfId="0" applyNumberFormat="1" applyFont="1" applyFill="1" applyBorder="1" applyAlignment="1">
      <alignment vertical="top" wrapText="1"/>
    </xf>
    <xf numFmtId="0" fontId="24" fillId="8" borderId="1" xfId="0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BJ290"/>
  <sheetViews>
    <sheetView tabSelected="1" zoomScale="84" zoomScaleNormal="84" workbookViewId="0">
      <pane ySplit="1" topLeftCell="A82" activePane="bottomLeft" state="frozen"/>
      <selection activeCell="J1" sqref="J1"/>
      <selection pane="bottomLeft" activeCell="X91" sqref="X91"/>
    </sheetView>
  </sheetViews>
  <sheetFormatPr defaultColWidth="9.140625" defaultRowHeight="21" x14ac:dyDescent="0.25"/>
  <cols>
    <col min="1" max="1" width="0.28515625" style="81" customWidth="1"/>
    <col min="2" max="3" width="4.7109375" style="6" hidden="1" customWidth="1"/>
    <col min="4" max="6" width="10.140625" style="6" hidden="1" customWidth="1"/>
    <col min="7" max="8" width="10.140625" style="110" hidden="1" customWidth="1"/>
    <col min="9" max="10" width="4.85546875" style="49" hidden="1" customWidth="1"/>
    <col min="11" max="11" width="24.85546875" style="15" customWidth="1"/>
    <col min="12" max="12" width="20" style="15" customWidth="1"/>
    <col min="13" max="13" width="11.28515625" style="15" hidden="1" customWidth="1"/>
    <col min="14" max="14" width="9.5703125" style="15" customWidth="1"/>
    <col min="15" max="15" width="23.140625" style="33" customWidth="1"/>
    <col min="16" max="16" width="17.140625" style="15" hidden="1" customWidth="1"/>
    <col min="17" max="17" width="19.85546875" style="15" hidden="1" customWidth="1"/>
    <col min="18" max="18" width="13" style="12" hidden="1" customWidth="1"/>
    <col min="19" max="19" width="10.5703125" style="12" hidden="1" customWidth="1"/>
    <col min="20" max="20" width="9.28515625" style="12" hidden="1" customWidth="1"/>
    <col min="21" max="21" width="13.140625" style="12" hidden="1" customWidth="1"/>
    <col min="22" max="22" width="8.7109375" style="12" hidden="1" customWidth="1"/>
    <col min="23" max="23" width="7.42578125" style="12" customWidth="1"/>
    <col min="24" max="24" width="8.140625" style="12" customWidth="1"/>
    <col min="25" max="25" width="10.85546875" style="12" customWidth="1"/>
    <col min="26" max="26" width="7.5703125" style="12" customWidth="1"/>
    <col min="27" max="27" width="10.42578125" style="66" customWidth="1"/>
    <col min="28" max="28" width="8" style="66" customWidth="1"/>
    <col min="29" max="29" width="17.5703125" style="66" customWidth="1"/>
    <col min="30" max="30" width="8" style="80" customWidth="1"/>
    <col min="31" max="31" width="15.5703125" style="80" customWidth="1"/>
    <col min="32" max="32" width="11.42578125" style="64" customWidth="1"/>
    <col min="33" max="33" width="14.42578125" style="64" customWidth="1"/>
    <col min="34" max="34" width="12.140625" style="64" customWidth="1"/>
    <col min="35" max="35" width="13.28515625" style="64" customWidth="1"/>
    <col min="36" max="36" width="8.28515625" style="64" customWidth="1"/>
    <col min="37" max="37" width="13.7109375" style="64" customWidth="1"/>
    <col min="38" max="39" width="12" style="12" customWidth="1"/>
    <col min="40" max="40" width="10.28515625" style="12" customWidth="1"/>
    <col min="41" max="42" width="8.28515625" style="12" customWidth="1"/>
    <col min="43" max="43" width="8.5703125" style="12" customWidth="1"/>
    <col min="44" max="44" width="9.7109375" style="12" customWidth="1"/>
    <col min="45" max="45" width="14.42578125" style="185" customWidth="1"/>
    <col min="46" max="46" width="10" style="6" bestFit="1" customWidth="1"/>
    <col min="47" max="16384" width="9.140625" style="6"/>
  </cols>
  <sheetData>
    <row r="1" spans="1:45" ht="54.75" customHeight="1" x14ac:dyDescent="0.25">
      <c r="A1" s="27" t="s">
        <v>0</v>
      </c>
      <c r="B1" s="1" t="s">
        <v>1</v>
      </c>
      <c r="C1" s="1"/>
      <c r="D1" s="1"/>
      <c r="E1" s="1"/>
      <c r="F1" s="1"/>
      <c r="G1" s="55"/>
      <c r="H1" s="55"/>
      <c r="I1" s="43"/>
      <c r="J1" s="43"/>
      <c r="K1" s="43" t="s">
        <v>2</v>
      </c>
      <c r="L1" s="43" t="s">
        <v>3</v>
      </c>
      <c r="M1" s="36" t="s">
        <v>48</v>
      </c>
      <c r="N1" s="43" t="s">
        <v>27</v>
      </c>
      <c r="O1" s="45" t="s">
        <v>4</v>
      </c>
      <c r="P1" s="43" t="s">
        <v>28</v>
      </c>
      <c r="Q1" s="43" t="s">
        <v>30</v>
      </c>
      <c r="R1" s="44" t="s">
        <v>29</v>
      </c>
      <c r="S1" s="44" t="s">
        <v>8</v>
      </c>
      <c r="T1" s="44" t="s">
        <v>5</v>
      </c>
      <c r="U1" s="44" t="s">
        <v>6</v>
      </c>
      <c r="V1" s="142" t="s">
        <v>7</v>
      </c>
      <c r="W1" s="44" t="s">
        <v>1275</v>
      </c>
      <c r="X1" s="44" t="s">
        <v>5</v>
      </c>
      <c r="Y1" s="44" t="s">
        <v>6</v>
      </c>
      <c r="Z1" s="41" t="s">
        <v>7</v>
      </c>
      <c r="AA1" s="44" t="s">
        <v>9</v>
      </c>
      <c r="AB1" s="44" t="s">
        <v>10</v>
      </c>
      <c r="AC1" s="44" t="s">
        <v>6</v>
      </c>
      <c r="AD1" s="44" t="s">
        <v>11</v>
      </c>
      <c r="AE1" s="44" t="s">
        <v>6</v>
      </c>
      <c r="AF1" s="53" t="s">
        <v>12</v>
      </c>
      <c r="AG1" s="53" t="s">
        <v>6</v>
      </c>
      <c r="AH1" s="53" t="s">
        <v>13</v>
      </c>
      <c r="AI1" s="53" t="s">
        <v>6</v>
      </c>
      <c r="AJ1" s="53" t="s">
        <v>14</v>
      </c>
      <c r="AK1" s="53" t="s">
        <v>6</v>
      </c>
      <c r="AL1" s="44" t="s">
        <v>26</v>
      </c>
      <c r="AM1" s="44" t="s">
        <v>6</v>
      </c>
      <c r="AN1" s="142" t="s">
        <v>7</v>
      </c>
      <c r="AO1" s="44" t="s">
        <v>15</v>
      </c>
      <c r="AP1" s="44" t="s">
        <v>16</v>
      </c>
      <c r="AQ1" s="44" t="s">
        <v>17</v>
      </c>
      <c r="AR1" s="142" t="s">
        <v>7</v>
      </c>
      <c r="AS1" s="183"/>
    </row>
    <row r="2" spans="1:45" ht="50.25" customHeight="1" x14ac:dyDescent="0.25">
      <c r="A2" s="27"/>
      <c r="B2" s="1"/>
      <c r="C2" s="9"/>
      <c r="D2" s="9"/>
      <c r="E2" s="9"/>
      <c r="F2" s="9"/>
      <c r="G2" s="56"/>
      <c r="H2" s="56"/>
      <c r="I2" s="44">
        <v>1</v>
      </c>
      <c r="J2" s="44">
        <v>87</v>
      </c>
      <c r="K2" s="44" t="s">
        <v>87</v>
      </c>
      <c r="L2" s="44" t="s">
        <v>88</v>
      </c>
      <c r="M2" s="44" t="s">
        <v>89</v>
      </c>
      <c r="N2" s="44" t="s">
        <v>215</v>
      </c>
      <c r="O2" s="46" t="s">
        <v>90</v>
      </c>
      <c r="P2" s="44" t="s">
        <v>91</v>
      </c>
      <c r="Q2" s="44" t="s">
        <v>92</v>
      </c>
      <c r="R2" s="44" t="s">
        <v>93</v>
      </c>
      <c r="S2" s="44"/>
      <c r="T2" s="44"/>
      <c r="U2" s="44"/>
      <c r="V2" s="142"/>
      <c r="W2" s="146">
        <v>4200</v>
      </c>
      <c r="X2" s="146">
        <v>4200</v>
      </c>
      <c r="Y2" s="146" t="s">
        <v>1501</v>
      </c>
      <c r="Z2" s="187"/>
      <c r="AA2" s="44">
        <v>20000</v>
      </c>
      <c r="AB2" s="44">
        <v>1000</v>
      </c>
      <c r="AC2" s="44" t="s">
        <v>94</v>
      </c>
      <c r="AD2" s="44">
        <v>5000</v>
      </c>
      <c r="AE2" s="44" t="s">
        <v>934</v>
      </c>
      <c r="AF2" s="53">
        <v>7000</v>
      </c>
      <c r="AG2" s="53" t="s">
        <v>1784</v>
      </c>
      <c r="AH2" s="53"/>
      <c r="AI2" s="53"/>
      <c r="AJ2" s="53"/>
      <c r="AK2" s="53"/>
      <c r="AL2" s="44"/>
      <c r="AM2" s="44"/>
      <c r="AN2" s="145">
        <f>AA2-AB2-AD2-AF2-AH2-AJ2-AL2</f>
        <v>7000</v>
      </c>
      <c r="AO2" s="152"/>
      <c r="AP2" s="152"/>
      <c r="AQ2" s="148">
        <f>+AB2+AD2+AF2+AH2+AJ2+AL2</f>
        <v>13000</v>
      </c>
      <c r="AR2" s="145">
        <f t="shared" ref="AR2:AR65" si="0">AN2+Z2+V2-AO2+AP2</f>
        <v>7000</v>
      </c>
      <c r="AS2" s="49"/>
    </row>
    <row r="3" spans="1:45" ht="28.5" customHeight="1" x14ac:dyDescent="0.25">
      <c r="A3" s="27"/>
      <c r="B3" s="1"/>
      <c r="C3" s="9"/>
      <c r="D3" s="9"/>
      <c r="E3" s="9"/>
      <c r="F3" s="9"/>
      <c r="G3" s="56"/>
      <c r="H3" s="56"/>
      <c r="I3" s="44">
        <v>2</v>
      </c>
      <c r="J3" s="44">
        <v>75</v>
      </c>
      <c r="K3" s="44" t="s">
        <v>42</v>
      </c>
      <c r="L3" s="44" t="s">
        <v>45</v>
      </c>
      <c r="M3" s="56">
        <v>293</v>
      </c>
      <c r="N3" s="44" t="s">
        <v>40</v>
      </c>
      <c r="O3" s="46" t="s">
        <v>114</v>
      </c>
      <c r="P3" s="44" t="s">
        <v>38</v>
      </c>
      <c r="Q3" s="44" t="s">
        <v>49</v>
      </c>
      <c r="R3" s="44" t="s">
        <v>50</v>
      </c>
      <c r="S3" s="39"/>
      <c r="T3" s="39"/>
      <c r="U3" s="39"/>
      <c r="V3" s="41"/>
      <c r="W3" s="187"/>
      <c r="X3" s="187"/>
      <c r="Y3" s="187"/>
      <c r="Z3" s="187"/>
      <c r="AA3" s="44">
        <v>30000</v>
      </c>
      <c r="AB3" s="44">
        <v>1000</v>
      </c>
      <c r="AC3" s="44" t="s">
        <v>211</v>
      </c>
      <c r="AD3" s="44"/>
      <c r="AE3" s="44"/>
      <c r="AF3" s="53"/>
      <c r="AG3" s="53"/>
      <c r="AH3" s="53"/>
      <c r="AI3" s="53"/>
      <c r="AJ3" s="53"/>
      <c r="AK3" s="53"/>
      <c r="AL3" s="44"/>
      <c r="AM3" s="44"/>
      <c r="AN3" s="145">
        <f t="shared" ref="AN3:AN8" si="1">AA3-AB3-AD3-AF3-AH3-AJ3-AL3</f>
        <v>29000</v>
      </c>
      <c r="AO3" s="152"/>
      <c r="AP3" s="152"/>
      <c r="AQ3" s="148">
        <f>+AB3+AD3+AF3+AH3+AJ3+AL3</f>
        <v>1000</v>
      </c>
      <c r="AR3" s="145">
        <f t="shared" si="0"/>
        <v>29000</v>
      </c>
      <c r="AS3" s="182"/>
    </row>
    <row r="4" spans="1:45" ht="52.5" customHeight="1" x14ac:dyDescent="0.25">
      <c r="A4" s="27"/>
      <c r="B4" s="1"/>
      <c r="C4" s="9"/>
      <c r="D4" s="9"/>
      <c r="E4" s="9"/>
      <c r="F4" s="9"/>
      <c r="G4" s="56"/>
      <c r="H4" s="56"/>
      <c r="I4" s="44">
        <v>3</v>
      </c>
      <c r="J4" s="44">
        <v>73</v>
      </c>
      <c r="K4" s="44" t="s">
        <v>146</v>
      </c>
      <c r="L4" s="44" t="s">
        <v>23</v>
      </c>
      <c r="M4" s="56">
        <v>267</v>
      </c>
      <c r="N4" s="44" t="s">
        <v>39</v>
      </c>
      <c r="O4" s="46" t="s">
        <v>147</v>
      </c>
      <c r="P4" s="44" t="s">
        <v>41</v>
      </c>
      <c r="Q4" s="56" t="s">
        <v>148</v>
      </c>
      <c r="R4" s="44" t="s">
        <v>149</v>
      </c>
      <c r="S4" s="39"/>
      <c r="T4" s="39"/>
      <c r="U4" s="39"/>
      <c r="V4" s="41"/>
      <c r="W4" s="146">
        <v>4200</v>
      </c>
      <c r="X4" s="146">
        <v>4200</v>
      </c>
      <c r="Y4" s="146" t="s">
        <v>1335</v>
      </c>
      <c r="Z4" s="187"/>
      <c r="AA4" s="44">
        <v>25000</v>
      </c>
      <c r="AB4" s="44">
        <v>10000</v>
      </c>
      <c r="AC4" s="44" t="s">
        <v>210</v>
      </c>
      <c r="AD4" s="44"/>
      <c r="AE4" s="44"/>
      <c r="AF4" s="53"/>
      <c r="AG4" s="53"/>
      <c r="AH4" s="53"/>
      <c r="AI4" s="53"/>
      <c r="AJ4" s="53"/>
      <c r="AK4" s="53"/>
      <c r="AL4" s="44"/>
      <c r="AM4" s="44"/>
      <c r="AN4" s="145">
        <f t="shared" si="1"/>
        <v>15000</v>
      </c>
      <c r="AO4" s="152"/>
      <c r="AP4" s="152"/>
      <c r="AQ4" s="148">
        <f>+AB4+AD4+AF4+AH4+AJ4+AL4</f>
        <v>10000</v>
      </c>
      <c r="AR4" s="145">
        <f t="shared" si="0"/>
        <v>15000</v>
      </c>
      <c r="AS4" s="49"/>
    </row>
    <row r="5" spans="1:45" ht="37.5" customHeight="1" x14ac:dyDescent="0.25">
      <c r="A5" s="27"/>
      <c r="B5" s="1"/>
      <c r="C5" s="9"/>
      <c r="D5" s="9"/>
      <c r="E5" s="9"/>
      <c r="F5" s="9"/>
      <c r="G5" s="56"/>
      <c r="H5" s="56"/>
      <c r="I5" s="44">
        <v>4</v>
      </c>
      <c r="J5" s="44"/>
      <c r="K5" s="44" t="s">
        <v>153</v>
      </c>
      <c r="L5" s="44" t="s">
        <v>154</v>
      </c>
      <c r="M5" s="56">
        <v>493</v>
      </c>
      <c r="N5" s="44" t="s">
        <v>39</v>
      </c>
      <c r="O5" s="46" t="s">
        <v>155</v>
      </c>
      <c r="P5" s="44" t="s">
        <v>34</v>
      </c>
      <c r="Q5" s="44" t="s">
        <v>156</v>
      </c>
      <c r="R5" s="44" t="s">
        <v>157</v>
      </c>
      <c r="S5" s="39"/>
      <c r="T5" s="39"/>
      <c r="U5" s="39"/>
      <c r="V5" s="41"/>
      <c r="W5" s="187"/>
      <c r="X5" s="187"/>
      <c r="Y5" s="187"/>
      <c r="Z5" s="187"/>
      <c r="AA5" s="44">
        <v>15000</v>
      </c>
      <c r="AB5" s="44">
        <v>3000</v>
      </c>
      <c r="AC5" s="44" t="s">
        <v>158</v>
      </c>
      <c r="AD5" s="44"/>
      <c r="AE5" s="44"/>
      <c r="AF5" s="53"/>
      <c r="AG5" s="53"/>
      <c r="AH5" s="53"/>
      <c r="AI5" s="53"/>
      <c r="AJ5" s="53"/>
      <c r="AK5" s="119"/>
      <c r="AL5" s="44"/>
      <c r="AM5" s="44"/>
      <c r="AN5" s="145">
        <f t="shared" si="1"/>
        <v>12000</v>
      </c>
      <c r="AO5" s="152"/>
      <c r="AP5" s="152"/>
      <c r="AQ5" s="148">
        <f>AB5+AD5+AF5+AH5+AJ5+AL5</f>
        <v>3000</v>
      </c>
      <c r="AR5" s="145">
        <f t="shared" si="0"/>
        <v>12000</v>
      </c>
      <c r="AS5" s="49"/>
    </row>
    <row r="6" spans="1:45" ht="37.5" customHeight="1" x14ac:dyDescent="0.25">
      <c r="A6" s="27"/>
      <c r="B6" s="1"/>
      <c r="C6" s="9"/>
      <c r="D6" s="9"/>
      <c r="E6" s="9"/>
      <c r="F6" s="9"/>
      <c r="G6" s="56"/>
      <c r="H6" s="56"/>
      <c r="I6" s="44">
        <v>5</v>
      </c>
      <c r="J6" s="44"/>
      <c r="K6" s="56" t="s">
        <v>169</v>
      </c>
      <c r="L6" s="56" t="s">
        <v>160</v>
      </c>
      <c r="M6" s="56">
        <v>344</v>
      </c>
      <c r="N6" s="44" t="s">
        <v>39</v>
      </c>
      <c r="O6" s="57" t="s">
        <v>165</v>
      </c>
      <c r="P6" s="56" t="s">
        <v>170</v>
      </c>
      <c r="Q6" s="44" t="s">
        <v>171</v>
      </c>
      <c r="R6" s="56" t="s">
        <v>172</v>
      </c>
      <c r="S6" s="39"/>
      <c r="T6" s="39"/>
      <c r="U6" s="39"/>
      <c r="V6" s="41"/>
      <c r="W6" s="146">
        <v>4200</v>
      </c>
      <c r="X6" s="146">
        <v>4200</v>
      </c>
      <c r="Y6" s="146" t="s">
        <v>1338</v>
      </c>
      <c r="Z6" s="187"/>
      <c r="AA6" s="56">
        <v>30000</v>
      </c>
      <c r="AB6" s="56">
        <v>1000</v>
      </c>
      <c r="AC6" s="56" t="s">
        <v>173</v>
      </c>
      <c r="AD6" s="58"/>
      <c r="AE6" s="58"/>
      <c r="AF6" s="42"/>
      <c r="AG6" s="42"/>
      <c r="AH6" s="42"/>
      <c r="AI6" s="42"/>
      <c r="AJ6" s="42"/>
      <c r="AK6" s="42"/>
      <c r="AL6" s="39"/>
      <c r="AM6" s="39"/>
      <c r="AN6" s="143">
        <f t="shared" si="1"/>
        <v>29000</v>
      </c>
      <c r="AO6" s="58"/>
      <c r="AP6" s="58"/>
      <c r="AQ6" s="149">
        <f>+AB6+AD6+AF6+AH6+AJ6+AL6</f>
        <v>1000</v>
      </c>
      <c r="AR6" s="145">
        <f t="shared" si="0"/>
        <v>29000</v>
      </c>
      <c r="AS6" s="183"/>
    </row>
    <row r="7" spans="1:45" ht="37.5" customHeight="1" x14ac:dyDescent="0.25">
      <c r="A7" s="27"/>
      <c r="B7" s="1"/>
      <c r="C7" s="9"/>
      <c r="D7" s="9"/>
      <c r="E7" s="9"/>
      <c r="F7" s="9"/>
      <c r="G7" s="56"/>
      <c r="H7" s="56"/>
      <c r="I7" s="44">
        <v>6</v>
      </c>
      <c r="J7" s="44">
        <v>60</v>
      </c>
      <c r="K7" s="56" t="s">
        <v>174</v>
      </c>
      <c r="L7" s="56" t="s">
        <v>175</v>
      </c>
      <c r="M7" s="56">
        <v>349</v>
      </c>
      <c r="N7" s="56" t="s">
        <v>39</v>
      </c>
      <c r="O7" s="57" t="s">
        <v>176</v>
      </c>
      <c r="P7" s="56" t="s">
        <v>170</v>
      </c>
      <c r="Q7" s="44" t="s">
        <v>171</v>
      </c>
      <c r="R7" s="56" t="s">
        <v>172</v>
      </c>
      <c r="S7" s="39"/>
      <c r="T7" s="39"/>
      <c r="U7" s="39"/>
      <c r="V7" s="41"/>
      <c r="W7" s="146"/>
      <c r="X7" s="146"/>
      <c r="Y7" s="39"/>
      <c r="Z7" s="41"/>
      <c r="AA7" s="56">
        <v>30000</v>
      </c>
      <c r="AB7" s="56">
        <v>1000</v>
      </c>
      <c r="AC7" s="56" t="s">
        <v>177</v>
      </c>
      <c r="AD7" s="58"/>
      <c r="AE7" s="58"/>
      <c r="AF7" s="42"/>
      <c r="AG7" s="42"/>
      <c r="AH7" s="42"/>
      <c r="AI7" s="42"/>
      <c r="AJ7" s="42"/>
      <c r="AK7" s="42"/>
      <c r="AL7" s="39"/>
      <c r="AM7" s="39"/>
      <c r="AN7" s="143">
        <f t="shared" si="1"/>
        <v>29000</v>
      </c>
      <c r="AO7" s="58"/>
      <c r="AP7" s="145"/>
      <c r="AQ7" s="149">
        <f>+AB7+AD7+AF7+AH7+AJ7+AL7</f>
        <v>1000</v>
      </c>
      <c r="AR7" s="145">
        <f t="shared" si="0"/>
        <v>29000</v>
      </c>
      <c r="AS7" s="49"/>
    </row>
    <row r="8" spans="1:45" ht="37.5" customHeight="1" x14ac:dyDescent="0.25">
      <c r="A8" s="27"/>
      <c r="B8" s="1"/>
      <c r="C8" s="9"/>
      <c r="D8" s="9"/>
      <c r="E8" s="9"/>
      <c r="F8" s="9"/>
      <c r="G8" s="56"/>
      <c r="H8" s="56"/>
      <c r="I8" s="44">
        <v>7</v>
      </c>
      <c r="J8" s="44">
        <v>9</v>
      </c>
      <c r="K8" s="44" t="s">
        <v>193</v>
      </c>
      <c r="L8" s="44" t="s">
        <v>194</v>
      </c>
      <c r="M8" s="56">
        <v>455</v>
      </c>
      <c r="N8" s="44" t="s">
        <v>39</v>
      </c>
      <c r="O8" s="46" t="s">
        <v>195</v>
      </c>
      <c r="P8" s="44" t="s">
        <v>196</v>
      </c>
      <c r="Q8" s="44" t="s">
        <v>49</v>
      </c>
      <c r="R8" s="44" t="s">
        <v>197</v>
      </c>
      <c r="S8" s="39"/>
      <c r="T8" s="39"/>
      <c r="U8" s="39"/>
      <c r="V8" s="142"/>
      <c r="W8" s="146">
        <v>4200</v>
      </c>
      <c r="X8" s="146">
        <v>4200</v>
      </c>
      <c r="Y8" s="39" t="s">
        <v>1340</v>
      </c>
      <c r="Z8" s="41"/>
      <c r="AA8" s="44">
        <v>30000</v>
      </c>
      <c r="AB8" s="44">
        <v>2500</v>
      </c>
      <c r="AC8" s="44" t="s">
        <v>198</v>
      </c>
      <c r="AD8" s="44">
        <v>2500</v>
      </c>
      <c r="AE8" s="44" t="s">
        <v>649</v>
      </c>
      <c r="AF8" s="53">
        <v>2500</v>
      </c>
      <c r="AG8" s="53" t="s">
        <v>952</v>
      </c>
      <c r="AH8" s="53"/>
      <c r="AI8" s="53"/>
      <c r="AJ8" s="53"/>
      <c r="AK8" s="53"/>
      <c r="AL8" s="44"/>
      <c r="AM8" s="44"/>
      <c r="AN8" s="145">
        <f t="shared" si="1"/>
        <v>22500</v>
      </c>
      <c r="AO8" s="152"/>
      <c r="AP8" s="152"/>
      <c r="AQ8" s="148">
        <f>+AB8+AD8+AF8+AH8+AJ8+AL8</f>
        <v>7500</v>
      </c>
      <c r="AR8" s="145">
        <f t="shared" si="0"/>
        <v>22500</v>
      </c>
      <c r="AS8" s="49"/>
    </row>
    <row r="9" spans="1:45" ht="23.25" customHeight="1" x14ac:dyDescent="0.25">
      <c r="A9" s="27"/>
      <c r="B9" s="1"/>
      <c r="C9" s="9"/>
      <c r="D9" s="9"/>
      <c r="E9" s="9"/>
      <c r="F9" s="9"/>
      <c r="G9" s="56"/>
      <c r="H9" s="56"/>
      <c r="I9" s="44">
        <v>8</v>
      </c>
      <c r="J9" s="44">
        <v>7</v>
      </c>
      <c r="K9" s="44" t="s">
        <v>199</v>
      </c>
      <c r="L9" s="44" t="s">
        <v>200</v>
      </c>
      <c r="M9" s="56">
        <v>294</v>
      </c>
      <c r="N9" s="44" t="s">
        <v>39</v>
      </c>
      <c r="O9" s="44">
        <v>3013806487</v>
      </c>
      <c r="P9" s="44" t="s">
        <v>201</v>
      </c>
      <c r="Q9" s="44" t="s">
        <v>202</v>
      </c>
      <c r="R9" s="44" t="s">
        <v>172</v>
      </c>
      <c r="S9" s="44"/>
      <c r="T9" s="44"/>
      <c r="U9" s="44"/>
      <c r="V9" s="142"/>
      <c r="W9" s="146">
        <v>4200</v>
      </c>
      <c r="X9" s="146">
        <v>4200</v>
      </c>
      <c r="Y9" s="39" t="s">
        <v>1595</v>
      </c>
      <c r="Z9" s="41"/>
      <c r="AA9" s="44">
        <v>33000</v>
      </c>
      <c r="AB9" s="44">
        <v>5000</v>
      </c>
      <c r="AC9" s="44" t="s">
        <v>203</v>
      </c>
      <c r="AD9" s="44">
        <v>5000</v>
      </c>
      <c r="AE9" s="44" t="s">
        <v>813</v>
      </c>
      <c r="AF9" s="53"/>
      <c r="AG9" s="53"/>
      <c r="AH9" s="53"/>
      <c r="AI9" s="118"/>
      <c r="AJ9" s="53"/>
      <c r="AK9" s="53"/>
      <c r="AL9" s="44"/>
      <c r="AM9" s="44"/>
      <c r="AN9" s="145">
        <f t="shared" ref="AN9:AN15" si="2">AA9-AB9-AD9-AF9-AH9-AJ9</f>
        <v>23000</v>
      </c>
      <c r="AO9" s="152"/>
      <c r="AP9" s="152"/>
      <c r="AQ9" s="148">
        <f t="shared" ref="AQ9:AQ44" si="3">+AB9+AD9+AF9+AH9+AJ9</f>
        <v>10000</v>
      </c>
      <c r="AR9" s="145">
        <f t="shared" si="0"/>
        <v>23000</v>
      </c>
      <c r="AS9" s="49"/>
    </row>
    <row r="10" spans="1:45" ht="37.5" customHeight="1" x14ac:dyDescent="0.25">
      <c r="A10" s="27"/>
      <c r="B10" s="1"/>
      <c r="C10" s="9"/>
      <c r="D10" s="9"/>
      <c r="E10" s="9"/>
      <c r="F10" s="9"/>
      <c r="G10" s="56"/>
      <c r="H10" s="56"/>
      <c r="I10" s="44">
        <v>9</v>
      </c>
      <c r="J10" s="44">
        <v>67</v>
      </c>
      <c r="K10" s="44" t="s">
        <v>205</v>
      </c>
      <c r="L10" s="44" t="s">
        <v>206</v>
      </c>
      <c r="M10" s="56">
        <v>482</v>
      </c>
      <c r="N10" s="44" t="s">
        <v>728</v>
      </c>
      <c r="O10" s="46" t="s">
        <v>271</v>
      </c>
      <c r="P10" s="44" t="s">
        <v>41</v>
      </c>
      <c r="Q10" s="44" t="s">
        <v>49</v>
      </c>
      <c r="R10" s="44" t="s">
        <v>149</v>
      </c>
      <c r="S10" s="44"/>
      <c r="T10" s="44"/>
      <c r="U10" s="44"/>
      <c r="V10" s="142"/>
      <c r="W10" s="146">
        <v>4200</v>
      </c>
      <c r="X10" s="146">
        <v>4200</v>
      </c>
      <c r="Y10" s="39" t="s">
        <v>1345</v>
      </c>
      <c r="Z10" s="41"/>
      <c r="AA10" s="44">
        <v>20000</v>
      </c>
      <c r="AB10" s="44">
        <v>10000</v>
      </c>
      <c r="AC10" s="44" t="s">
        <v>207</v>
      </c>
      <c r="AD10" s="44"/>
      <c r="AE10" s="44"/>
      <c r="AF10" s="53"/>
      <c r="AG10" s="53"/>
      <c r="AH10" s="53"/>
      <c r="AI10" s="53"/>
      <c r="AJ10" s="53"/>
      <c r="AK10" s="53"/>
      <c r="AL10" s="44"/>
      <c r="AM10" s="44"/>
      <c r="AN10" s="145">
        <f t="shared" si="2"/>
        <v>10000</v>
      </c>
      <c r="AO10" s="152"/>
      <c r="AP10" s="152"/>
      <c r="AQ10" s="148">
        <f t="shared" si="3"/>
        <v>10000</v>
      </c>
      <c r="AR10" s="145">
        <f t="shared" si="0"/>
        <v>10000</v>
      </c>
      <c r="AS10" s="182"/>
    </row>
    <row r="11" spans="1:45" ht="37.5" customHeight="1" x14ac:dyDescent="0.25">
      <c r="A11" s="27"/>
      <c r="B11" s="1"/>
      <c r="C11" s="9"/>
      <c r="D11" s="9"/>
      <c r="E11" s="9"/>
      <c r="F11" s="9"/>
      <c r="G11" s="56"/>
      <c r="H11" s="56"/>
      <c r="I11" s="44">
        <v>10</v>
      </c>
      <c r="J11" s="44"/>
      <c r="K11" s="44" t="s">
        <v>226</v>
      </c>
      <c r="L11" s="44" t="s">
        <v>227</v>
      </c>
      <c r="M11" s="56">
        <v>312</v>
      </c>
      <c r="N11" s="44" t="s">
        <v>39</v>
      </c>
      <c r="O11" s="46" t="s">
        <v>228</v>
      </c>
      <c r="P11" s="44" t="s">
        <v>196</v>
      </c>
      <c r="Q11" s="44" t="s">
        <v>229</v>
      </c>
      <c r="R11" s="44" t="s">
        <v>230</v>
      </c>
      <c r="S11" s="44"/>
      <c r="T11" s="44"/>
      <c r="U11" s="44"/>
      <c r="V11" s="142"/>
      <c r="W11" s="39">
        <v>4200</v>
      </c>
      <c r="X11" s="39">
        <v>4200</v>
      </c>
      <c r="Y11" s="39" t="s">
        <v>1298</v>
      </c>
      <c r="Z11" s="41"/>
      <c r="AA11" s="44">
        <v>30000</v>
      </c>
      <c r="AB11" s="44">
        <v>1000</v>
      </c>
      <c r="AC11" s="44" t="s">
        <v>231</v>
      </c>
      <c r="AD11" s="44">
        <v>6000</v>
      </c>
      <c r="AE11" s="44" t="s">
        <v>1302</v>
      </c>
      <c r="AF11" s="53"/>
      <c r="AG11" s="53"/>
      <c r="AH11" s="53"/>
      <c r="AI11" s="53"/>
      <c r="AJ11" s="53"/>
      <c r="AK11" s="53"/>
      <c r="AL11" s="44"/>
      <c r="AM11" s="44"/>
      <c r="AN11" s="145">
        <f t="shared" si="2"/>
        <v>23000</v>
      </c>
      <c r="AO11" s="152"/>
      <c r="AP11" s="152"/>
      <c r="AQ11" s="148">
        <f t="shared" si="3"/>
        <v>7000</v>
      </c>
      <c r="AR11" s="145">
        <f t="shared" si="0"/>
        <v>23000</v>
      </c>
      <c r="AS11" s="49"/>
    </row>
    <row r="12" spans="1:45" ht="36.75" customHeight="1" x14ac:dyDescent="0.25">
      <c r="A12" s="27"/>
      <c r="B12" s="1"/>
      <c r="C12" s="9"/>
      <c r="D12" s="9"/>
      <c r="E12" s="9"/>
      <c r="F12" s="9"/>
      <c r="G12" s="56"/>
      <c r="H12" s="56"/>
      <c r="I12" s="44">
        <v>11</v>
      </c>
      <c r="J12" s="44">
        <v>64</v>
      </c>
      <c r="K12" s="107" t="s">
        <v>232</v>
      </c>
      <c r="L12" s="56" t="s">
        <v>233</v>
      </c>
      <c r="M12" s="56">
        <v>290</v>
      </c>
      <c r="N12" s="44" t="s">
        <v>215</v>
      </c>
      <c r="O12" s="57" t="s">
        <v>234</v>
      </c>
      <c r="P12" s="56" t="s">
        <v>235</v>
      </c>
      <c r="Q12" s="56" t="s">
        <v>236</v>
      </c>
      <c r="R12" s="58" t="s">
        <v>108</v>
      </c>
      <c r="S12" s="39"/>
      <c r="T12" s="39"/>
      <c r="U12" s="39"/>
      <c r="V12" s="41"/>
      <c r="W12" s="39">
        <v>4200</v>
      </c>
      <c r="X12" s="39">
        <v>4200</v>
      </c>
      <c r="Y12" s="39" t="s">
        <v>1276</v>
      </c>
      <c r="Z12" s="41"/>
      <c r="AA12" s="56">
        <v>50000</v>
      </c>
      <c r="AB12" s="56">
        <v>10000</v>
      </c>
      <c r="AC12" s="56" t="s">
        <v>237</v>
      </c>
      <c r="AD12" s="56">
        <v>10000</v>
      </c>
      <c r="AE12" s="58" t="s">
        <v>1754</v>
      </c>
      <c r="AF12" s="42"/>
      <c r="AG12" s="42"/>
      <c r="AH12" s="42"/>
      <c r="AI12" s="42"/>
      <c r="AJ12" s="42"/>
      <c r="AK12" s="42"/>
      <c r="AL12" s="39"/>
      <c r="AM12" s="39"/>
      <c r="AN12" s="143">
        <f t="shared" si="2"/>
        <v>30000</v>
      </c>
      <c r="AO12" s="58"/>
      <c r="AP12" s="58"/>
      <c r="AQ12" s="149">
        <f t="shared" si="3"/>
        <v>20000</v>
      </c>
      <c r="AR12" s="145">
        <f t="shared" si="0"/>
        <v>30000</v>
      </c>
      <c r="AS12" s="49"/>
    </row>
    <row r="13" spans="1:45" ht="37.5" customHeight="1" x14ac:dyDescent="0.25">
      <c r="A13" s="27" t="s">
        <v>31</v>
      </c>
      <c r="B13" s="1"/>
      <c r="C13" s="9"/>
      <c r="D13" s="9"/>
      <c r="E13" s="9"/>
      <c r="F13" s="9"/>
      <c r="G13" s="56"/>
      <c r="H13" s="56"/>
      <c r="I13" s="44">
        <v>12</v>
      </c>
      <c r="J13" s="44">
        <v>81</v>
      </c>
      <c r="K13" s="56" t="s">
        <v>288</v>
      </c>
      <c r="L13" s="56" t="s">
        <v>289</v>
      </c>
      <c r="M13" s="56">
        <v>357</v>
      </c>
      <c r="N13" s="56" t="s">
        <v>39</v>
      </c>
      <c r="O13" s="57" t="s">
        <v>290</v>
      </c>
      <c r="P13" s="56" t="s">
        <v>291</v>
      </c>
      <c r="Q13" s="44" t="s">
        <v>229</v>
      </c>
      <c r="R13" s="58" t="s">
        <v>172</v>
      </c>
      <c r="S13" s="39"/>
      <c r="T13" s="39"/>
      <c r="U13" s="39"/>
      <c r="V13" s="41"/>
      <c r="W13" s="39"/>
      <c r="X13" s="39"/>
      <c r="Y13" s="39"/>
      <c r="Z13" s="41"/>
      <c r="AA13" s="56">
        <v>30000</v>
      </c>
      <c r="AB13" s="56">
        <v>2000</v>
      </c>
      <c r="AC13" s="56" t="s">
        <v>292</v>
      </c>
      <c r="AD13" s="39"/>
      <c r="AE13" s="39"/>
      <c r="AF13" s="42"/>
      <c r="AG13" s="42"/>
      <c r="AH13" s="42"/>
      <c r="AI13" s="42"/>
      <c r="AJ13" s="42"/>
      <c r="AK13" s="42"/>
      <c r="AL13" s="39"/>
      <c r="AM13" s="39"/>
      <c r="AN13" s="143">
        <f t="shared" si="2"/>
        <v>28000</v>
      </c>
      <c r="AO13" s="58"/>
      <c r="AP13" s="58"/>
      <c r="AQ13" s="149">
        <f t="shared" si="3"/>
        <v>2000</v>
      </c>
      <c r="AR13" s="145">
        <f t="shared" si="0"/>
        <v>28000</v>
      </c>
      <c r="AS13" s="49"/>
    </row>
    <row r="14" spans="1:45" ht="35.25" customHeight="1" x14ac:dyDescent="0.25">
      <c r="A14" s="27"/>
      <c r="B14" s="1"/>
      <c r="C14" s="9"/>
      <c r="D14" s="9"/>
      <c r="E14" s="9"/>
      <c r="F14" s="9"/>
      <c r="G14" s="56"/>
      <c r="H14" s="56"/>
      <c r="I14" s="44">
        <v>13</v>
      </c>
      <c r="J14" s="44">
        <v>30</v>
      </c>
      <c r="K14" s="56" t="s">
        <v>293</v>
      </c>
      <c r="L14" s="56" t="s">
        <v>160</v>
      </c>
      <c r="M14" s="56">
        <v>346</v>
      </c>
      <c r="N14" s="56" t="s">
        <v>39</v>
      </c>
      <c r="O14" s="57" t="s">
        <v>294</v>
      </c>
      <c r="P14" s="56" t="s">
        <v>295</v>
      </c>
      <c r="Q14" s="44" t="s">
        <v>296</v>
      </c>
      <c r="R14" s="58" t="s">
        <v>297</v>
      </c>
      <c r="S14" s="39"/>
      <c r="T14" s="39"/>
      <c r="U14" s="39"/>
      <c r="V14" s="41"/>
      <c r="W14" s="39">
        <v>4200</v>
      </c>
      <c r="X14" s="39">
        <v>4200</v>
      </c>
      <c r="Y14" s="39" t="s">
        <v>1339</v>
      </c>
      <c r="Z14" s="41"/>
      <c r="AA14" s="56">
        <v>32000</v>
      </c>
      <c r="AB14" s="56">
        <v>2500</v>
      </c>
      <c r="AC14" s="56" t="s">
        <v>298</v>
      </c>
      <c r="AD14" s="58"/>
      <c r="AE14" s="58"/>
      <c r="AF14" s="42"/>
      <c r="AG14" s="42"/>
      <c r="AH14" s="42"/>
      <c r="AI14" s="116"/>
      <c r="AJ14" s="42"/>
      <c r="AK14" s="42"/>
      <c r="AL14" s="39"/>
      <c r="AM14" s="39"/>
      <c r="AN14" s="143">
        <f t="shared" si="2"/>
        <v>29500</v>
      </c>
      <c r="AO14" s="58"/>
      <c r="AP14" s="58"/>
      <c r="AQ14" s="149">
        <f t="shared" si="3"/>
        <v>2500</v>
      </c>
      <c r="AR14" s="145">
        <f t="shared" si="0"/>
        <v>29500</v>
      </c>
      <c r="AS14" s="184"/>
    </row>
    <row r="15" spans="1:45" ht="37.5" customHeight="1" x14ac:dyDescent="0.25">
      <c r="A15" s="27"/>
      <c r="B15" s="1"/>
      <c r="C15" s="9"/>
      <c r="D15" s="9"/>
      <c r="E15" s="9"/>
      <c r="F15" s="9"/>
      <c r="G15" s="56"/>
      <c r="H15" s="56"/>
      <c r="I15" s="44">
        <v>14</v>
      </c>
      <c r="J15" s="44"/>
      <c r="K15" s="44" t="s">
        <v>307</v>
      </c>
      <c r="L15" s="44" t="s">
        <v>308</v>
      </c>
      <c r="M15" s="56"/>
      <c r="N15" s="44" t="s">
        <v>728</v>
      </c>
      <c r="O15" s="46" t="s">
        <v>309</v>
      </c>
      <c r="P15" s="44" t="s">
        <v>37</v>
      </c>
      <c r="Q15" s="44" t="s">
        <v>229</v>
      </c>
      <c r="R15" s="58"/>
      <c r="S15" s="39"/>
      <c r="T15" s="39"/>
      <c r="U15" s="39"/>
      <c r="V15" s="41"/>
      <c r="W15" s="39"/>
      <c r="X15" s="39"/>
      <c r="Y15" s="39"/>
      <c r="Z15" s="41"/>
      <c r="AA15" s="56">
        <v>28000</v>
      </c>
      <c r="AB15" s="56">
        <v>3000</v>
      </c>
      <c r="AC15" s="56" t="s">
        <v>310</v>
      </c>
      <c r="AD15" s="58"/>
      <c r="AE15" s="58"/>
      <c r="AF15" s="42"/>
      <c r="AG15" s="42"/>
      <c r="AH15" s="42"/>
      <c r="AI15" s="42"/>
      <c r="AJ15" s="42"/>
      <c r="AK15" s="42"/>
      <c r="AL15" s="39"/>
      <c r="AM15" s="39"/>
      <c r="AN15" s="143">
        <f t="shared" si="2"/>
        <v>25000</v>
      </c>
      <c r="AO15" s="58"/>
      <c r="AP15" s="58"/>
      <c r="AQ15" s="149">
        <f t="shared" si="3"/>
        <v>3000</v>
      </c>
      <c r="AR15" s="145">
        <f t="shared" si="0"/>
        <v>25000</v>
      </c>
      <c r="AS15" s="182"/>
    </row>
    <row r="16" spans="1:45" ht="37.5" customHeight="1" x14ac:dyDescent="0.25">
      <c r="A16" s="27"/>
      <c r="B16" s="1"/>
      <c r="C16" s="9"/>
      <c r="D16" s="9"/>
      <c r="E16" s="9"/>
      <c r="F16" s="9"/>
      <c r="G16" s="56"/>
      <c r="H16" s="56"/>
      <c r="I16" s="44">
        <v>15</v>
      </c>
      <c r="J16" s="44">
        <v>21</v>
      </c>
      <c r="K16" s="56" t="s">
        <v>327</v>
      </c>
      <c r="L16" s="56" t="s">
        <v>323</v>
      </c>
      <c r="M16" s="56">
        <v>388</v>
      </c>
      <c r="N16" s="56" t="s">
        <v>39</v>
      </c>
      <c r="O16" s="57" t="s">
        <v>328</v>
      </c>
      <c r="P16" s="44" t="s">
        <v>324</v>
      </c>
      <c r="Q16" s="44" t="s">
        <v>171</v>
      </c>
      <c r="R16" s="44" t="s">
        <v>325</v>
      </c>
      <c r="S16" s="39"/>
      <c r="T16" s="39"/>
      <c r="U16" s="39"/>
      <c r="V16" s="41"/>
      <c r="W16" s="39"/>
      <c r="X16" s="39"/>
      <c r="Y16" s="39"/>
      <c r="Z16" s="41"/>
      <c r="AA16" s="56">
        <v>30000</v>
      </c>
      <c r="AB16" s="56">
        <v>6000</v>
      </c>
      <c r="AC16" s="56" t="s">
        <v>329</v>
      </c>
      <c r="AD16" s="121"/>
      <c r="AE16" s="163"/>
      <c r="AF16" s="42"/>
      <c r="AG16" s="42"/>
      <c r="AH16" s="42"/>
      <c r="AI16" s="42"/>
      <c r="AJ16" s="42"/>
      <c r="AK16" s="42"/>
      <c r="AL16" s="39"/>
      <c r="AM16" s="39"/>
      <c r="AN16" s="143">
        <f>AA16-AB16-AD16-AF16-AH16-AJ16-AL16</f>
        <v>24000</v>
      </c>
      <c r="AO16" s="58"/>
      <c r="AP16" s="58"/>
      <c r="AQ16" s="149">
        <f t="shared" si="3"/>
        <v>6000</v>
      </c>
      <c r="AR16" s="145">
        <f t="shared" si="0"/>
        <v>24000</v>
      </c>
      <c r="AS16" s="49"/>
    </row>
    <row r="17" spans="1:45" ht="42" customHeight="1" x14ac:dyDescent="0.25">
      <c r="A17" s="27"/>
      <c r="B17" s="1"/>
      <c r="C17" s="9"/>
      <c r="D17" s="9"/>
      <c r="E17" s="9"/>
      <c r="F17" s="9"/>
      <c r="G17" s="56"/>
      <c r="H17" s="56"/>
      <c r="I17" s="44">
        <v>16</v>
      </c>
      <c r="J17" s="44">
        <v>71</v>
      </c>
      <c r="K17" s="44" t="s">
        <v>334</v>
      </c>
      <c r="L17" s="44" t="s">
        <v>335</v>
      </c>
      <c r="M17" s="56">
        <v>454</v>
      </c>
      <c r="N17" s="44" t="s">
        <v>728</v>
      </c>
      <c r="O17" s="46" t="s">
        <v>337</v>
      </c>
      <c r="P17" s="44" t="s">
        <v>38</v>
      </c>
      <c r="Q17" s="44" t="s">
        <v>156</v>
      </c>
      <c r="R17" s="44" t="s">
        <v>172</v>
      </c>
      <c r="S17" s="44"/>
      <c r="T17" s="44"/>
      <c r="U17" s="44"/>
      <c r="V17" s="142"/>
      <c r="W17" s="39">
        <v>4200</v>
      </c>
      <c r="X17" s="39">
        <v>4200</v>
      </c>
      <c r="Y17" s="39" t="s">
        <v>1308</v>
      </c>
      <c r="Z17" s="41"/>
      <c r="AA17" s="44">
        <v>30000</v>
      </c>
      <c r="AB17" s="44">
        <v>2500</v>
      </c>
      <c r="AC17" s="44" t="s">
        <v>349</v>
      </c>
      <c r="AD17" s="44">
        <v>2500</v>
      </c>
      <c r="AE17" s="44" t="s">
        <v>1107</v>
      </c>
      <c r="AF17" s="53">
        <v>3000</v>
      </c>
      <c r="AG17" s="53" t="s">
        <v>1230</v>
      </c>
      <c r="AH17" s="53">
        <v>2000</v>
      </c>
      <c r="AI17" s="53" t="s">
        <v>1669</v>
      </c>
      <c r="AJ17" s="53">
        <v>10000</v>
      </c>
      <c r="AK17" s="53" t="s">
        <v>1815</v>
      </c>
      <c r="AL17" s="44"/>
      <c r="AM17" s="44"/>
      <c r="AN17" s="145">
        <f>AA17-AB17-AD17-AF17-AH17-AJ17-AL17</f>
        <v>10000</v>
      </c>
      <c r="AO17" s="152"/>
      <c r="AP17" s="152"/>
      <c r="AQ17" s="148">
        <f>+AB17+AD17+AF17+AH17+AJ17+AL17</f>
        <v>20000</v>
      </c>
      <c r="AR17" s="145">
        <f t="shared" si="0"/>
        <v>10000</v>
      </c>
      <c r="AS17" s="182"/>
    </row>
    <row r="18" spans="1:45" ht="37.5" customHeight="1" x14ac:dyDescent="0.25">
      <c r="A18" s="27"/>
      <c r="B18" s="1"/>
      <c r="C18" s="9"/>
      <c r="D18" s="9"/>
      <c r="E18" s="9"/>
      <c r="F18" s="9"/>
      <c r="G18" s="56"/>
      <c r="H18" s="56"/>
      <c r="I18" s="44">
        <v>17</v>
      </c>
      <c r="J18" s="44">
        <v>82</v>
      </c>
      <c r="K18" s="44" t="s">
        <v>361</v>
      </c>
      <c r="L18" s="44" t="s">
        <v>362</v>
      </c>
      <c r="M18" s="56"/>
      <c r="N18" s="44" t="s">
        <v>215</v>
      </c>
      <c r="O18" s="46" t="s">
        <v>363</v>
      </c>
      <c r="P18" s="44" t="s">
        <v>364</v>
      </c>
      <c r="Q18" s="44" t="s">
        <v>365</v>
      </c>
      <c r="R18" s="44" t="s">
        <v>172</v>
      </c>
      <c r="S18" s="44"/>
      <c r="T18" s="44"/>
      <c r="U18" s="44"/>
      <c r="V18" s="142"/>
      <c r="W18" s="39">
        <v>4200</v>
      </c>
      <c r="X18" s="39">
        <v>4200</v>
      </c>
      <c r="Y18" s="39" t="s">
        <v>1341</v>
      </c>
      <c r="Z18" s="41"/>
      <c r="AA18" s="44">
        <v>40000</v>
      </c>
      <c r="AB18" s="44">
        <v>20000</v>
      </c>
      <c r="AC18" s="44" t="s">
        <v>366</v>
      </c>
      <c r="AD18" s="44"/>
      <c r="AE18" s="153"/>
      <c r="AF18" s="53"/>
      <c r="AG18" s="67"/>
      <c r="AH18" s="53"/>
      <c r="AI18" s="67"/>
      <c r="AJ18" s="53"/>
      <c r="AK18" s="67"/>
      <c r="AL18" s="44"/>
      <c r="AM18" s="153"/>
      <c r="AN18" s="145">
        <f>AA18-AB18-AD18-AF18-AH18-AJ18</f>
        <v>20000</v>
      </c>
      <c r="AO18" s="152"/>
      <c r="AP18" s="152"/>
      <c r="AQ18" s="148">
        <f t="shared" si="3"/>
        <v>20000</v>
      </c>
      <c r="AR18" s="145">
        <f t="shared" si="0"/>
        <v>20000</v>
      </c>
      <c r="AS18" s="49"/>
    </row>
    <row r="19" spans="1:45" ht="39" customHeight="1" x14ac:dyDescent="0.25">
      <c r="A19" s="27"/>
      <c r="B19" s="1"/>
      <c r="C19" s="9"/>
      <c r="D19" s="9"/>
      <c r="E19" s="9"/>
      <c r="F19" s="9"/>
      <c r="G19" s="56"/>
      <c r="H19" s="56"/>
      <c r="I19" s="44">
        <v>18</v>
      </c>
      <c r="J19" s="44">
        <v>78</v>
      </c>
      <c r="K19" s="44" t="s">
        <v>367</v>
      </c>
      <c r="L19" s="44" t="s">
        <v>368</v>
      </c>
      <c r="M19" s="56"/>
      <c r="N19" s="44" t="s">
        <v>40</v>
      </c>
      <c r="O19" s="46" t="s">
        <v>369</v>
      </c>
      <c r="P19" s="44" t="s">
        <v>370</v>
      </c>
      <c r="Q19" s="44"/>
      <c r="R19" s="44" t="s">
        <v>372</v>
      </c>
      <c r="S19" s="44"/>
      <c r="T19" s="44"/>
      <c r="U19" s="44"/>
      <c r="V19" s="142"/>
      <c r="W19" s="39">
        <v>4200</v>
      </c>
      <c r="X19" s="39">
        <v>4200</v>
      </c>
      <c r="Y19" s="39" t="s">
        <v>1606</v>
      </c>
      <c r="Z19" s="41"/>
      <c r="AA19" s="44">
        <v>30000</v>
      </c>
      <c r="AB19" s="44">
        <v>2500</v>
      </c>
      <c r="AC19" s="44" t="s">
        <v>371</v>
      </c>
      <c r="AD19" s="44">
        <v>2500</v>
      </c>
      <c r="AE19" s="44" t="s">
        <v>1589</v>
      </c>
      <c r="AF19" s="53">
        <v>2500</v>
      </c>
      <c r="AG19" s="53" t="s">
        <v>1804</v>
      </c>
      <c r="AH19" s="53"/>
      <c r="AI19" s="53"/>
      <c r="AJ19" s="53"/>
      <c r="AK19" s="53"/>
      <c r="AL19" s="44"/>
      <c r="AM19" s="44"/>
      <c r="AN19" s="145">
        <f>AA19-AB19-AD19-AF19-AH19-AJ19-AL19</f>
        <v>22500</v>
      </c>
      <c r="AO19" s="152"/>
      <c r="AP19" s="152"/>
      <c r="AQ19" s="148">
        <f>+AB19+AD19+AF19+AH19+AJ19+AL19</f>
        <v>7500</v>
      </c>
      <c r="AR19" s="145">
        <f t="shared" si="0"/>
        <v>22500</v>
      </c>
      <c r="AS19" s="182"/>
    </row>
    <row r="20" spans="1:45" ht="51" customHeight="1" x14ac:dyDescent="0.25">
      <c r="A20" s="27"/>
      <c r="B20" s="1"/>
      <c r="C20" s="9"/>
      <c r="D20" s="9"/>
      <c r="E20" s="9"/>
      <c r="F20" s="9"/>
      <c r="G20" s="56"/>
      <c r="H20" s="56"/>
      <c r="I20" s="44">
        <v>19</v>
      </c>
      <c r="J20" s="44"/>
      <c r="K20" s="44" t="s">
        <v>380</v>
      </c>
      <c r="L20" s="44" t="s">
        <v>381</v>
      </c>
      <c r="M20" s="56"/>
      <c r="N20" s="44" t="s">
        <v>728</v>
      </c>
      <c r="O20" s="46" t="s">
        <v>382</v>
      </c>
      <c r="P20" s="44" t="s">
        <v>383</v>
      </c>
      <c r="Q20" s="44" t="s">
        <v>384</v>
      </c>
      <c r="R20" s="44" t="s">
        <v>297</v>
      </c>
      <c r="S20" s="44"/>
      <c r="T20" s="44"/>
      <c r="U20" s="44"/>
      <c r="V20" s="142"/>
      <c r="W20" s="39">
        <v>4200</v>
      </c>
      <c r="X20" s="39">
        <v>4200</v>
      </c>
      <c r="Y20" s="39" t="s">
        <v>1642</v>
      </c>
      <c r="Z20" s="41"/>
      <c r="AA20" s="44">
        <v>27000</v>
      </c>
      <c r="AB20" s="44">
        <v>5000</v>
      </c>
      <c r="AC20" s="44" t="s">
        <v>385</v>
      </c>
      <c r="AD20" s="44">
        <v>10000</v>
      </c>
      <c r="AE20" s="44"/>
      <c r="AF20" s="53"/>
      <c r="AG20" s="53"/>
      <c r="AH20" s="53"/>
      <c r="AI20" s="53"/>
      <c r="AJ20" s="53"/>
      <c r="AK20" s="53"/>
      <c r="AL20" s="44"/>
      <c r="AM20" s="44"/>
      <c r="AN20" s="145">
        <f>AA20-AB20-AD20-AF20-AH20-AJ20-AL20</f>
        <v>12000</v>
      </c>
      <c r="AO20" s="152"/>
      <c r="AP20" s="152"/>
      <c r="AQ20" s="148">
        <f>+AB20+AD20+AF20+AH20+AJ20+AL20</f>
        <v>15000</v>
      </c>
      <c r="AR20" s="145">
        <f t="shared" si="0"/>
        <v>12000</v>
      </c>
      <c r="AS20" s="182"/>
    </row>
    <row r="21" spans="1:45" ht="37.5" customHeight="1" x14ac:dyDescent="0.25">
      <c r="A21" s="27"/>
      <c r="B21" s="1"/>
      <c r="C21" s="9"/>
      <c r="D21" s="9"/>
      <c r="E21" s="9"/>
      <c r="F21" s="9"/>
      <c r="G21" s="56"/>
      <c r="H21" s="56"/>
      <c r="I21" s="44">
        <v>20</v>
      </c>
      <c r="J21" s="44">
        <v>26</v>
      </c>
      <c r="K21" s="107" t="s">
        <v>455</v>
      </c>
      <c r="L21" s="56" t="s">
        <v>456</v>
      </c>
      <c r="M21" s="56">
        <v>425</v>
      </c>
      <c r="N21" s="44" t="s">
        <v>40</v>
      </c>
      <c r="O21" s="46" t="s">
        <v>457</v>
      </c>
      <c r="P21" s="44" t="s">
        <v>241</v>
      </c>
      <c r="Q21" s="56" t="s">
        <v>49</v>
      </c>
      <c r="R21" s="58"/>
      <c r="S21" s="39"/>
      <c r="T21" s="39"/>
      <c r="U21" s="39"/>
      <c r="V21" s="41"/>
      <c r="W21" s="39">
        <v>4200</v>
      </c>
      <c r="X21" s="39">
        <v>4200</v>
      </c>
      <c r="Y21" s="39" t="s">
        <v>1443</v>
      </c>
      <c r="Z21" s="41"/>
      <c r="AA21" s="56">
        <v>30000</v>
      </c>
      <c r="AB21" s="56">
        <v>15000</v>
      </c>
      <c r="AC21" s="56" t="s">
        <v>458</v>
      </c>
      <c r="AD21" s="44"/>
      <c r="AE21" s="44"/>
      <c r="AF21" s="53"/>
      <c r="AG21" s="53"/>
      <c r="AH21" s="53"/>
      <c r="AI21" s="53"/>
      <c r="AJ21" s="53"/>
      <c r="AK21" s="53"/>
      <c r="AL21" s="44"/>
      <c r="AM21" s="44"/>
      <c r="AN21" s="145">
        <f>AA21-AB21-AD21-AF21-AH21-AJ21-AL21</f>
        <v>15000</v>
      </c>
      <c r="AO21" s="152"/>
      <c r="AP21" s="152"/>
      <c r="AQ21" s="148">
        <f t="shared" si="3"/>
        <v>15000</v>
      </c>
      <c r="AR21" s="145">
        <f t="shared" si="0"/>
        <v>15000</v>
      </c>
      <c r="AS21" s="183"/>
    </row>
    <row r="22" spans="1:45" ht="37.5" customHeight="1" x14ac:dyDescent="0.25">
      <c r="A22" s="27"/>
      <c r="B22" s="1"/>
      <c r="C22" s="9"/>
      <c r="D22" s="9"/>
      <c r="E22" s="9"/>
      <c r="F22" s="9"/>
      <c r="G22" s="56"/>
      <c r="H22" s="56"/>
      <c r="I22" s="44">
        <v>21</v>
      </c>
      <c r="J22" s="44"/>
      <c r="K22" s="44" t="s">
        <v>390</v>
      </c>
      <c r="L22" s="166" t="s">
        <v>391</v>
      </c>
      <c r="M22" s="44">
        <v>521</v>
      </c>
      <c r="N22" s="44" t="s">
        <v>336</v>
      </c>
      <c r="O22" s="46" t="s">
        <v>392</v>
      </c>
      <c r="P22" s="44" t="s">
        <v>370</v>
      </c>
      <c r="Q22" s="44" t="s">
        <v>49</v>
      </c>
      <c r="R22" s="44" t="s">
        <v>172</v>
      </c>
      <c r="S22" s="44"/>
      <c r="T22" s="44"/>
      <c r="U22" s="44"/>
      <c r="V22" s="142"/>
      <c r="W22" s="39">
        <v>4200</v>
      </c>
      <c r="X22" s="39">
        <v>4200</v>
      </c>
      <c r="Y22" s="39" t="s">
        <v>1577</v>
      </c>
      <c r="Z22" s="41"/>
      <c r="AA22" s="44">
        <v>10</v>
      </c>
      <c r="AB22" s="44"/>
      <c r="AC22" s="44"/>
      <c r="AD22" s="44"/>
      <c r="AE22" s="191"/>
      <c r="AF22" s="53"/>
      <c r="AG22" s="53"/>
      <c r="AH22" s="53"/>
      <c r="AI22" s="53"/>
      <c r="AJ22" s="53"/>
      <c r="AK22" s="53"/>
      <c r="AL22" s="44"/>
      <c r="AM22" s="44"/>
      <c r="AN22" s="145">
        <f>AA22-AB22-AD22-AF22-AH22-AJ22</f>
        <v>10</v>
      </c>
      <c r="AO22" s="152"/>
      <c r="AP22" s="152"/>
      <c r="AQ22" s="148">
        <f t="shared" si="3"/>
        <v>0</v>
      </c>
      <c r="AR22" s="145">
        <f t="shared" si="0"/>
        <v>10</v>
      </c>
      <c r="AS22" s="182"/>
    </row>
    <row r="23" spans="1:45" ht="37.5" customHeight="1" x14ac:dyDescent="0.25">
      <c r="A23" s="27"/>
      <c r="B23" s="1"/>
      <c r="C23" s="9"/>
      <c r="D23" s="9"/>
      <c r="E23" s="9"/>
      <c r="F23" s="9"/>
      <c r="G23" s="56"/>
      <c r="H23" s="56"/>
      <c r="I23" s="44">
        <v>22</v>
      </c>
      <c r="J23" s="44"/>
      <c r="K23" s="44" t="s">
        <v>411</v>
      </c>
      <c r="L23" s="44" t="s">
        <v>412</v>
      </c>
      <c r="M23" s="56"/>
      <c r="N23" s="185" t="s">
        <v>39</v>
      </c>
      <c r="O23" s="44" t="s">
        <v>413</v>
      </c>
      <c r="P23" s="44" t="s">
        <v>370</v>
      </c>
      <c r="Q23" s="44"/>
      <c r="R23" s="44"/>
      <c r="S23" s="44"/>
      <c r="T23" s="44"/>
      <c r="U23" s="44"/>
      <c r="V23" s="142"/>
      <c r="W23" s="39"/>
      <c r="X23" s="39"/>
      <c r="Y23" s="39"/>
      <c r="Z23" s="41"/>
      <c r="AA23" s="44">
        <v>28000</v>
      </c>
      <c r="AB23" s="44">
        <v>5000</v>
      </c>
      <c r="AC23" s="44" t="s">
        <v>414</v>
      </c>
      <c r="AD23" s="44"/>
      <c r="AE23" s="44"/>
      <c r="AF23" s="53"/>
      <c r="AG23" s="53"/>
      <c r="AH23" s="53"/>
      <c r="AI23" s="53"/>
      <c r="AJ23" s="53"/>
      <c r="AK23" s="53"/>
      <c r="AL23" s="44"/>
      <c r="AM23" s="44"/>
      <c r="AN23" s="145">
        <f t="shared" ref="AN23:AN31" si="4">AA23-AB23-AD23-AF23-AH23-AJ23-AL23</f>
        <v>23000</v>
      </c>
      <c r="AO23" s="152"/>
      <c r="AP23" s="152"/>
      <c r="AQ23" s="148">
        <f t="shared" ref="AQ23:AQ31" si="5">+AB23+AD23+AF23+AH23+AJ23+AL23</f>
        <v>5000</v>
      </c>
      <c r="AR23" s="145">
        <f t="shared" si="0"/>
        <v>23000</v>
      </c>
      <c r="AS23" s="183"/>
    </row>
    <row r="24" spans="1:45" ht="51" customHeight="1" x14ac:dyDescent="0.25">
      <c r="A24" s="27"/>
      <c r="B24" s="1"/>
      <c r="C24" s="9"/>
      <c r="D24" s="9"/>
      <c r="E24" s="9"/>
      <c r="F24" s="9"/>
      <c r="G24" s="56"/>
      <c r="H24" s="56"/>
      <c r="I24" s="44">
        <v>23</v>
      </c>
      <c r="J24" s="44"/>
      <c r="K24" s="44" t="s">
        <v>426</v>
      </c>
      <c r="L24" s="44" t="s">
        <v>184</v>
      </c>
      <c r="M24" s="56">
        <v>460</v>
      </c>
      <c r="N24" s="44" t="s">
        <v>728</v>
      </c>
      <c r="O24" s="46" t="s">
        <v>427</v>
      </c>
      <c r="P24" s="44" t="s">
        <v>370</v>
      </c>
      <c r="Q24" s="44" t="s">
        <v>229</v>
      </c>
      <c r="R24" s="44" t="s">
        <v>428</v>
      </c>
      <c r="S24" s="44"/>
      <c r="T24" s="44"/>
      <c r="U24" s="44"/>
      <c r="V24" s="142"/>
      <c r="W24" s="39"/>
      <c r="X24" s="39"/>
      <c r="Y24" s="39"/>
      <c r="Z24" s="41"/>
      <c r="AA24" s="44">
        <v>30000</v>
      </c>
      <c r="AB24" s="44">
        <v>5000</v>
      </c>
      <c r="AC24" s="44" t="s">
        <v>429</v>
      </c>
      <c r="AD24" s="44"/>
      <c r="AE24" s="44"/>
      <c r="AF24" s="53"/>
      <c r="AG24" s="53"/>
      <c r="AH24" s="53"/>
      <c r="AI24" s="39"/>
      <c r="AJ24" s="39"/>
      <c r="AK24" s="53"/>
      <c r="AL24" s="44"/>
      <c r="AM24" s="44"/>
      <c r="AN24" s="145">
        <f t="shared" si="4"/>
        <v>25000</v>
      </c>
      <c r="AO24" s="152"/>
      <c r="AP24" s="152"/>
      <c r="AQ24" s="148">
        <f t="shared" si="5"/>
        <v>5000</v>
      </c>
      <c r="AR24" s="145">
        <f t="shared" si="0"/>
        <v>25000</v>
      </c>
      <c r="AS24" s="182"/>
    </row>
    <row r="25" spans="1:45" s="12" customFormat="1" ht="46.5" customHeight="1" x14ac:dyDescent="0.25">
      <c r="A25" s="27"/>
      <c r="B25" s="9"/>
      <c r="C25" s="9"/>
      <c r="D25" s="9"/>
      <c r="E25" s="9"/>
      <c r="F25" s="9"/>
      <c r="G25" s="56"/>
      <c r="H25" s="56"/>
      <c r="I25" s="44">
        <v>24</v>
      </c>
      <c r="J25" s="44"/>
      <c r="K25" s="107" t="s">
        <v>380</v>
      </c>
      <c r="L25" s="56" t="s">
        <v>478</v>
      </c>
      <c r="M25" s="56"/>
      <c r="N25" s="44" t="s">
        <v>215</v>
      </c>
      <c r="O25" s="46" t="s">
        <v>479</v>
      </c>
      <c r="P25" s="44" t="s">
        <v>274</v>
      </c>
      <c r="Q25" s="56"/>
      <c r="R25" s="58" t="s">
        <v>481</v>
      </c>
      <c r="S25" s="39"/>
      <c r="T25" s="39"/>
      <c r="U25" s="39"/>
      <c r="V25" s="41"/>
      <c r="W25" s="39"/>
      <c r="X25" s="39"/>
      <c r="Y25" s="39"/>
      <c r="Z25" s="41"/>
      <c r="AA25" s="56">
        <v>40000</v>
      </c>
      <c r="AB25" s="56">
        <v>3500</v>
      </c>
      <c r="AC25" s="56" t="s">
        <v>480</v>
      </c>
      <c r="AD25" s="58"/>
      <c r="AE25" s="58"/>
      <c r="AF25" s="42"/>
      <c r="AG25" s="42"/>
      <c r="AH25" s="42"/>
      <c r="AI25" s="39"/>
      <c r="AJ25" s="39"/>
      <c r="AK25" s="42"/>
      <c r="AL25" s="39"/>
      <c r="AM25" s="39"/>
      <c r="AN25" s="143">
        <f t="shared" si="4"/>
        <v>36500</v>
      </c>
      <c r="AO25" s="58"/>
      <c r="AP25" s="58"/>
      <c r="AQ25" s="149">
        <f t="shared" si="5"/>
        <v>3500</v>
      </c>
      <c r="AR25" s="145">
        <f t="shared" si="0"/>
        <v>36500</v>
      </c>
      <c r="AS25" s="49"/>
    </row>
    <row r="26" spans="1:45" ht="37.5" customHeight="1" x14ac:dyDescent="0.25">
      <c r="A26" s="27"/>
      <c r="B26" s="1"/>
      <c r="C26" s="9"/>
      <c r="D26" s="9"/>
      <c r="E26" s="9"/>
      <c r="F26" s="9"/>
      <c r="G26" s="56"/>
      <c r="H26" s="56"/>
      <c r="I26" s="44">
        <v>25</v>
      </c>
      <c r="J26" s="44"/>
      <c r="K26" s="56" t="s">
        <v>486</v>
      </c>
      <c r="L26" s="56" t="s">
        <v>487</v>
      </c>
      <c r="M26" s="56"/>
      <c r="N26" s="56" t="s">
        <v>728</v>
      </c>
      <c r="O26" s="57" t="s">
        <v>488</v>
      </c>
      <c r="P26" s="56" t="s">
        <v>452</v>
      </c>
      <c r="Q26" s="44" t="s">
        <v>229</v>
      </c>
      <c r="R26" s="58" t="s">
        <v>489</v>
      </c>
      <c r="S26" s="39"/>
      <c r="T26" s="39"/>
      <c r="U26" s="39"/>
      <c r="V26" s="41"/>
      <c r="W26" s="39"/>
      <c r="X26" s="39"/>
      <c r="Y26" s="39"/>
      <c r="Z26" s="41"/>
      <c r="AA26" s="56">
        <v>35000</v>
      </c>
      <c r="AB26" s="56">
        <v>5000</v>
      </c>
      <c r="AC26" s="161" t="s">
        <v>490</v>
      </c>
      <c r="AD26" s="58"/>
      <c r="AE26" s="58"/>
      <c r="AF26" s="42"/>
      <c r="AG26" s="68"/>
      <c r="AH26" s="42"/>
      <c r="AI26" s="116"/>
      <c r="AJ26" s="42"/>
      <c r="AK26" s="68"/>
      <c r="AL26" s="39"/>
      <c r="AM26" s="154"/>
      <c r="AN26" s="143">
        <f t="shared" si="4"/>
        <v>30000</v>
      </c>
      <c r="AO26" s="58"/>
      <c r="AP26" s="58"/>
      <c r="AQ26" s="149">
        <f t="shared" si="5"/>
        <v>5000</v>
      </c>
      <c r="AR26" s="145">
        <f t="shared" si="0"/>
        <v>30000</v>
      </c>
      <c r="AS26" s="164"/>
    </row>
    <row r="27" spans="1:45" s="12" customFormat="1" ht="37.5" customHeight="1" x14ac:dyDescent="0.25">
      <c r="A27" s="27"/>
      <c r="B27" s="9"/>
      <c r="C27" s="31"/>
      <c r="D27" s="9"/>
      <c r="E27" s="9"/>
      <c r="F27" s="9"/>
      <c r="G27" s="56"/>
      <c r="H27" s="56"/>
      <c r="I27" s="44">
        <v>26</v>
      </c>
      <c r="J27" s="44">
        <v>1</v>
      </c>
      <c r="K27" s="56" t="s">
        <v>513</v>
      </c>
      <c r="L27" s="56" t="s">
        <v>514</v>
      </c>
      <c r="M27" s="56"/>
      <c r="N27" s="56" t="s">
        <v>39</v>
      </c>
      <c r="O27" s="57" t="s">
        <v>515</v>
      </c>
      <c r="P27" s="56" t="s">
        <v>274</v>
      </c>
      <c r="Q27" s="44" t="s">
        <v>516</v>
      </c>
      <c r="R27" s="58" t="s">
        <v>230</v>
      </c>
      <c r="S27" s="39"/>
      <c r="T27" s="39"/>
      <c r="U27" s="39"/>
      <c r="V27" s="41"/>
      <c r="W27" s="39"/>
      <c r="X27" s="39"/>
      <c r="Y27" s="39"/>
      <c r="Z27" s="41"/>
      <c r="AA27" s="56">
        <v>30000</v>
      </c>
      <c r="AB27" s="56">
        <v>30000</v>
      </c>
      <c r="AC27" s="56" t="s">
        <v>458</v>
      </c>
      <c r="AD27" s="58"/>
      <c r="AE27" s="163"/>
      <c r="AF27" s="42"/>
      <c r="AG27" s="42"/>
      <c r="AH27" s="42"/>
      <c r="AI27" s="116"/>
      <c r="AJ27" s="42"/>
      <c r="AK27" s="42"/>
      <c r="AL27" s="39"/>
      <c r="AM27" s="39"/>
      <c r="AN27" s="143">
        <f t="shared" si="4"/>
        <v>0</v>
      </c>
      <c r="AO27" s="58"/>
      <c r="AP27" s="58"/>
      <c r="AQ27" s="149">
        <f t="shared" si="5"/>
        <v>30000</v>
      </c>
      <c r="AR27" s="145">
        <f t="shared" si="0"/>
        <v>0</v>
      </c>
      <c r="AS27" s="49"/>
    </row>
    <row r="28" spans="1:45" ht="36" customHeight="1" x14ac:dyDescent="0.25">
      <c r="A28" s="27"/>
      <c r="B28" s="1"/>
      <c r="C28" s="9"/>
      <c r="D28" s="9"/>
      <c r="E28" s="9"/>
      <c r="F28" s="9"/>
      <c r="G28" s="56"/>
      <c r="H28" s="56"/>
      <c r="I28" s="44">
        <v>27</v>
      </c>
      <c r="J28" s="44">
        <v>16</v>
      </c>
      <c r="K28" s="44" t="s">
        <v>529</v>
      </c>
      <c r="L28" s="44" t="s">
        <v>530</v>
      </c>
      <c r="M28" s="56">
        <v>317</v>
      </c>
      <c r="N28" s="44" t="s">
        <v>40</v>
      </c>
      <c r="O28" s="46" t="s">
        <v>531</v>
      </c>
      <c r="P28" s="44" t="s">
        <v>532</v>
      </c>
      <c r="Q28" s="44" t="s">
        <v>533</v>
      </c>
      <c r="R28" s="44"/>
      <c r="S28" s="44"/>
      <c r="T28" s="44"/>
      <c r="U28" s="44"/>
      <c r="V28" s="142"/>
      <c r="W28" s="39">
        <v>4200</v>
      </c>
      <c r="X28" s="39">
        <v>4200</v>
      </c>
      <c r="Y28" s="39" t="s">
        <v>1560</v>
      </c>
      <c r="Z28" s="41"/>
      <c r="AA28" s="44">
        <v>30000</v>
      </c>
      <c r="AB28" s="44">
        <v>2000</v>
      </c>
      <c r="AC28" s="44" t="s">
        <v>534</v>
      </c>
      <c r="AD28" s="44">
        <v>5000</v>
      </c>
      <c r="AE28" s="44" t="s">
        <v>1729</v>
      </c>
      <c r="AF28" s="53"/>
      <c r="AG28" s="53"/>
      <c r="AH28" s="53"/>
      <c r="AI28" s="53"/>
      <c r="AJ28" s="53"/>
      <c r="AK28" s="53"/>
      <c r="AL28" s="44"/>
      <c r="AM28" s="44"/>
      <c r="AN28" s="145">
        <f t="shared" si="4"/>
        <v>23000</v>
      </c>
      <c r="AO28" s="152"/>
      <c r="AP28" s="152"/>
      <c r="AQ28" s="148">
        <f t="shared" si="5"/>
        <v>7000</v>
      </c>
      <c r="AR28" s="145">
        <f t="shared" si="0"/>
        <v>23000</v>
      </c>
      <c r="AS28" s="49"/>
    </row>
    <row r="29" spans="1:45" ht="27" customHeight="1" x14ac:dyDescent="0.25">
      <c r="A29" s="27"/>
      <c r="B29" s="1"/>
      <c r="C29" s="9"/>
      <c r="D29" s="9"/>
      <c r="E29" s="9"/>
      <c r="F29" s="9"/>
      <c r="G29" s="56"/>
      <c r="H29" s="56"/>
      <c r="I29" s="44">
        <v>28</v>
      </c>
      <c r="J29" s="44">
        <v>93</v>
      </c>
      <c r="K29" s="56" t="s">
        <v>545</v>
      </c>
      <c r="L29" s="44" t="s">
        <v>546</v>
      </c>
      <c r="M29" s="56">
        <v>238</v>
      </c>
      <c r="N29" s="56" t="s">
        <v>40</v>
      </c>
      <c r="O29" s="57" t="s">
        <v>577</v>
      </c>
      <c r="P29" s="56" t="s">
        <v>578</v>
      </c>
      <c r="Q29" s="56" t="s">
        <v>579</v>
      </c>
      <c r="R29" s="58"/>
      <c r="S29" s="39"/>
      <c r="T29" s="39"/>
      <c r="U29" s="39"/>
      <c r="V29" s="41"/>
      <c r="W29" s="39">
        <v>4200</v>
      </c>
      <c r="X29" s="39">
        <v>4200</v>
      </c>
      <c r="Y29" s="39" t="s">
        <v>1587</v>
      </c>
      <c r="Z29" s="41"/>
      <c r="AA29" s="56">
        <v>45000</v>
      </c>
      <c r="AB29" s="56">
        <v>5000</v>
      </c>
      <c r="AC29" s="56" t="s">
        <v>547</v>
      </c>
      <c r="AD29" s="56">
        <v>10000</v>
      </c>
      <c r="AE29" s="153" t="s">
        <v>1737</v>
      </c>
      <c r="AF29" s="53"/>
      <c r="AG29" s="67"/>
      <c r="AH29" s="53"/>
      <c r="AI29" s="67"/>
      <c r="AJ29" s="53"/>
      <c r="AK29" s="53"/>
      <c r="AL29" s="44"/>
      <c r="AM29" s="44"/>
      <c r="AN29" s="145">
        <f t="shared" si="4"/>
        <v>30000</v>
      </c>
      <c r="AO29" s="152"/>
      <c r="AP29" s="152"/>
      <c r="AQ29" s="148">
        <f t="shared" si="5"/>
        <v>15000</v>
      </c>
      <c r="AR29" s="145">
        <f t="shared" si="0"/>
        <v>30000</v>
      </c>
      <c r="AS29" s="182"/>
    </row>
    <row r="30" spans="1:45" ht="37.5" customHeight="1" x14ac:dyDescent="0.25">
      <c r="A30" s="27"/>
      <c r="B30" s="1"/>
      <c r="C30" s="9"/>
      <c r="D30" s="9"/>
      <c r="E30" s="9"/>
      <c r="F30" s="9"/>
      <c r="G30" s="56"/>
      <c r="H30" s="56"/>
      <c r="I30" s="44">
        <v>29</v>
      </c>
      <c r="J30" s="44">
        <v>4</v>
      </c>
      <c r="K30" s="44" t="s">
        <v>551</v>
      </c>
      <c r="L30" s="44" t="s">
        <v>552</v>
      </c>
      <c r="M30" s="56">
        <v>328</v>
      </c>
      <c r="N30" s="44" t="s">
        <v>40</v>
      </c>
      <c r="O30" s="46" t="s">
        <v>575</v>
      </c>
      <c r="P30" s="44" t="s">
        <v>576</v>
      </c>
      <c r="Q30" s="44" t="s">
        <v>49</v>
      </c>
      <c r="R30" s="44"/>
      <c r="S30" s="44"/>
      <c r="T30" s="44"/>
      <c r="U30" s="44"/>
      <c r="V30" s="142"/>
      <c r="W30" s="39">
        <v>4200</v>
      </c>
      <c r="X30" s="39">
        <v>4200</v>
      </c>
      <c r="Y30" s="39" t="s">
        <v>1388</v>
      </c>
      <c r="Z30" s="41"/>
      <c r="AA30" s="44">
        <v>30000</v>
      </c>
      <c r="AB30" s="44">
        <v>5000</v>
      </c>
      <c r="AC30" s="44" t="s">
        <v>563</v>
      </c>
      <c r="AD30" s="44">
        <v>10000</v>
      </c>
      <c r="AE30" s="44" t="s">
        <v>1805</v>
      </c>
      <c r="AF30" s="53"/>
      <c r="AG30" s="53"/>
      <c r="AH30" s="53"/>
      <c r="AI30" s="53"/>
      <c r="AJ30" s="53"/>
      <c r="AK30" s="53"/>
      <c r="AL30" s="44"/>
      <c r="AM30" s="44"/>
      <c r="AN30" s="145">
        <f t="shared" si="4"/>
        <v>15000</v>
      </c>
      <c r="AO30" s="152"/>
      <c r="AP30" s="152"/>
      <c r="AQ30" s="148">
        <f t="shared" si="5"/>
        <v>15000</v>
      </c>
      <c r="AR30" s="145">
        <f t="shared" si="0"/>
        <v>15000</v>
      </c>
      <c r="AS30" s="49"/>
    </row>
    <row r="31" spans="1:45" s="12" customFormat="1" ht="37.5" customHeight="1" x14ac:dyDescent="0.25">
      <c r="A31" s="27"/>
      <c r="B31" s="9"/>
      <c r="C31" s="9"/>
      <c r="D31" s="9"/>
      <c r="E31" s="9"/>
      <c r="F31" s="9"/>
      <c r="G31" s="56"/>
      <c r="H31" s="56"/>
      <c r="I31" s="44">
        <v>30</v>
      </c>
      <c r="J31" s="44"/>
      <c r="K31" s="56" t="s">
        <v>561</v>
      </c>
      <c r="L31" s="56" t="s">
        <v>562</v>
      </c>
      <c r="M31" s="56"/>
      <c r="N31" s="44" t="s">
        <v>215</v>
      </c>
      <c r="O31" s="103" t="s">
        <v>570</v>
      </c>
      <c r="P31" s="56" t="s">
        <v>571</v>
      </c>
      <c r="Q31" s="44" t="s">
        <v>572</v>
      </c>
      <c r="R31" s="58"/>
      <c r="S31" s="39"/>
      <c r="T31" s="39"/>
      <c r="U31" s="39"/>
      <c r="V31" s="41"/>
      <c r="W31" s="39">
        <v>4200</v>
      </c>
      <c r="X31" s="39">
        <v>4200</v>
      </c>
      <c r="Y31" s="39" t="s">
        <v>1343</v>
      </c>
      <c r="Z31" s="41"/>
      <c r="AA31" s="56">
        <v>50000</v>
      </c>
      <c r="AB31" s="58">
        <v>12500</v>
      </c>
      <c r="AC31" s="58" t="s">
        <v>564</v>
      </c>
      <c r="AD31" s="58">
        <v>7500</v>
      </c>
      <c r="AE31" s="58" t="s">
        <v>1671</v>
      </c>
      <c r="AF31" s="42"/>
      <c r="AG31" s="42"/>
      <c r="AH31" s="53"/>
      <c r="AI31" s="53"/>
      <c r="AJ31" s="42"/>
      <c r="AK31" s="42"/>
      <c r="AL31" s="39"/>
      <c r="AM31" s="39"/>
      <c r="AN31" s="143">
        <f t="shared" si="4"/>
        <v>30000</v>
      </c>
      <c r="AO31" s="58"/>
      <c r="AP31" s="58"/>
      <c r="AQ31" s="149">
        <f t="shared" si="5"/>
        <v>20000</v>
      </c>
      <c r="AR31" s="145">
        <f t="shared" si="0"/>
        <v>30000</v>
      </c>
      <c r="AS31" s="182"/>
    </row>
    <row r="32" spans="1:45" ht="37.5" customHeight="1" x14ac:dyDescent="0.25">
      <c r="A32" s="27"/>
      <c r="B32" s="1"/>
      <c r="C32" s="9"/>
      <c r="D32" s="9"/>
      <c r="E32" s="9"/>
      <c r="F32" s="9"/>
      <c r="G32" s="56"/>
      <c r="H32" s="56"/>
      <c r="I32" s="44">
        <v>31</v>
      </c>
      <c r="J32" s="44"/>
      <c r="K32" s="44" t="s">
        <v>585</v>
      </c>
      <c r="L32" s="44" t="s">
        <v>586</v>
      </c>
      <c r="M32" s="56">
        <v>306</v>
      </c>
      <c r="N32" s="44" t="s">
        <v>40</v>
      </c>
      <c r="O32" s="46" t="s">
        <v>587</v>
      </c>
      <c r="P32" s="44" t="s">
        <v>38</v>
      </c>
      <c r="Q32" s="44" t="s">
        <v>229</v>
      </c>
      <c r="R32" s="44"/>
      <c r="S32" s="44"/>
      <c r="T32" s="44"/>
      <c r="U32" s="44"/>
      <c r="V32" s="142"/>
      <c r="W32" s="39">
        <v>4200</v>
      </c>
      <c r="X32" s="39">
        <v>4200</v>
      </c>
      <c r="Y32" s="39" t="s">
        <v>1441</v>
      </c>
      <c r="Z32" s="41"/>
      <c r="AA32" s="44">
        <v>30000</v>
      </c>
      <c r="AB32" s="44">
        <v>30000</v>
      </c>
      <c r="AC32" s="44" t="s">
        <v>588</v>
      </c>
      <c r="AD32" s="44"/>
      <c r="AE32" s="44"/>
      <c r="AF32" s="53"/>
      <c r="AG32" s="53"/>
      <c r="AH32" s="53"/>
      <c r="AI32" s="53"/>
      <c r="AJ32" s="53"/>
      <c r="AK32" s="53"/>
      <c r="AL32" s="44"/>
      <c r="AM32" s="44"/>
      <c r="AN32" s="145">
        <f>AA32-AB32-AD32-AF32-AH32-AJ32</f>
        <v>0</v>
      </c>
      <c r="AO32" s="152"/>
      <c r="AP32" s="152"/>
      <c r="AQ32" s="148">
        <f t="shared" si="3"/>
        <v>30000</v>
      </c>
      <c r="AR32" s="145">
        <f t="shared" si="0"/>
        <v>0</v>
      </c>
      <c r="AS32" s="182"/>
    </row>
    <row r="33" spans="1:45" ht="37.5" customHeight="1" x14ac:dyDescent="0.25">
      <c r="A33" s="27"/>
      <c r="B33" s="1"/>
      <c r="C33" s="9"/>
      <c r="D33" s="9"/>
      <c r="E33" s="9"/>
      <c r="F33" s="9"/>
      <c r="G33" s="56"/>
      <c r="H33" s="56"/>
      <c r="I33" s="44">
        <v>32</v>
      </c>
      <c r="J33" s="44">
        <v>72</v>
      </c>
      <c r="K33" s="44" t="s">
        <v>592</v>
      </c>
      <c r="L33" s="44" t="s">
        <v>593</v>
      </c>
      <c r="M33" s="56"/>
      <c r="N33" s="44" t="s">
        <v>39</v>
      </c>
      <c r="O33" s="46" t="s">
        <v>877</v>
      </c>
      <c r="P33" s="44" t="s">
        <v>196</v>
      </c>
      <c r="Q33" s="44"/>
      <c r="R33" s="44"/>
      <c r="S33" s="44"/>
      <c r="T33" s="44"/>
      <c r="U33" s="44"/>
      <c r="V33" s="142"/>
      <c r="W33" s="39">
        <v>4200</v>
      </c>
      <c r="X33" s="39">
        <v>4200</v>
      </c>
      <c r="Y33" s="39" t="s">
        <v>1586</v>
      </c>
      <c r="Z33" s="41"/>
      <c r="AA33" s="44">
        <v>30000</v>
      </c>
      <c r="AB33" s="44">
        <v>5000</v>
      </c>
      <c r="AC33" s="44" t="s">
        <v>594</v>
      </c>
      <c r="AD33" s="44">
        <v>5000</v>
      </c>
      <c r="AE33" s="44" t="s">
        <v>1630</v>
      </c>
      <c r="AF33" s="53"/>
      <c r="AG33" s="119"/>
      <c r="AH33" s="53"/>
      <c r="AI33" s="53"/>
      <c r="AJ33" s="53"/>
      <c r="AK33" s="53"/>
      <c r="AL33" s="44"/>
      <c r="AM33" s="44"/>
      <c r="AN33" s="145">
        <f>AA33-AB33-AD33-AF33-AH33-AJ33-AL33</f>
        <v>20000</v>
      </c>
      <c r="AO33" s="152"/>
      <c r="AP33" s="152"/>
      <c r="AQ33" s="148">
        <f>+AB33+AD33+AF33+AH33+AJ33+AL33</f>
        <v>10000</v>
      </c>
      <c r="AR33" s="145">
        <f t="shared" si="0"/>
        <v>20000</v>
      </c>
      <c r="AS33" s="182"/>
    </row>
    <row r="34" spans="1:45" ht="37.5" customHeight="1" x14ac:dyDescent="0.25">
      <c r="A34" s="27"/>
      <c r="B34" s="1"/>
      <c r="C34" s="9"/>
      <c r="D34" s="9"/>
      <c r="E34" s="9"/>
      <c r="F34" s="9"/>
      <c r="G34" s="56"/>
      <c r="H34" s="56"/>
      <c r="I34" s="44">
        <v>33</v>
      </c>
      <c r="J34" s="44">
        <v>59</v>
      </c>
      <c r="K34" s="44" t="s">
        <v>595</v>
      </c>
      <c r="L34" s="44" t="s">
        <v>596</v>
      </c>
      <c r="M34" s="56"/>
      <c r="N34" s="44" t="s">
        <v>40</v>
      </c>
      <c r="O34" s="46" t="s">
        <v>598</v>
      </c>
      <c r="P34" s="44" t="s">
        <v>37</v>
      </c>
      <c r="Q34" s="44" t="s">
        <v>599</v>
      </c>
      <c r="R34" s="44" t="s">
        <v>981</v>
      </c>
      <c r="S34" s="44"/>
      <c r="T34" s="142"/>
      <c r="U34" s="44"/>
      <c r="V34" s="142"/>
      <c r="W34" s="39"/>
      <c r="X34" s="39"/>
      <c r="Y34" s="39"/>
      <c r="Z34" s="41"/>
      <c r="AA34" s="40">
        <v>30000</v>
      </c>
      <c r="AB34" s="44">
        <v>5000</v>
      </c>
      <c r="AC34" s="44" t="s">
        <v>597</v>
      </c>
      <c r="AD34" s="44"/>
      <c r="AE34" s="44"/>
      <c r="AF34" s="53"/>
      <c r="AG34" s="53"/>
      <c r="AH34" s="53"/>
      <c r="AI34" s="53"/>
      <c r="AJ34" s="53"/>
      <c r="AK34" s="53"/>
      <c r="AL34" s="44"/>
      <c r="AM34" s="44"/>
      <c r="AN34" s="145">
        <f>AA34-AB34-AD34-AF34-AH34-AJ34</f>
        <v>25000</v>
      </c>
      <c r="AO34" s="152"/>
      <c r="AP34" s="152"/>
      <c r="AQ34" s="148">
        <f t="shared" si="3"/>
        <v>5000</v>
      </c>
      <c r="AR34" s="145">
        <f t="shared" si="0"/>
        <v>25000</v>
      </c>
      <c r="AS34" s="182"/>
    </row>
    <row r="35" spans="1:45" ht="37.5" customHeight="1" x14ac:dyDescent="0.25">
      <c r="A35" s="27"/>
      <c r="B35" s="1"/>
      <c r="C35" s="9"/>
      <c r="D35" s="9"/>
      <c r="E35" s="9"/>
      <c r="F35" s="9"/>
      <c r="G35" s="56"/>
      <c r="H35" s="56"/>
      <c r="I35" s="44">
        <v>34</v>
      </c>
      <c r="J35" s="44">
        <v>68</v>
      </c>
      <c r="K35" s="44" t="s">
        <v>622</v>
      </c>
      <c r="L35" s="44" t="s">
        <v>615</v>
      </c>
      <c r="M35" s="56">
        <v>462</v>
      </c>
      <c r="N35" s="44" t="s">
        <v>39</v>
      </c>
      <c r="O35" s="46" t="s">
        <v>616</v>
      </c>
      <c r="P35" s="44" t="s">
        <v>556</v>
      </c>
      <c r="Q35" s="44" t="s">
        <v>171</v>
      </c>
      <c r="R35" s="44"/>
      <c r="S35" s="44"/>
      <c r="T35" s="44"/>
      <c r="U35" s="44"/>
      <c r="V35" s="142"/>
      <c r="W35" s="39">
        <v>4200</v>
      </c>
      <c r="X35" s="39">
        <v>4200</v>
      </c>
      <c r="Y35" s="39" t="s">
        <v>1550</v>
      </c>
      <c r="Z35" s="41"/>
      <c r="AA35" s="44">
        <v>30000</v>
      </c>
      <c r="AB35" s="44">
        <v>10000</v>
      </c>
      <c r="AC35" s="44" t="s">
        <v>623</v>
      </c>
      <c r="AD35" s="44"/>
      <c r="AE35" s="44"/>
      <c r="AF35" s="53"/>
      <c r="AG35" s="53"/>
      <c r="AH35" s="53"/>
      <c r="AI35" s="53"/>
      <c r="AJ35" s="53"/>
      <c r="AK35" s="53"/>
      <c r="AL35" s="44"/>
      <c r="AM35" s="44"/>
      <c r="AN35" s="145">
        <f>AA35-AB35-AD35-AF35-AH35-AJ35</f>
        <v>20000</v>
      </c>
      <c r="AO35" s="152"/>
      <c r="AP35" s="152"/>
      <c r="AQ35" s="148">
        <f t="shared" si="3"/>
        <v>10000</v>
      </c>
      <c r="AR35" s="145">
        <f t="shared" si="0"/>
        <v>20000</v>
      </c>
      <c r="AS35" s="49"/>
    </row>
    <row r="36" spans="1:45" ht="37.5" customHeight="1" x14ac:dyDescent="0.25">
      <c r="A36" s="27"/>
      <c r="B36" s="1"/>
      <c r="C36" s="9"/>
      <c r="D36" s="9"/>
      <c r="E36" s="9"/>
      <c r="F36" s="9"/>
      <c r="G36" s="56"/>
      <c r="H36" s="56"/>
      <c r="I36" s="44">
        <v>35</v>
      </c>
      <c r="J36" s="44">
        <v>89</v>
      </c>
      <c r="K36" s="44" t="s">
        <v>624</v>
      </c>
      <c r="L36" s="44" t="s">
        <v>625</v>
      </c>
      <c r="M36" s="56">
        <v>307</v>
      </c>
      <c r="N36" s="44" t="s">
        <v>39</v>
      </c>
      <c r="O36" s="46" t="s">
        <v>626</v>
      </c>
      <c r="P36" s="44" t="s">
        <v>627</v>
      </c>
      <c r="Q36" s="44" t="s">
        <v>49</v>
      </c>
      <c r="R36" s="44"/>
      <c r="S36" s="44"/>
      <c r="T36" s="44"/>
      <c r="U36" s="44"/>
      <c r="V36" s="142"/>
      <c r="W36" s="39">
        <v>4200</v>
      </c>
      <c r="X36" s="39">
        <v>4200</v>
      </c>
      <c r="Y36" s="39" t="s">
        <v>1551</v>
      </c>
      <c r="Z36" s="41"/>
      <c r="AA36" s="44">
        <v>32000</v>
      </c>
      <c r="AB36" s="44">
        <v>4000</v>
      </c>
      <c r="AC36" s="44" t="s">
        <v>1401</v>
      </c>
      <c r="AD36" s="44"/>
      <c r="AE36" s="44"/>
      <c r="AF36" s="53"/>
      <c r="AG36" s="53"/>
      <c r="AH36" s="53"/>
      <c r="AI36" s="53"/>
      <c r="AJ36" s="53"/>
      <c r="AK36" s="53"/>
      <c r="AL36" s="44"/>
      <c r="AM36" s="44"/>
      <c r="AN36" s="145">
        <f>AA36-AB36-AD36-AF36-AH36-AJ36</f>
        <v>28000</v>
      </c>
      <c r="AO36" s="152"/>
      <c r="AP36" s="152"/>
      <c r="AQ36" s="148">
        <f t="shared" si="3"/>
        <v>4000</v>
      </c>
      <c r="AR36" s="145">
        <f t="shared" si="0"/>
        <v>28000</v>
      </c>
      <c r="AS36" s="182"/>
    </row>
    <row r="37" spans="1:45" ht="33.75" customHeight="1" x14ac:dyDescent="0.25">
      <c r="A37" s="27"/>
      <c r="B37" s="1"/>
      <c r="C37" s="9"/>
      <c r="D37" s="9"/>
      <c r="E37" s="9"/>
      <c r="F37" s="9"/>
      <c r="G37" s="56"/>
      <c r="H37" s="56"/>
      <c r="I37" s="44">
        <v>36</v>
      </c>
      <c r="J37" s="44">
        <v>86</v>
      </c>
      <c r="K37" s="50" t="s">
        <v>628</v>
      </c>
      <c r="L37" s="44" t="s">
        <v>19</v>
      </c>
      <c r="M37" s="56">
        <v>315</v>
      </c>
      <c r="N37" s="44" t="s">
        <v>40</v>
      </c>
      <c r="O37" s="46" t="s">
        <v>629</v>
      </c>
      <c r="P37" s="44" t="s">
        <v>324</v>
      </c>
      <c r="Q37" s="44" t="s">
        <v>49</v>
      </c>
      <c r="R37" s="44"/>
      <c r="S37" s="44"/>
      <c r="T37" s="44"/>
      <c r="U37" s="44"/>
      <c r="V37" s="142"/>
      <c r="W37" s="39"/>
      <c r="X37" s="39"/>
      <c r="Y37" s="39"/>
      <c r="Z37" s="41"/>
      <c r="AA37" s="44">
        <v>42000</v>
      </c>
      <c r="AB37" s="44">
        <v>10000</v>
      </c>
      <c r="AC37" s="44" t="s">
        <v>630</v>
      </c>
      <c r="AD37" s="44"/>
      <c r="AE37" s="44"/>
      <c r="AF37" s="53"/>
      <c r="AG37" s="53"/>
      <c r="AH37" s="53"/>
      <c r="AI37" s="53"/>
      <c r="AJ37" s="53"/>
      <c r="AK37" s="53"/>
      <c r="AL37" s="44"/>
      <c r="AM37" s="44"/>
      <c r="AN37" s="145">
        <f>AA37-AB37-AD37-AF37-AH37-AJ37-AL37</f>
        <v>32000</v>
      </c>
      <c r="AO37" s="152"/>
      <c r="AP37" s="152"/>
      <c r="AQ37" s="148">
        <f>+AB37+AD37+AF37+AH37+AJ37+AL37</f>
        <v>10000</v>
      </c>
      <c r="AR37" s="145">
        <f t="shared" si="0"/>
        <v>32000</v>
      </c>
      <c r="AS37" s="182"/>
    </row>
    <row r="38" spans="1:45" ht="37.5" customHeight="1" x14ac:dyDescent="0.25">
      <c r="A38" s="27"/>
      <c r="B38" s="1"/>
      <c r="C38" s="9"/>
      <c r="D38" s="9"/>
      <c r="E38" s="9"/>
      <c r="F38" s="9"/>
      <c r="G38" s="56"/>
      <c r="H38" s="56"/>
      <c r="I38" s="44">
        <v>37</v>
      </c>
      <c r="J38" s="44">
        <v>85</v>
      </c>
      <c r="K38" s="44" t="s">
        <v>631</v>
      </c>
      <c r="L38" s="44" t="s">
        <v>632</v>
      </c>
      <c r="M38" s="56"/>
      <c r="N38" s="44" t="s">
        <v>40</v>
      </c>
      <c r="O38" s="46" t="s">
        <v>633</v>
      </c>
      <c r="P38" s="44" t="s">
        <v>634</v>
      </c>
      <c r="Q38" s="56"/>
      <c r="R38" s="44"/>
      <c r="S38" s="44"/>
      <c r="T38" s="44"/>
      <c r="U38" s="44"/>
      <c r="V38" s="142"/>
      <c r="W38" s="39"/>
      <c r="X38" s="39"/>
      <c r="Y38" s="39"/>
      <c r="Z38" s="41"/>
      <c r="AA38" s="44">
        <v>22500</v>
      </c>
      <c r="AB38" s="44">
        <v>1000</v>
      </c>
      <c r="AC38" s="44" t="s">
        <v>635</v>
      </c>
      <c r="AD38" s="44"/>
      <c r="AE38" s="44"/>
      <c r="AF38" s="53"/>
      <c r="AG38" s="53"/>
      <c r="AH38" s="53"/>
      <c r="AI38" s="53"/>
      <c r="AJ38" s="53"/>
      <c r="AK38" s="53"/>
      <c r="AL38" s="44"/>
      <c r="AM38" s="44"/>
      <c r="AN38" s="145">
        <f>AA38-AB38-AD38-AF38-AH38-AJ38-AL38</f>
        <v>21500</v>
      </c>
      <c r="AO38" s="152"/>
      <c r="AP38" s="152"/>
      <c r="AQ38" s="148">
        <f>+AB38+AD38+AF38+AH38+AJ38+AL38</f>
        <v>1000</v>
      </c>
      <c r="AR38" s="145">
        <f t="shared" si="0"/>
        <v>21500</v>
      </c>
      <c r="AS38" s="182"/>
    </row>
    <row r="39" spans="1:45" ht="37.5" customHeight="1" x14ac:dyDescent="0.25">
      <c r="A39" s="27"/>
      <c r="B39" s="1"/>
      <c r="C39" s="9"/>
      <c r="D39" s="9"/>
      <c r="E39" s="9"/>
      <c r="F39" s="9"/>
      <c r="G39" s="56"/>
      <c r="H39" s="56"/>
      <c r="I39" s="44">
        <v>38</v>
      </c>
      <c r="J39" s="44">
        <v>20</v>
      </c>
      <c r="K39" s="56" t="s">
        <v>638</v>
      </c>
      <c r="L39" s="56" t="s">
        <v>639</v>
      </c>
      <c r="M39" s="56">
        <v>318</v>
      </c>
      <c r="N39" s="56" t="s">
        <v>215</v>
      </c>
      <c r="O39" s="46" t="s">
        <v>706</v>
      </c>
      <c r="P39" s="44" t="s">
        <v>201</v>
      </c>
      <c r="Q39" s="44" t="s">
        <v>707</v>
      </c>
      <c r="R39" s="58"/>
      <c r="S39" s="39"/>
      <c r="T39" s="39"/>
      <c r="U39" s="39"/>
      <c r="V39" s="41"/>
      <c r="W39" s="39">
        <v>4200</v>
      </c>
      <c r="X39" s="39">
        <v>4200</v>
      </c>
      <c r="Y39" s="39" t="s">
        <v>1295</v>
      </c>
      <c r="Z39" s="41"/>
      <c r="AA39" s="56">
        <v>40000</v>
      </c>
      <c r="AB39" s="56">
        <v>3300</v>
      </c>
      <c r="AC39" s="56" t="s">
        <v>640</v>
      </c>
      <c r="AD39" s="58">
        <v>3300</v>
      </c>
      <c r="AE39" s="58" t="s">
        <v>1124</v>
      </c>
      <c r="AF39" s="42">
        <v>3400</v>
      </c>
      <c r="AG39" s="42" t="s">
        <v>1590</v>
      </c>
      <c r="AH39" s="42">
        <v>3300</v>
      </c>
      <c r="AI39" s="42" t="s">
        <v>1694</v>
      </c>
      <c r="AJ39" s="42">
        <v>3300</v>
      </c>
      <c r="AK39" s="42"/>
      <c r="AL39" s="39"/>
      <c r="AM39" s="39"/>
      <c r="AN39" s="143">
        <f>AA39-AB39-AD39-AF39-AH39-AJ39</f>
        <v>23400</v>
      </c>
      <c r="AO39" s="58"/>
      <c r="AP39" s="58"/>
      <c r="AQ39" s="149">
        <f t="shared" si="3"/>
        <v>16600</v>
      </c>
      <c r="AR39" s="145">
        <f t="shared" si="0"/>
        <v>23400</v>
      </c>
      <c r="AS39" s="49"/>
    </row>
    <row r="40" spans="1:45" ht="37.5" customHeight="1" x14ac:dyDescent="0.25">
      <c r="A40" s="27"/>
      <c r="B40" s="1"/>
      <c r="C40" s="9"/>
      <c r="D40" s="9"/>
      <c r="E40" s="9"/>
      <c r="F40" s="9"/>
      <c r="G40" s="56"/>
      <c r="H40" s="56"/>
      <c r="I40" s="44">
        <v>39</v>
      </c>
      <c r="J40" s="44"/>
      <c r="K40" s="44" t="s">
        <v>644</v>
      </c>
      <c r="L40" s="44" t="s">
        <v>639</v>
      </c>
      <c r="M40" s="56">
        <v>327</v>
      </c>
      <c r="N40" s="44" t="s">
        <v>215</v>
      </c>
      <c r="O40" s="46" t="s">
        <v>706</v>
      </c>
      <c r="P40" s="44" t="s">
        <v>201</v>
      </c>
      <c r="Q40" s="44" t="s">
        <v>707</v>
      </c>
      <c r="R40" s="44"/>
      <c r="S40" s="44"/>
      <c r="T40" s="44"/>
      <c r="U40" s="44"/>
      <c r="V40" s="142"/>
      <c r="W40" s="39">
        <v>4200</v>
      </c>
      <c r="X40" s="39">
        <v>4200</v>
      </c>
      <c r="Y40" s="39" t="s">
        <v>1296</v>
      </c>
      <c r="Z40" s="41"/>
      <c r="AA40" s="44">
        <v>40000</v>
      </c>
      <c r="AB40" s="44">
        <v>3300</v>
      </c>
      <c r="AC40" s="44" t="s">
        <v>645</v>
      </c>
      <c r="AD40" s="44">
        <v>3300</v>
      </c>
      <c r="AE40" s="44" t="s">
        <v>1125</v>
      </c>
      <c r="AF40" s="53">
        <v>3400</v>
      </c>
      <c r="AG40" s="53" t="s">
        <v>1591</v>
      </c>
      <c r="AH40" s="53">
        <v>3300</v>
      </c>
      <c r="AI40" s="53" t="s">
        <v>1695</v>
      </c>
      <c r="AJ40" s="53"/>
      <c r="AK40" s="53"/>
      <c r="AL40" s="44"/>
      <c r="AM40" s="44"/>
      <c r="AN40" s="145">
        <f>AA40-AB40-AD40-AF40-AH40-AJ40-AL40</f>
        <v>26700</v>
      </c>
      <c r="AO40" s="152"/>
      <c r="AP40" s="152"/>
      <c r="AQ40" s="148">
        <f>+AB40+AD40+AF40+AH40+AJ40+AL40</f>
        <v>13300</v>
      </c>
      <c r="AR40" s="145">
        <f t="shared" si="0"/>
        <v>26700</v>
      </c>
      <c r="AS40" s="182"/>
    </row>
    <row r="41" spans="1:45" ht="48.75" customHeight="1" x14ac:dyDescent="0.25">
      <c r="A41" s="27"/>
      <c r="B41" s="1"/>
      <c r="C41" s="9"/>
      <c r="D41" s="9"/>
      <c r="E41" s="9"/>
      <c r="F41" s="9"/>
      <c r="G41" s="56"/>
      <c r="H41" s="56"/>
      <c r="I41" s="44">
        <v>40</v>
      </c>
      <c r="J41" s="44">
        <v>92</v>
      </c>
      <c r="K41" s="44" t="s">
        <v>641</v>
      </c>
      <c r="L41" s="44" t="s">
        <v>642</v>
      </c>
      <c r="M41" s="56">
        <v>269</v>
      </c>
      <c r="N41" s="44" t="s">
        <v>215</v>
      </c>
      <c r="O41" s="46" t="s">
        <v>708</v>
      </c>
      <c r="P41" s="44" t="s">
        <v>201</v>
      </c>
      <c r="Q41" s="44" t="s">
        <v>707</v>
      </c>
      <c r="R41" s="44"/>
      <c r="S41" s="44"/>
      <c r="T41" s="44"/>
      <c r="U41" s="44"/>
      <c r="V41" s="142"/>
      <c r="W41" s="39">
        <v>4200</v>
      </c>
      <c r="X41" s="39">
        <v>4200</v>
      </c>
      <c r="Y41" s="39" t="s">
        <v>1278</v>
      </c>
      <c r="Z41" s="41"/>
      <c r="AA41" s="44">
        <v>40000</v>
      </c>
      <c r="AB41" s="44">
        <v>3300</v>
      </c>
      <c r="AC41" s="44" t="s">
        <v>643</v>
      </c>
      <c r="AD41" s="44">
        <v>3300</v>
      </c>
      <c r="AE41" s="44" t="s">
        <v>1203</v>
      </c>
      <c r="AF41" s="53">
        <v>3400</v>
      </c>
      <c r="AG41" s="53" t="s">
        <v>1540</v>
      </c>
      <c r="AH41" s="53">
        <v>3300</v>
      </c>
      <c r="AI41" s="53" t="s">
        <v>1635</v>
      </c>
      <c r="AJ41" s="53">
        <v>3300</v>
      </c>
      <c r="AK41" s="53" t="s">
        <v>1704</v>
      </c>
      <c r="AL41" s="44"/>
      <c r="AM41" s="44"/>
      <c r="AN41" s="145">
        <f>AA41-AB41-AD41-AF41-AH41-AJ41-AL41</f>
        <v>23400</v>
      </c>
      <c r="AO41" s="152"/>
      <c r="AP41" s="152"/>
      <c r="AQ41" s="148">
        <f>+AB41+AD41+AF41+AH41+AJ41+AL41</f>
        <v>16600</v>
      </c>
      <c r="AR41" s="145">
        <f t="shared" si="0"/>
        <v>23400</v>
      </c>
      <c r="AS41" s="182"/>
    </row>
    <row r="42" spans="1:45" ht="37.5" customHeight="1" x14ac:dyDescent="0.25">
      <c r="A42" s="27"/>
      <c r="B42" s="1"/>
      <c r="C42" s="9"/>
      <c r="D42" s="9"/>
      <c r="E42" s="9"/>
      <c r="F42" s="9"/>
      <c r="G42" s="56"/>
      <c r="H42" s="56"/>
      <c r="I42" s="44">
        <v>41</v>
      </c>
      <c r="J42" s="44"/>
      <c r="K42" s="44" t="s">
        <v>667</v>
      </c>
      <c r="L42" s="44" t="s">
        <v>668</v>
      </c>
      <c r="M42" s="56">
        <v>264</v>
      </c>
      <c r="N42" s="44" t="s">
        <v>40</v>
      </c>
      <c r="O42" s="46" t="s">
        <v>703</v>
      </c>
      <c r="P42" s="44" t="s">
        <v>268</v>
      </c>
      <c r="Q42" s="44" t="s">
        <v>704</v>
      </c>
      <c r="R42" s="44"/>
      <c r="S42" s="44"/>
      <c r="T42" s="44"/>
      <c r="U42" s="44"/>
      <c r="V42" s="142"/>
      <c r="W42" s="39"/>
      <c r="X42" s="39"/>
      <c r="Y42" s="39"/>
      <c r="Z42" s="41"/>
      <c r="AA42" s="130">
        <v>30000</v>
      </c>
      <c r="AB42" s="44">
        <v>5000</v>
      </c>
      <c r="AC42" s="44" t="s">
        <v>669</v>
      </c>
      <c r="AD42" s="44">
        <v>2000</v>
      </c>
      <c r="AE42" s="44" t="s">
        <v>1701</v>
      </c>
      <c r="AF42" s="53"/>
      <c r="AG42" s="67"/>
      <c r="AH42" s="53"/>
      <c r="AI42" s="67"/>
      <c r="AJ42" s="53"/>
      <c r="AK42" s="67"/>
      <c r="AL42" s="44"/>
      <c r="AM42" s="44"/>
      <c r="AN42" s="145">
        <f>AA42-AB42-AD42-AF42-AH42-AJ42</f>
        <v>23000</v>
      </c>
      <c r="AO42" s="152"/>
      <c r="AP42" s="152"/>
      <c r="AQ42" s="148">
        <f t="shared" si="3"/>
        <v>7000</v>
      </c>
      <c r="AR42" s="145">
        <f t="shared" si="0"/>
        <v>23000</v>
      </c>
      <c r="AS42" s="49"/>
    </row>
    <row r="43" spans="1:45" ht="37.5" customHeight="1" x14ac:dyDescent="0.25">
      <c r="A43" s="27"/>
      <c r="B43" s="1"/>
      <c r="C43" s="9"/>
      <c r="D43" s="9"/>
      <c r="E43" s="9"/>
      <c r="F43" s="9"/>
      <c r="G43" s="56"/>
      <c r="H43" s="56"/>
      <c r="I43" s="44">
        <v>42</v>
      </c>
      <c r="J43" s="44">
        <v>62</v>
      </c>
      <c r="K43" s="44" t="s">
        <v>670</v>
      </c>
      <c r="L43" s="44" t="s">
        <v>671</v>
      </c>
      <c r="M43" s="56"/>
      <c r="N43" s="44" t="s">
        <v>39</v>
      </c>
      <c r="O43" s="46" t="s">
        <v>713</v>
      </c>
      <c r="P43" s="44" t="s">
        <v>196</v>
      </c>
      <c r="Q43" s="44"/>
      <c r="R43" s="44"/>
      <c r="S43" s="44"/>
      <c r="T43" s="44"/>
      <c r="U43" s="44"/>
      <c r="V43" s="142"/>
      <c r="W43" s="39">
        <v>7000</v>
      </c>
      <c r="X43" s="39">
        <v>7000</v>
      </c>
      <c r="Y43" s="39" t="s">
        <v>1731</v>
      </c>
      <c r="Z43" s="41"/>
      <c r="AA43" s="44">
        <v>40000</v>
      </c>
      <c r="AB43" s="44">
        <v>3000</v>
      </c>
      <c r="AC43" s="44" t="s">
        <v>672</v>
      </c>
      <c r="AD43" s="44"/>
      <c r="AE43" s="44"/>
      <c r="AF43" s="53"/>
      <c r="AG43" s="53"/>
      <c r="AH43" s="53"/>
      <c r="AI43" s="53"/>
      <c r="AJ43" s="53"/>
      <c r="AK43" s="53"/>
      <c r="AL43" s="44"/>
      <c r="AM43" s="44"/>
      <c r="AN43" s="145">
        <f>AA43-AB43-AD43-AF43-AH43-AJ43</f>
        <v>37000</v>
      </c>
      <c r="AO43" s="152"/>
      <c r="AP43" s="152"/>
      <c r="AQ43" s="148">
        <f t="shared" si="3"/>
        <v>3000</v>
      </c>
      <c r="AR43" s="145">
        <f t="shared" si="0"/>
        <v>37000</v>
      </c>
      <c r="AS43" s="182"/>
    </row>
    <row r="44" spans="1:45" ht="37.5" customHeight="1" x14ac:dyDescent="0.25">
      <c r="A44" s="27"/>
      <c r="B44" s="1"/>
      <c r="C44" s="9"/>
      <c r="D44" s="9"/>
      <c r="E44" s="9"/>
      <c r="F44" s="9"/>
      <c r="G44" s="56"/>
      <c r="H44" s="56"/>
      <c r="I44" s="44">
        <v>43</v>
      </c>
      <c r="J44" s="44"/>
      <c r="K44" s="44" t="s">
        <v>1648</v>
      </c>
      <c r="L44" s="44" t="s">
        <v>1649</v>
      </c>
      <c r="M44" s="56">
        <v>383</v>
      </c>
      <c r="N44" s="44" t="s">
        <v>215</v>
      </c>
      <c r="O44" s="46" t="s">
        <v>709</v>
      </c>
      <c r="P44" s="44" t="s">
        <v>710</v>
      </c>
      <c r="Q44" s="44" t="s">
        <v>711</v>
      </c>
      <c r="R44" s="44"/>
      <c r="S44" s="44"/>
      <c r="T44" s="44"/>
      <c r="U44" s="44"/>
      <c r="V44" s="142"/>
      <c r="W44" s="39">
        <v>4200</v>
      </c>
      <c r="X44" s="39">
        <v>4200</v>
      </c>
      <c r="Y44" s="39" t="s">
        <v>1426</v>
      </c>
      <c r="Z44" s="41"/>
      <c r="AA44" s="44">
        <v>24000</v>
      </c>
      <c r="AB44" s="44">
        <v>5000</v>
      </c>
      <c r="AC44" s="44" t="s">
        <v>691</v>
      </c>
      <c r="AD44" s="44">
        <v>7000</v>
      </c>
      <c r="AE44" s="44" t="s">
        <v>1736</v>
      </c>
      <c r="AF44" s="53"/>
      <c r="AG44" s="53"/>
      <c r="AH44" s="53"/>
      <c r="AI44" s="53"/>
      <c r="AJ44" s="53"/>
      <c r="AK44" s="53"/>
      <c r="AL44" s="44"/>
      <c r="AM44" s="44"/>
      <c r="AN44" s="145">
        <f>AA44-AB44-AD44-AF44-AH44-AJ44</f>
        <v>12000</v>
      </c>
      <c r="AO44" s="152"/>
      <c r="AP44" s="152"/>
      <c r="AQ44" s="148">
        <f t="shared" si="3"/>
        <v>12000</v>
      </c>
      <c r="AR44" s="145">
        <f t="shared" si="0"/>
        <v>12000</v>
      </c>
      <c r="AS44" s="182"/>
    </row>
    <row r="45" spans="1:45" s="10" customFormat="1" ht="32.25" customHeight="1" x14ac:dyDescent="0.25">
      <c r="A45" s="27"/>
      <c r="B45" s="2"/>
      <c r="C45" s="9"/>
      <c r="D45" s="9"/>
      <c r="E45" s="9"/>
      <c r="F45" s="9"/>
      <c r="G45" s="56"/>
      <c r="H45" s="56"/>
      <c r="I45" s="44">
        <v>44</v>
      </c>
      <c r="J45" s="44">
        <v>14</v>
      </c>
      <c r="K45" s="56" t="s">
        <v>693</v>
      </c>
      <c r="L45" s="56" t="s">
        <v>694</v>
      </c>
      <c r="M45" s="56"/>
      <c r="N45" s="56" t="s">
        <v>40</v>
      </c>
      <c r="O45" s="57" t="s">
        <v>696</v>
      </c>
      <c r="P45" s="56" t="s">
        <v>41</v>
      </c>
      <c r="Q45" s="44" t="s">
        <v>49</v>
      </c>
      <c r="R45" s="58" t="s">
        <v>697</v>
      </c>
      <c r="S45" s="39"/>
      <c r="T45" s="39"/>
      <c r="U45" s="39"/>
      <c r="V45" s="41"/>
      <c r="W45" s="39">
        <v>4200</v>
      </c>
      <c r="X45" s="39">
        <v>4200</v>
      </c>
      <c r="Y45" s="39" t="s">
        <v>1718</v>
      </c>
      <c r="Z45" s="41"/>
      <c r="AA45" s="56">
        <v>30000</v>
      </c>
      <c r="AB45" s="56">
        <v>5000</v>
      </c>
      <c r="AC45" s="56" t="s">
        <v>695</v>
      </c>
      <c r="AD45" s="58">
        <v>5000</v>
      </c>
      <c r="AE45" s="163" t="s">
        <v>1790</v>
      </c>
      <c r="AF45" s="42"/>
      <c r="AG45" s="42"/>
      <c r="AH45" s="42"/>
      <c r="AI45" s="42"/>
      <c r="AJ45" s="42"/>
      <c r="AK45" s="42"/>
      <c r="AL45" s="39"/>
      <c r="AM45" s="39"/>
      <c r="AN45" s="143">
        <f>AA45-AB45-AD45-AF45-AH45-AJ45-AL45</f>
        <v>20000</v>
      </c>
      <c r="AO45" s="58"/>
      <c r="AP45" s="58"/>
      <c r="AQ45" s="149">
        <f>+AB45+AD45+AF45+AH45+AJ45+AL45</f>
        <v>10000</v>
      </c>
      <c r="AR45" s="145">
        <f t="shared" si="0"/>
        <v>20000</v>
      </c>
      <c r="AS45" s="49"/>
    </row>
    <row r="46" spans="1:45" ht="37.5" customHeight="1" x14ac:dyDescent="0.25">
      <c r="A46" s="27"/>
      <c r="B46" s="1"/>
      <c r="C46" s="9"/>
      <c r="D46" s="9"/>
      <c r="E46" s="9"/>
      <c r="F46" s="9"/>
      <c r="G46" s="56"/>
      <c r="H46" s="56"/>
      <c r="I46" s="44">
        <v>45</v>
      </c>
      <c r="J46" s="44">
        <v>91</v>
      </c>
      <c r="K46" s="44" t="s">
        <v>729</v>
      </c>
      <c r="L46" s="44" t="s">
        <v>189</v>
      </c>
      <c r="M46" s="56">
        <v>483</v>
      </c>
      <c r="N46" s="44" t="s">
        <v>728</v>
      </c>
      <c r="O46" s="46" t="s">
        <v>730</v>
      </c>
      <c r="P46" s="44" t="s">
        <v>731</v>
      </c>
      <c r="Q46" s="44" t="s">
        <v>732</v>
      </c>
      <c r="R46" s="44" t="s">
        <v>733</v>
      </c>
      <c r="S46" s="44"/>
      <c r="T46" s="44"/>
      <c r="U46" s="44"/>
      <c r="V46" s="142"/>
      <c r="W46" s="39">
        <v>4200</v>
      </c>
      <c r="X46" s="39">
        <v>4200</v>
      </c>
      <c r="Y46" s="39" t="s">
        <v>1318</v>
      </c>
      <c r="Z46" s="41"/>
      <c r="AA46" s="44">
        <v>10</v>
      </c>
      <c r="AB46" s="44"/>
      <c r="AC46" s="44"/>
      <c r="AD46" s="44"/>
      <c r="AE46" s="44"/>
      <c r="AF46" s="53"/>
      <c r="AG46" s="53"/>
      <c r="AH46" s="53"/>
      <c r="AI46" s="53"/>
      <c r="AJ46" s="53"/>
      <c r="AK46" s="53"/>
      <c r="AL46" s="44"/>
      <c r="AM46" s="44"/>
      <c r="AN46" s="145">
        <f t="shared" ref="AN46:AN59" si="6">AA46-AB46-AD46-AF46-AH46-AJ46</f>
        <v>10</v>
      </c>
      <c r="AO46" s="152"/>
      <c r="AP46" s="152"/>
      <c r="AQ46" s="148">
        <f t="shared" ref="AQ46:AQ59" si="7">+AB46+AD46+AF46+AH46+AJ46</f>
        <v>0</v>
      </c>
      <c r="AR46" s="145">
        <f t="shared" si="0"/>
        <v>10</v>
      </c>
      <c r="AS46" s="182"/>
    </row>
    <row r="47" spans="1:45" ht="33.75" customHeight="1" x14ac:dyDescent="0.25">
      <c r="A47" s="27"/>
      <c r="B47" s="1"/>
      <c r="C47" s="9"/>
      <c r="D47" s="9"/>
      <c r="E47" s="9"/>
      <c r="F47" s="9"/>
      <c r="G47" s="56"/>
      <c r="H47" s="56"/>
      <c r="I47" s="44">
        <v>46</v>
      </c>
      <c r="J47" s="44">
        <v>28</v>
      </c>
      <c r="K47" s="44" t="s">
        <v>734</v>
      </c>
      <c r="L47" s="44" t="s">
        <v>735</v>
      </c>
      <c r="M47" s="56">
        <v>472</v>
      </c>
      <c r="N47" s="44" t="s">
        <v>728</v>
      </c>
      <c r="O47" s="46" t="s">
        <v>736</v>
      </c>
      <c r="P47" s="44" t="s">
        <v>324</v>
      </c>
      <c r="Q47" s="44" t="s">
        <v>737</v>
      </c>
      <c r="R47" s="44"/>
      <c r="S47" s="44"/>
      <c r="T47" s="44"/>
      <c r="U47" s="44"/>
      <c r="V47" s="142"/>
      <c r="W47" s="39">
        <v>4500</v>
      </c>
      <c r="X47" s="39">
        <v>4500</v>
      </c>
      <c r="Y47" s="39" t="s">
        <v>1572</v>
      </c>
      <c r="Z47" s="41"/>
      <c r="AA47" s="44">
        <v>10</v>
      </c>
      <c r="AB47" s="44"/>
      <c r="AC47" s="44"/>
      <c r="AD47" s="44"/>
      <c r="AE47" s="44"/>
      <c r="AF47" s="53"/>
      <c r="AG47" s="53"/>
      <c r="AH47" s="53"/>
      <c r="AI47" s="53"/>
      <c r="AJ47" s="53"/>
      <c r="AK47" s="53"/>
      <c r="AL47" s="44"/>
      <c r="AM47" s="44"/>
      <c r="AN47" s="145">
        <f t="shared" si="6"/>
        <v>10</v>
      </c>
      <c r="AO47" s="152"/>
      <c r="AP47" s="152"/>
      <c r="AQ47" s="148">
        <f t="shared" si="7"/>
        <v>0</v>
      </c>
      <c r="AR47" s="145">
        <f t="shared" si="0"/>
        <v>10</v>
      </c>
      <c r="AS47" s="183"/>
    </row>
    <row r="48" spans="1:45" ht="36" customHeight="1" x14ac:dyDescent="0.25">
      <c r="A48" s="27"/>
      <c r="B48" s="1"/>
      <c r="C48" s="9"/>
      <c r="D48" s="9"/>
      <c r="E48" s="9"/>
      <c r="F48" s="9"/>
      <c r="G48" s="56"/>
      <c r="H48" s="56"/>
      <c r="I48" s="44">
        <v>47</v>
      </c>
      <c r="J48" s="44">
        <v>11</v>
      </c>
      <c r="K48" s="44" t="s">
        <v>775</v>
      </c>
      <c r="L48" s="44" t="s">
        <v>776</v>
      </c>
      <c r="M48" s="56">
        <v>447</v>
      </c>
      <c r="N48" s="44" t="s">
        <v>39</v>
      </c>
      <c r="O48" s="117" t="s">
        <v>812</v>
      </c>
      <c r="P48" s="44" t="s">
        <v>324</v>
      </c>
      <c r="Q48" s="44" t="s">
        <v>737</v>
      </c>
      <c r="R48" s="44"/>
      <c r="S48" s="44"/>
      <c r="T48" s="44"/>
      <c r="U48" s="44"/>
      <c r="V48" s="142"/>
      <c r="W48" s="39">
        <v>4200</v>
      </c>
      <c r="X48" s="39">
        <v>4200</v>
      </c>
      <c r="Y48" s="39" t="s">
        <v>1386</v>
      </c>
      <c r="Z48" s="41"/>
      <c r="AA48" s="44">
        <v>30000</v>
      </c>
      <c r="AB48" s="44">
        <v>5000</v>
      </c>
      <c r="AC48" s="44" t="s">
        <v>777</v>
      </c>
      <c r="AD48" s="44"/>
      <c r="AE48" s="191"/>
      <c r="AF48" s="53"/>
      <c r="AG48" s="53"/>
      <c r="AH48" s="53"/>
      <c r="AI48" s="53"/>
      <c r="AJ48" s="53"/>
      <c r="AK48" s="53"/>
      <c r="AL48" s="44"/>
      <c r="AM48" s="44"/>
      <c r="AN48" s="145">
        <f t="shared" si="6"/>
        <v>25000</v>
      </c>
      <c r="AO48" s="152"/>
      <c r="AP48" s="152"/>
      <c r="AQ48" s="148">
        <f t="shared" si="7"/>
        <v>5000</v>
      </c>
      <c r="AR48" s="145">
        <f t="shared" si="0"/>
        <v>25000</v>
      </c>
      <c r="AS48" s="49"/>
    </row>
    <row r="49" spans="1:58" s="10" customFormat="1" ht="37.5" customHeight="1" x14ac:dyDescent="0.25">
      <c r="A49" s="27"/>
      <c r="B49" s="2"/>
      <c r="C49" s="9"/>
      <c r="D49" s="9"/>
      <c r="E49" s="9"/>
      <c r="F49" s="9"/>
      <c r="G49" s="56"/>
      <c r="H49" s="56"/>
      <c r="I49" s="44">
        <v>48</v>
      </c>
      <c r="J49" s="44">
        <v>66</v>
      </c>
      <c r="K49" s="44" t="s">
        <v>782</v>
      </c>
      <c r="L49" s="44" t="s">
        <v>783</v>
      </c>
      <c r="M49" s="56"/>
      <c r="N49" s="44" t="s">
        <v>215</v>
      </c>
      <c r="O49" s="46" t="s">
        <v>1259</v>
      </c>
      <c r="P49" s="44" t="s">
        <v>1260</v>
      </c>
      <c r="Q49" s="44"/>
      <c r="R49" s="44"/>
      <c r="S49" s="44"/>
      <c r="T49" s="44"/>
      <c r="U49" s="44"/>
      <c r="V49" s="142"/>
      <c r="W49" s="39">
        <v>4200</v>
      </c>
      <c r="X49" s="39">
        <v>4200</v>
      </c>
      <c r="Y49" s="39" t="s">
        <v>1342</v>
      </c>
      <c r="Z49" s="41"/>
      <c r="AA49" s="44">
        <v>50000</v>
      </c>
      <c r="AB49" s="44">
        <v>6000</v>
      </c>
      <c r="AC49" s="44" t="s">
        <v>784</v>
      </c>
      <c r="AD49" s="44">
        <v>3000</v>
      </c>
      <c r="AE49" s="44" t="s">
        <v>966</v>
      </c>
      <c r="AF49" s="53">
        <v>3000</v>
      </c>
      <c r="AG49" s="53" t="s">
        <v>1105</v>
      </c>
      <c r="AH49" s="53">
        <v>3000</v>
      </c>
      <c r="AI49" s="53" t="s">
        <v>1752</v>
      </c>
      <c r="AJ49" s="53"/>
      <c r="AK49" s="53"/>
      <c r="AL49" s="44"/>
      <c r="AM49" s="44"/>
      <c r="AN49" s="145">
        <f t="shared" si="6"/>
        <v>35000</v>
      </c>
      <c r="AO49" s="152"/>
      <c r="AP49" s="152"/>
      <c r="AQ49" s="148">
        <f t="shared" si="7"/>
        <v>15000</v>
      </c>
      <c r="AR49" s="145">
        <f t="shared" si="0"/>
        <v>35000</v>
      </c>
      <c r="AS49" s="49"/>
    </row>
    <row r="50" spans="1:58" ht="54.75" customHeight="1" x14ac:dyDescent="0.25">
      <c r="A50" s="27"/>
      <c r="B50" s="1"/>
      <c r="C50" s="9"/>
      <c r="D50" s="9"/>
      <c r="E50" s="9"/>
      <c r="F50" s="9"/>
      <c r="G50" s="56"/>
      <c r="H50" s="56"/>
      <c r="I50" s="44">
        <v>49</v>
      </c>
      <c r="J50" s="44"/>
      <c r="K50" s="44" t="s">
        <v>789</v>
      </c>
      <c r="L50" s="44" t="s">
        <v>790</v>
      </c>
      <c r="M50" s="56">
        <v>348</v>
      </c>
      <c r="N50" s="44" t="s">
        <v>215</v>
      </c>
      <c r="O50" s="46" t="s">
        <v>791</v>
      </c>
      <c r="P50" s="44" t="s">
        <v>452</v>
      </c>
      <c r="Q50" s="44" t="s">
        <v>792</v>
      </c>
      <c r="R50" s="44"/>
      <c r="S50" s="44"/>
      <c r="T50" s="44"/>
      <c r="U50" s="44"/>
      <c r="V50" s="142"/>
      <c r="W50" s="39">
        <v>4200</v>
      </c>
      <c r="X50" s="39">
        <v>4200</v>
      </c>
      <c r="Y50" s="39" t="s">
        <v>1654</v>
      </c>
      <c r="Z50" s="41"/>
      <c r="AA50" s="44">
        <v>50000</v>
      </c>
      <c r="AB50" s="44">
        <v>25000</v>
      </c>
      <c r="AC50" s="44" t="s">
        <v>793</v>
      </c>
      <c r="AD50" s="44"/>
      <c r="AE50" s="44"/>
      <c r="AF50" s="53"/>
      <c r="AG50" s="53"/>
      <c r="AH50" s="53"/>
      <c r="AI50" s="53"/>
      <c r="AJ50" s="53"/>
      <c r="AK50" s="53"/>
      <c r="AL50" s="44"/>
      <c r="AM50" s="44"/>
      <c r="AN50" s="145">
        <f t="shared" si="6"/>
        <v>25000</v>
      </c>
      <c r="AO50" s="152"/>
      <c r="AP50" s="152"/>
      <c r="AQ50" s="148">
        <f t="shared" si="7"/>
        <v>25000</v>
      </c>
      <c r="AR50" s="145">
        <f t="shared" si="0"/>
        <v>25000</v>
      </c>
      <c r="AS50" s="182"/>
    </row>
    <row r="51" spans="1:58" ht="37.5" customHeight="1" x14ac:dyDescent="0.25">
      <c r="A51" s="27"/>
      <c r="B51" s="1"/>
      <c r="C51" s="9"/>
      <c r="D51" s="9"/>
      <c r="E51" s="9"/>
      <c r="F51" s="9"/>
      <c r="G51" s="56"/>
      <c r="H51" s="56"/>
      <c r="I51" s="44">
        <v>50</v>
      </c>
      <c r="J51" s="44">
        <v>58</v>
      </c>
      <c r="K51" s="56" t="s">
        <v>1517</v>
      </c>
      <c r="L51" s="56" t="s">
        <v>794</v>
      </c>
      <c r="M51" s="56">
        <v>344</v>
      </c>
      <c r="N51" s="56" t="s">
        <v>728</v>
      </c>
      <c r="O51" s="57" t="s">
        <v>795</v>
      </c>
      <c r="P51" s="56" t="s">
        <v>252</v>
      </c>
      <c r="Q51" s="56" t="s">
        <v>707</v>
      </c>
      <c r="R51" s="58"/>
      <c r="S51" s="39"/>
      <c r="T51" s="39"/>
      <c r="U51" s="39"/>
      <c r="V51" s="41"/>
      <c r="W51" s="39">
        <v>4200</v>
      </c>
      <c r="X51" s="39">
        <v>4200</v>
      </c>
      <c r="Y51" s="39" t="s">
        <v>1553</v>
      </c>
      <c r="Z51" s="41"/>
      <c r="AA51" s="56">
        <v>25000</v>
      </c>
      <c r="AB51" s="56">
        <v>10000</v>
      </c>
      <c r="AC51" s="56" t="s">
        <v>796</v>
      </c>
      <c r="AD51" s="58">
        <v>15000</v>
      </c>
      <c r="AE51" s="58" t="s">
        <v>1725</v>
      </c>
      <c r="AF51" s="42"/>
      <c r="AG51" s="42"/>
      <c r="AH51" s="42"/>
      <c r="AI51" s="42"/>
      <c r="AJ51" s="42"/>
      <c r="AK51" s="42"/>
      <c r="AL51" s="39"/>
      <c r="AM51" s="39"/>
      <c r="AN51" s="143">
        <f>AA51-AB51-AD51-AF51-AH51-AJ51-AL51</f>
        <v>0</v>
      </c>
      <c r="AO51" s="58"/>
      <c r="AP51" s="58"/>
      <c r="AQ51" s="149">
        <f>+AB51+AD51+AF51+AH51+AJ51+AL51</f>
        <v>25000</v>
      </c>
      <c r="AR51" s="145">
        <f t="shared" si="0"/>
        <v>0</v>
      </c>
      <c r="AS51" s="182"/>
    </row>
    <row r="52" spans="1:58" ht="37.5" customHeight="1" x14ac:dyDescent="0.25">
      <c r="A52" s="27"/>
      <c r="B52" s="1"/>
      <c r="C52" s="9"/>
      <c r="D52" s="9"/>
      <c r="E52" s="9"/>
      <c r="F52" s="9"/>
      <c r="G52" s="56"/>
      <c r="H52" s="56"/>
      <c r="I52" s="44">
        <v>51</v>
      </c>
      <c r="J52" s="44"/>
      <c r="K52" s="44" t="s">
        <v>816</v>
      </c>
      <c r="L52" s="44" t="s">
        <v>817</v>
      </c>
      <c r="M52" s="56">
        <v>296</v>
      </c>
      <c r="N52" s="44" t="s">
        <v>40</v>
      </c>
      <c r="O52" s="46" t="s">
        <v>818</v>
      </c>
      <c r="P52" s="44" t="s">
        <v>568</v>
      </c>
      <c r="Q52" s="44" t="s">
        <v>819</v>
      </c>
      <c r="R52" s="44"/>
      <c r="S52" s="44"/>
      <c r="T52" s="44"/>
      <c r="U52" s="44"/>
      <c r="V52" s="142"/>
      <c r="W52" s="39"/>
      <c r="X52" s="39"/>
      <c r="Y52" s="39"/>
      <c r="Z52" s="41"/>
      <c r="AA52" s="44">
        <v>30000</v>
      </c>
      <c r="AB52" s="44">
        <v>2500</v>
      </c>
      <c r="AC52" s="44" t="s">
        <v>820</v>
      </c>
      <c r="AD52" s="44"/>
      <c r="AE52" s="44"/>
      <c r="AF52" s="53"/>
      <c r="AG52" s="53"/>
      <c r="AH52" s="53"/>
      <c r="AI52" s="53"/>
      <c r="AJ52" s="53"/>
      <c r="AK52" s="53"/>
      <c r="AL52" s="44"/>
      <c r="AM52" s="44"/>
      <c r="AN52" s="145">
        <f t="shared" si="6"/>
        <v>27500</v>
      </c>
      <c r="AO52" s="152"/>
      <c r="AP52" s="152"/>
      <c r="AQ52" s="148">
        <f t="shared" si="7"/>
        <v>2500</v>
      </c>
      <c r="AR52" s="145">
        <f t="shared" si="0"/>
        <v>27500</v>
      </c>
      <c r="AS52" s="49"/>
    </row>
    <row r="53" spans="1:58" ht="61.5" customHeight="1" x14ac:dyDescent="0.25">
      <c r="A53" s="27"/>
      <c r="B53" s="1"/>
      <c r="C53" s="9"/>
      <c r="D53" s="9"/>
      <c r="E53" s="9"/>
      <c r="F53" s="9"/>
      <c r="G53" s="56"/>
      <c r="H53" s="56"/>
      <c r="I53" s="44">
        <v>52</v>
      </c>
      <c r="J53" s="44">
        <v>51</v>
      </c>
      <c r="K53" s="44" t="s">
        <v>835</v>
      </c>
      <c r="L53" s="44" t="s">
        <v>559</v>
      </c>
      <c r="M53" s="56">
        <v>290</v>
      </c>
      <c r="N53" s="44" t="s">
        <v>39</v>
      </c>
      <c r="O53" s="46" t="s">
        <v>854</v>
      </c>
      <c r="P53" s="44" t="s">
        <v>855</v>
      </c>
      <c r="Q53" s="44" t="s">
        <v>229</v>
      </c>
      <c r="R53" s="44"/>
      <c r="S53" s="44"/>
      <c r="T53" s="44"/>
      <c r="U53" s="44"/>
      <c r="V53" s="142"/>
      <c r="W53" s="39">
        <v>4200</v>
      </c>
      <c r="X53" s="39">
        <v>4200</v>
      </c>
      <c r="Y53" s="39" t="s">
        <v>1437</v>
      </c>
      <c r="Z53" s="41"/>
      <c r="AA53" s="44">
        <v>30000</v>
      </c>
      <c r="AB53" s="44">
        <v>5000</v>
      </c>
      <c r="AC53" s="44" t="s">
        <v>836</v>
      </c>
      <c r="AD53" s="44"/>
      <c r="AE53" s="44"/>
      <c r="AF53" s="53"/>
      <c r="AG53" s="53"/>
      <c r="AH53" s="53"/>
      <c r="AI53" s="53"/>
      <c r="AJ53" s="53"/>
      <c r="AK53" s="53"/>
      <c r="AL53" s="44"/>
      <c r="AM53" s="44"/>
      <c r="AN53" s="145">
        <f t="shared" si="6"/>
        <v>25000</v>
      </c>
      <c r="AO53" s="152"/>
      <c r="AP53" s="152"/>
      <c r="AQ53" s="148">
        <f t="shared" si="7"/>
        <v>5000</v>
      </c>
      <c r="AR53" s="145">
        <f t="shared" si="0"/>
        <v>25000</v>
      </c>
      <c r="AS53" s="49"/>
    </row>
    <row r="54" spans="1:58" s="10" customFormat="1" ht="29.25" customHeight="1" x14ac:dyDescent="0.25">
      <c r="A54" s="75"/>
      <c r="B54" s="2"/>
      <c r="C54" s="2"/>
      <c r="D54" s="2"/>
      <c r="E54" s="2"/>
      <c r="F54" s="2"/>
      <c r="G54" s="135"/>
      <c r="H54" s="135"/>
      <c r="I54" s="44">
        <v>53</v>
      </c>
      <c r="J54" s="44">
        <v>27</v>
      </c>
      <c r="K54" s="44" t="s">
        <v>878</v>
      </c>
      <c r="L54" s="44" t="s">
        <v>879</v>
      </c>
      <c r="M54" s="56"/>
      <c r="N54" s="44" t="s">
        <v>40</v>
      </c>
      <c r="O54" s="46" t="s">
        <v>880</v>
      </c>
      <c r="P54" s="44" t="s">
        <v>38</v>
      </c>
      <c r="Q54" s="56" t="s">
        <v>202</v>
      </c>
      <c r="R54" s="44"/>
      <c r="S54" s="44"/>
      <c r="T54" s="44"/>
      <c r="U54" s="44"/>
      <c r="V54" s="142"/>
      <c r="W54" s="39"/>
      <c r="X54" s="39"/>
      <c r="Y54" s="39"/>
      <c r="Z54" s="41"/>
      <c r="AA54" s="44">
        <v>30000</v>
      </c>
      <c r="AB54" s="44">
        <v>5000</v>
      </c>
      <c r="AC54" s="44" t="s">
        <v>881</v>
      </c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145">
        <f>AA54-AB54-AD54-AF54-AH54-AJ54-AL54</f>
        <v>25000</v>
      </c>
      <c r="AO54" s="152"/>
      <c r="AP54" s="152"/>
      <c r="AQ54" s="148">
        <f>+AB54+AD54+AF54+AH54+AJ54+AL54</f>
        <v>5000</v>
      </c>
      <c r="AR54" s="145">
        <f t="shared" si="0"/>
        <v>25000</v>
      </c>
      <c r="AS54" s="182"/>
    </row>
    <row r="55" spans="1:58" ht="37.5" customHeight="1" x14ac:dyDescent="0.25">
      <c r="A55" s="27"/>
      <c r="B55" s="1"/>
      <c r="C55" s="9"/>
      <c r="D55" s="9"/>
      <c r="E55" s="9"/>
      <c r="F55" s="9"/>
      <c r="G55" s="56"/>
      <c r="H55" s="56"/>
      <c r="I55" s="44">
        <v>54</v>
      </c>
      <c r="J55" s="44">
        <v>79</v>
      </c>
      <c r="K55" s="56" t="s">
        <v>896</v>
      </c>
      <c r="L55" s="56" t="s">
        <v>897</v>
      </c>
      <c r="M55" s="56">
        <v>454</v>
      </c>
      <c r="N55" s="44" t="s">
        <v>39</v>
      </c>
      <c r="O55" s="57" t="s">
        <v>898</v>
      </c>
      <c r="P55" s="56" t="s">
        <v>899</v>
      </c>
      <c r="Q55" s="56" t="s">
        <v>156</v>
      </c>
      <c r="R55" s="58"/>
      <c r="S55" s="39"/>
      <c r="T55" s="39"/>
      <c r="U55" s="39"/>
      <c r="V55" s="41"/>
      <c r="W55" s="39">
        <v>4200</v>
      </c>
      <c r="X55" s="39">
        <v>4200</v>
      </c>
      <c r="Y55" s="39" t="s">
        <v>1561</v>
      </c>
      <c r="Z55" s="41"/>
      <c r="AA55" s="56">
        <v>27500</v>
      </c>
      <c r="AB55" s="56">
        <v>7500</v>
      </c>
      <c r="AC55" s="56" t="s">
        <v>900</v>
      </c>
      <c r="AD55" s="58"/>
      <c r="AE55" s="58"/>
      <c r="AF55" s="42"/>
      <c r="AG55" s="42"/>
      <c r="AH55" s="42"/>
      <c r="AI55" s="42"/>
      <c r="AJ55" s="42"/>
      <c r="AK55" s="42"/>
      <c r="AL55" s="39"/>
      <c r="AM55" s="39"/>
      <c r="AN55" s="143">
        <f t="shared" si="6"/>
        <v>20000</v>
      </c>
      <c r="AO55" s="58"/>
      <c r="AP55" s="58"/>
      <c r="AQ55" s="149">
        <f t="shared" si="7"/>
        <v>7500</v>
      </c>
      <c r="AR55" s="145">
        <f t="shared" si="0"/>
        <v>20000</v>
      </c>
      <c r="AS55" s="182"/>
    </row>
    <row r="56" spans="1:58" ht="36" customHeight="1" x14ac:dyDescent="0.25">
      <c r="A56" s="27"/>
      <c r="B56" s="1"/>
      <c r="C56" s="9"/>
      <c r="D56" s="9"/>
      <c r="E56" s="9"/>
      <c r="F56" s="9"/>
      <c r="G56" s="56"/>
      <c r="H56" s="56"/>
      <c r="I56" s="44">
        <v>55</v>
      </c>
      <c r="J56" s="44">
        <v>5</v>
      </c>
      <c r="K56" s="44" t="s">
        <v>902</v>
      </c>
      <c r="L56" s="44" t="s">
        <v>478</v>
      </c>
      <c r="M56" s="56">
        <v>480</v>
      </c>
      <c r="N56" s="44" t="s">
        <v>39</v>
      </c>
      <c r="O56" s="46" t="s">
        <v>903</v>
      </c>
      <c r="P56" s="44" t="s">
        <v>899</v>
      </c>
      <c r="Q56" s="56" t="s">
        <v>904</v>
      </c>
      <c r="R56" s="44"/>
      <c r="S56" s="44"/>
      <c r="T56" s="44"/>
      <c r="U56" s="44"/>
      <c r="V56" s="142"/>
      <c r="W56" s="39">
        <v>4200</v>
      </c>
      <c r="X56" s="39">
        <v>4200</v>
      </c>
      <c r="Y56" s="39" t="s">
        <v>1496</v>
      </c>
      <c r="Z56" s="41"/>
      <c r="AA56" s="44">
        <v>27500</v>
      </c>
      <c r="AB56" s="44">
        <v>7500</v>
      </c>
      <c r="AC56" s="44" t="s">
        <v>901</v>
      </c>
      <c r="AD56" s="44">
        <v>7000</v>
      </c>
      <c r="AE56" s="44" t="s">
        <v>1749</v>
      </c>
      <c r="AF56" s="53"/>
      <c r="AG56" s="53"/>
      <c r="AH56" s="53"/>
      <c r="AI56" s="53"/>
      <c r="AJ56" s="53"/>
      <c r="AK56" s="53"/>
      <c r="AL56" s="44"/>
      <c r="AM56" s="44"/>
      <c r="AN56" s="145">
        <f t="shared" si="6"/>
        <v>13000</v>
      </c>
      <c r="AO56" s="152"/>
      <c r="AP56" s="152"/>
      <c r="AQ56" s="148">
        <f t="shared" si="7"/>
        <v>14500</v>
      </c>
      <c r="AR56" s="145">
        <f t="shared" si="0"/>
        <v>13000</v>
      </c>
      <c r="AS56" s="49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</row>
    <row r="57" spans="1:58" ht="42" customHeight="1" x14ac:dyDescent="0.25">
      <c r="A57" s="27"/>
      <c r="B57" s="1"/>
      <c r="C57" s="9"/>
      <c r="D57" s="9"/>
      <c r="E57" s="9"/>
      <c r="F57" s="9"/>
      <c r="G57" s="56"/>
      <c r="H57" s="56"/>
      <c r="I57" s="44">
        <v>56</v>
      </c>
      <c r="J57" s="44">
        <v>29</v>
      </c>
      <c r="K57" s="56" t="s">
        <v>961</v>
      </c>
      <c r="L57" s="56" t="s">
        <v>962</v>
      </c>
      <c r="M57" s="56"/>
      <c r="N57" s="44" t="s">
        <v>39</v>
      </c>
      <c r="O57" s="57" t="s">
        <v>963</v>
      </c>
      <c r="P57" s="56" t="s">
        <v>964</v>
      </c>
      <c r="Q57" s="56"/>
      <c r="R57" s="58"/>
      <c r="S57" s="86"/>
      <c r="T57" s="86"/>
      <c r="U57" s="86"/>
      <c r="V57" s="188"/>
      <c r="W57" s="86"/>
      <c r="X57" s="86"/>
      <c r="Y57" s="86"/>
      <c r="Z57" s="188"/>
      <c r="AA57" s="56">
        <v>30000</v>
      </c>
      <c r="AB57" s="56">
        <v>5000</v>
      </c>
      <c r="AC57" s="56" t="s">
        <v>965</v>
      </c>
      <c r="AD57" s="56"/>
      <c r="AE57" s="44"/>
      <c r="AF57" s="53"/>
      <c r="AG57" s="53"/>
      <c r="AH57" s="53"/>
      <c r="AI57" s="53"/>
      <c r="AJ57" s="53"/>
      <c r="AK57" s="53"/>
      <c r="AL57" s="44"/>
      <c r="AM57" s="44"/>
      <c r="AN57" s="145">
        <f t="shared" si="6"/>
        <v>25000</v>
      </c>
      <c r="AO57" s="152"/>
      <c r="AP57" s="152"/>
      <c r="AQ57" s="148">
        <f t="shared" si="7"/>
        <v>5000</v>
      </c>
      <c r="AR57" s="145">
        <f t="shared" si="0"/>
        <v>25000</v>
      </c>
      <c r="AS57" s="183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</row>
    <row r="58" spans="1:58" ht="49.5" customHeight="1" x14ac:dyDescent="0.25">
      <c r="A58" s="27"/>
      <c r="B58" s="1"/>
      <c r="C58" s="9"/>
      <c r="D58" s="9"/>
      <c r="E58" s="9"/>
      <c r="F58" s="9"/>
      <c r="G58" s="56"/>
      <c r="H58" s="56"/>
      <c r="I58" s="44">
        <v>57</v>
      </c>
      <c r="J58" s="44">
        <v>10</v>
      </c>
      <c r="K58" s="56" t="s">
        <v>968</v>
      </c>
      <c r="L58" s="56" t="s">
        <v>969</v>
      </c>
      <c r="M58" s="56"/>
      <c r="N58" s="56" t="s">
        <v>39</v>
      </c>
      <c r="O58" s="57" t="s">
        <v>1014</v>
      </c>
      <c r="P58" s="56" t="s">
        <v>406</v>
      </c>
      <c r="Q58" s="56" t="s">
        <v>407</v>
      </c>
      <c r="R58" s="58"/>
      <c r="S58" s="41"/>
      <c r="T58" s="41"/>
      <c r="U58" s="40"/>
      <c r="V58" s="40"/>
      <c r="W58" s="40">
        <v>4200</v>
      </c>
      <c r="X58" s="39">
        <v>4200</v>
      </c>
      <c r="Y58" s="39" t="s">
        <v>1344</v>
      </c>
      <c r="Z58" s="41"/>
      <c r="AA58" s="56">
        <v>20000</v>
      </c>
      <c r="AB58" s="56">
        <v>5000</v>
      </c>
      <c r="AC58" s="56" t="s">
        <v>970</v>
      </c>
      <c r="AD58" s="58"/>
      <c r="AE58" s="58"/>
      <c r="AF58" s="42"/>
      <c r="AG58" s="116"/>
      <c r="AH58" s="42"/>
      <c r="AI58" s="116"/>
      <c r="AJ58" s="42"/>
      <c r="AK58" s="116"/>
      <c r="AL58" s="39"/>
      <c r="AM58" s="39"/>
      <c r="AN58" s="145">
        <f t="shared" si="6"/>
        <v>15000</v>
      </c>
      <c r="AO58" s="58"/>
      <c r="AP58" s="58"/>
      <c r="AQ58" s="148">
        <f t="shared" si="7"/>
        <v>5000</v>
      </c>
      <c r="AR58" s="145">
        <f t="shared" si="0"/>
        <v>15000</v>
      </c>
      <c r="AS58" s="49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</row>
    <row r="59" spans="1:58" s="24" customFormat="1" ht="37.5" customHeight="1" x14ac:dyDescent="0.25">
      <c r="A59" s="27"/>
      <c r="B59" s="9"/>
      <c r="C59" s="9"/>
      <c r="D59" s="9"/>
      <c r="E59" s="9"/>
      <c r="F59" s="9"/>
      <c r="G59" s="56"/>
      <c r="H59" s="56"/>
      <c r="I59" s="44">
        <v>58</v>
      </c>
      <c r="J59" s="44"/>
      <c r="K59" s="44" t="s">
        <v>380</v>
      </c>
      <c r="L59" s="44" t="s">
        <v>969</v>
      </c>
      <c r="M59" s="56"/>
      <c r="N59" s="56" t="s">
        <v>40</v>
      </c>
      <c r="O59" s="44" t="s">
        <v>982</v>
      </c>
      <c r="P59" s="44" t="s">
        <v>721</v>
      </c>
      <c r="Q59" s="56" t="s">
        <v>983</v>
      </c>
      <c r="R59" s="44"/>
      <c r="S59" s="44"/>
      <c r="T59" s="44"/>
      <c r="U59" s="44"/>
      <c r="V59" s="142"/>
      <c r="W59" s="39">
        <v>4200</v>
      </c>
      <c r="X59" s="39">
        <v>4200</v>
      </c>
      <c r="Y59" s="39" t="s">
        <v>1559</v>
      </c>
      <c r="Z59" s="41"/>
      <c r="AA59" s="44">
        <v>30000</v>
      </c>
      <c r="AB59" s="44">
        <v>2500</v>
      </c>
      <c r="AC59" s="44"/>
      <c r="AD59" s="44">
        <v>5000</v>
      </c>
      <c r="AE59" s="44" t="s">
        <v>1106</v>
      </c>
      <c r="AF59" s="53">
        <v>5000</v>
      </c>
      <c r="AG59" s="53" t="s">
        <v>1728</v>
      </c>
      <c r="AH59" s="53"/>
      <c r="AI59" s="53"/>
      <c r="AJ59" s="53"/>
      <c r="AK59" s="53"/>
      <c r="AL59" s="44"/>
      <c r="AM59" s="44"/>
      <c r="AN59" s="145">
        <f t="shared" si="6"/>
        <v>17500</v>
      </c>
      <c r="AO59" s="152"/>
      <c r="AP59" s="152"/>
      <c r="AQ59" s="148">
        <f t="shared" si="7"/>
        <v>12500</v>
      </c>
      <c r="AR59" s="145">
        <f t="shared" si="0"/>
        <v>17500</v>
      </c>
      <c r="AS59" s="18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</row>
    <row r="60" spans="1:58" ht="33.75" customHeight="1" x14ac:dyDescent="0.25">
      <c r="A60" s="27"/>
      <c r="B60" s="1"/>
      <c r="C60" s="9"/>
      <c r="D60" s="9"/>
      <c r="E60" s="9"/>
      <c r="F60" s="9"/>
      <c r="G60" s="56"/>
      <c r="H60" s="56"/>
      <c r="I60" s="44">
        <v>59</v>
      </c>
      <c r="J60" s="44">
        <v>83</v>
      </c>
      <c r="K60" s="56" t="s">
        <v>984</v>
      </c>
      <c r="L60" s="56" t="s">
        <v>508</v>
      </c>
      <c r="M60" s="56"/>
      <c r="N60" s="56" t="s">
        <v>985</v>
      </c>
      <c r="O60" s="57" t="s">
        <v>986</v>
      </c>
      <c r="P60" s="56" t="s">
        <v>988</v>
      </c>
      <c r="Q60" s="56" t="s">
        <v>987</v>
      </c>
      <c r="R60" s="58"/>
      <c r="S60" s="39"/>
      <c r="T60" s="39"/>
      <c r="U60" s="39"/>
      <c r="V60" s="41"/>
      <c r="W60" s="39">
        <v>4200</v>
      </c>
      <c r="X60" s="39">
        <v>4200</v>
      </c>
      <c r="Y60" s="39" t="s">
        <v>1394</v>
      </c>
      <c r="Z60" s="41"/>
      <c r="AA60" s="56">
        <v>30000</v>
      </c>
      <c r="AB60" s="56">
        <v>3000</v>
      </c>
      <c r="AC60" s="56" t="s">
        <v>989</v>
      </c>
      <c r="AD60" s="58">
        <v>5000</v>
      </c>
      <c r="AE60" s="58" t="s">
        <v>1400</v>
      </c>
      <c r="AF60" s="42">
        <v>3000</v>
      </c>
      <c r="AG60" s="42" t="s">
        <v>1679</v>
      </c>
      <c r="AH60" s="42"/>
      <c r="AI60" s="42"/>
      <c r="AJ60" s="42"/>
      <c r="AK60" s="42"/>
      <c r="AL60" s="39"/>
      <c r="AM60" s="39"/>
      <c r="AN60" s="143">
        <f>AA60-AB60-AD60-AF60-AH60-AJ60-AL60</f>
        <v>19000</v>
      </c>
      <c r="AO60" s="58"/>
      <c r="AP60" s="58"/>
      <c r="AQ60" s="149">
        <f>+AB60+AD60+AF60+AH60+AJ60+AL60</f>
        <v>11000</v>
      </c>
      <c r="AR60" s="145">
        <f t="shared" si="0"/>
        <v>19000</v>
      </c>
      <c r="AS60" s="18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</row>
    <row r="61" spans="1:58" s="12" customFormat="1" ht="35.25" customHeight="1" x14ac:dyDescent="0.25">
      <c r="A61" s="27">
        <v>0</v>
      </c>
      <c r="B61" s="9"/>
      <c r="C61" s="9"/>
      <c r="D61" s="9"/>
      <c r="E61" s="9"/>
      <c r="F61" s="9"/>
      <c r="G61" s="56"/>
      <c r="H61" s="56"/>
      <c r="I61" s="44">
        <v>60</v>
      </c>
      <c r="J61" s="44">
        <v>61</v>
      </c>
      <c r="K61" s="56" t="s">
        <v>996</v>
      </c>
      <c r="L61" s="56" t="s">
        <v>997</v>
      </c>
      <c r="M61" s="56"/>
      <c r="N61" s="56" t="s">
        <v>985</v>
      </c>
      <c r="O61" s="57" t="s">
        <v>998</v>
      </c>
      <c r="P61" s="56" t="s">
        <v>568</v>
      </c>
      <c r="Q61" s="56" t="s">
        <v>999</v>
      </c>
      <c r="R61" s="58"/>
      <c r="S61" s="39"/>
      <c r="T61" s="39"/>
      <c r="U61" s="39"/>
      <c r="V61" s="41"/>
      <c r="W61" s="39">
        <v>4200</v>
      </c>
      <c r="X61" s="39">
        <v>4200</v>
      </c>
      <c r="Y61" s="39" t="s">
        <v>1500</v>
      </c>
      <c r="Z61" s="41"/>
      <c r="AA61" s="56">
        <v>30000</v>
      </c>
      <c r="AB61" s="56">
        <v>5000</v>
      </c>
      <c r="AC61" s="56" t="s">
        <v>1000</v>
      </c>
      <c r="AD61" s="58">
        <v>5000</v>
      </c>
      <c r="AE61" s="58" t="s">
        <v>1770</v>
      </c>
      <c r="AF61" s="42">
        <v>10000</v>
      </c>
      <c r="AG61" s="42" t="s">
        <v>1811</v>
      </c>
      <c r="AH61" s="42"/>
      <c r="AI61" s="116"/>
      <c r="AJ61" s="42"/>
      <c r="AK61" s="42"/>
      <c r="AL61" s="39"/>
      <c r="AM61" s="39"/>
      <c r="AN61" s="143">
        <f>AA61-AB61-AD61-AF61-AH61-AJ61-AL61</f>
        <v>10000</v>
      </c>
      <c r="AO61" s="58"/>
      <c r="AP61" s="58"/>
      <c r="AQ61" s="149">
        <f>+AB61+AD61+AF61+AH61+AJ61+AL61</f>
        <v>20000</v>
      </c>
      <c r="AR61" s="145">
        <f t="shared" si="0"/>
        <v>10000</v>
      </c>
      <c r="AS61" s="49"/>
    </row>
    <row r="62" spans="1:58" ht="39.75" customHeight="1" x14ac:dyDescent="0.25">
      <c r="A62" s="27"/>
      <c r="B62" s="1"/>
      <c r="C62" s="9"/>
      <c r="D62" s="9"/>
      <c r="E62" s="9"/>
      <c r="F62" s="9"/>
      <c r="G62" s="56"/>
      <c r="H62" s="56"/>
      <c r="I62" s="44">
        <v>61</v>
      </c>
      <c r="J62" s="44">
        <v>31</v>
      </c>
      <c r="K62" s="56" t="s">
        <v>800</v>
      </c>
      <c r="L62" s="56" t="s">
        <v>189</v>
      </c>
      <c r="M62" s="56">
        <v>386</v>
      </c>
      <c r="N62" s="56" t="s">
        <v>39</v>
      </c>
      <c r="O62" s="57" t="s">
        <v>801</v>
      </c>
      <c r="P62" s="56" t="s">
        <v>252</v>
      </c>
      <c r="Q62" s="56" t="s">
        <v>802</v>
      </c>
      <c r="R62" s="58"/>
      <c r="S62" s="58"/>
      <c r="T62" s="58"/>
      <c r="U62" s="58"/>
      <c r="V62" s="143"/>
      <c r="W62" s="58"/>
      <c r="X62" s="58"/>
      <c r="Y62" s="58"/>
      <c r="Z62" s="143"/>
      <c r="AA62" s="56">
        <v>30000</v>
      </c>
      <c r="AB62" s="56">
        <v>2000</v>
      </c>
      <c r="AC62" s="56" t="s">
        <v>803</v>
      </c>
      <c r="AD62" s="56"/>
      <c r="AE62" s="44"/>
      <c r="AF62" s="53"/>
      <c r="AG62" s="53"/>
      <c r="AH62" s="53"/>
      <c r="AI62" s="53"/>
      <c r="AJ62" s="53"/>
      <c r="AK62" s="53"/>
      <c r="AL62" s="44"/>
      <c r="AM62" s="44"/>
      <c r="AN62" s="145">
        <f t="shared" ref="AN62:AN88" si="8">AA62-AB62-AD62-AF62-AH62-AJ62</f>
        <v>28000</v>
      </c>
      <c r="AO62" s="152"/>
      <c r="AP62" s="152"/>
      <c r="AQ62" s="148">
        <f t="shared" ref="AQ62:AQ88" si="9">+AB62+AD62+AF62+AH62+AJ62</f>
        <v>2000</v>
      </c>
      <c r="AR62" s="145">
        <f t="shared" si="0"/>
        <v>28000</v>
      </c>
      <c r="AS62" s="183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</row>
    <row r="63" spans="1:58" ht="37.5" customHeight="1" x14ac:dyDescent="0.25">
      <c r="A63" s="27"/>
      <c r="B63" s="1"/>
      <c r="C63" s="9"/>
      <c r="D63" s="9"/>
      <c r="E63" s="9"/>
      <c r="F63" s="9"/>
      <c r="G63" s="56"/>
      <c r="H63" s="56"/>
      <c r="I63" s="44">
        <v>62</v>
      </c>
      <c r="J63" s="44">
        <v>3</v>
      </c>
      <c r="K63" s="44" t="s">
        <v>1009</v>
      </c>
      <c r="L63" s="44" t="s">
        <v>668</v>
      </c>
      <c r="M63" s="56">
        <v>424</v>
      </c>
      <c r="N63" s="56" t="s">
        <v>39</v>
      </c>
      <c r="O63" s="46" t="s">
        <v>1010</v>
      </c>
      <c r="P63" s="44" t="s">
        <v>1011</v>
      </c>
      <c r="Q63" s="44" t="s">
        <v>1012</v>
      </c>
      <c r="R63" s="44"/>
      <c r="S63" s="44"/>
      <c r="T63" s="44"/>
      <c r="U63" s="44"/>
      <c r="V63" s="142"/>
      <c r="W63" s="39">
        <v>4200</v>
      </c>
      <c r="X63" s="39">
        <v>4200</v>
      </c>
      <c r="Y63" s="39" t="s">
        <v>1387</v>
      </c>
      <c r="Z63" s="41"/>
      <c r="AA63" s="44">
        <v>22000</v>
      </c>
      <c r="AB63" s="44">
        <v>5000</v>
      </c>
      <c r="AC63" s="44" t="s">
        <v>1013</v>
      </c>
      <c r="AD63" s="44">
        <v>5000</v>
      </c>
      <c r="AE63" s="44" t="s">
        <v>1661</v>
      </c>
      <c r="AF63" s="53"/>
      <c r="AG63" s="53"/>
      <c r="AH63" s="53"/>
      <c r="AI63" s="53"/>
      <c r="AJ63" s="53"/>
      <c r="AK63" s="53"/>
      <c r="AL63" s="44"/>
      <c r="AM63" s="44"/>
      <c r="AN63" s="145">
        <f t="shared" si="8"/>
        <v>12000</v>
      </c>
      <c r="AO63" s="152"/>
      <c r="AP63" s="152"/>
      <c r="AQ63" s="148">
        <f t="shared" si="9"/>
        <v>10000</v>
      </c>
      <c r="AR63" s="145">
        <f t="shared" si="0"/>
        <v>12000</v>
      </c>
      <c r="AS63" s="49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</row>
    <row r="64" spans="1:58" ht="37.5" customHeight="1" x14ac:dyDescent="0.25">
      <c r="A64" s="27"/>
      <c r="B64" s="1"/>
      <c r="C64" s="9"/>
      <c r="D64" s="9"/>
      <c r="E64" s="9"/>
      <c r="F64" s="9"/>
      <c r="G64" s="56"/>
      <c r="H64" s="56"/>
      <c r="I64" s="44">
        <v>63</v>
      </c>
      <c r="J64" s="44">
        <v>70</v>
      </c>
      <c r="K64" s="56" t="s">
        <v>1467</v>
      </c>
      <c r="L64" s="56" t="s">
        <v>1466</v>
      </c>
      <c r="M64" s="56"/>
      <c r="N64" s="44" t="s">
        <v>40</v>
      </c>
      <c r="O64" s="57" t="s">
        <v>1006</v>
      </c>
      <c r="P64" s="56" t="s">
        <v>1007</v>
      </c>
      <c r="Q64" s="56"/>
      <c r="R64" s="58"/>
      <c r="S64" s="39"/>
      <c r="T64" s="39"/>
      <c r="U64" s="39"/>
      <c r="V64" s="41"/>
      <c r="W64" s="39">
        <v>7000</v>
      </c>
      <c r="X64" s="39">
        <v>7000</v>
      </c>
      <c r="Y64" s="39" t="s">
        <v>1503</v>
      </c>
      <c r="Z64" s="41"/>
      <c r="AA64" s="56">
        <v>33000</v>
      </c>
      <c r="AB64" s="56">
        <v>5000</v>
      </c>
      <c r="AC64" s="192" t="s">
        <v>1008</v>
      </c>
      <c r="AD64" s="58">
        <v>5000</v>
      </c>
      <c r="AE64" s="58" t="s">
        <v>1777</v>
      </c>
      <c r="AF64" s="42"/>
      <c r="AG64" s="116"/>
      <c r="AH64" s="42"/>
      <c r="AI64" s="42"/>
      <c r="AJ64" s="42"/>
      <c r="AK64" s="42"/>
      <c r="AL64" s="39"/>
      <c r="AM64" s="39"/>
      <c r="AN64" s="143">
        <f t="shared" si="8"/>
        <v>23000</v>
      </c>
      <c r="AO64" s="58"/>
      <c r="AP64" s="58"/>
      <c r="AQ64" s="149">
        <f t="shared" si="9"/>
        <v>10000</v>
      </c>
      <c r="AR64" s="145">
        <f t="shared" si="0"/>
        <v>23000</v>
      </c>
      <c r="AS64" s="18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</row>
    <row r="65" spans="1:62" s="24" customFormat="1" ht="31.5" customHeight="1" x14ac:dyDescent="0.25">
      <c r="A65" s="27"/>
      <c r="B65" s="23"/>
      <c r="C65" s="9"/>
      <c r="D65" s="9"/>
      <c r="E65" s="9"/>
      <c r="F65" s="9"/>
      <c r="G65" s="56"/>
      <c r="H65" s="56"/>
      <c r="I65" s="44">
        <v>64</v>
      </c>
      <c r="J65" s="44">
        <v>45</v>
      </c>
      <c r="K65" s="56" t="s">
        <v>1052</v>
      </c>
      <c r="L65" s="56" t="s">
        <v>1053</v>
      </c>
      <c r="M65" s="56"/>
      <c r="N65" s="56" t="s">
        <v>40</v>
      </c>
      <c r="O65" s="57" t="s">
        <v>1195</v>
      </c>
      <c r="P65" s="56" t="s">
        <v>1196</v>
      </c>
      <c r="Q65" s="56"/>
      <c r="R65" s="58"/>
      <c r="S65" s="39"/>
      <c r="T65" s="39"/>
      <c r="U65" s="39"/>
      <c r="V65" s="41"/>
      <c r="W65" s="39"/>
      <c r="X65" s="39"/>
      <c r="Y65" s="39"/>
      <c r="Z65" s="41"/>
      <c r="AA65" s="56">
        <v>25000</v>
      </c>
      <c r="AB65" s="56">
        <v>3500</v>
      </c>
      <c r="AC65" s="56" t="s">
        <v>1054</v>
      </c>
      <c r="AD65" s="58">
        <v>2000</v>
      </c>
      <c r="AE65" s="58" t="s">
        <v>1644</v>
      </c>
      <c r="AF65" s="42">
        <v>2000</v>
      </c>
      <c r="AG65" s="42" t="s">
        <v>1685</v>
      </c>
      <c r="AH65" s="42"/>
      <c r="AI65" s="42"/>
      <c r="AJ65" s="42"/>
      <c r="AK65" s="42"/>
      <c r="AL65" s="39"/>
      <c r="AM65" s="39"/>
      <c r="AN65" s="143">
        <f>AA65-AB65-AD65-AF65-AH65-AJ65-AL65</f>
        <v>17500</v>
      </c>
      <c r="AO65" s="58"/>
      <c r="AP65" s="58"/>
      <c r="AQ65" s="149">
        <f>+AB65+AD65+AF65+AH65+AJ65+AL65</f>
        <v>7500</v>
      </c>
      <c r="AR65" s="145">
        <f t="shared" si="0"/>
        <v>17500</v>
      </c>
      <c r="AS65" s="183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</row>
    <row r="66" spans="1:62" ht="37.5" customHeight="1" x14ac:dyDescent="0.25">
      <c r="A66" s="27"/>
      <c r="B66" s="1"/>
      <c r="C66" s="9"/>
      <c r="D66" s="9"/>
      <c r="E66" s="9"/>
      <c r="F66" s="9"/>
      <c r="G66" s="56"/>
      <c r="H66" s="56"/>
      <c r="I66" s="44">
        <v>65</v>
      </c>
      <c r="J66" s="44">
        <v>80</v>
      </c>
      <c r="K66" s="44" t="s">
        <v>1063</v>
      </c>
      <c r="L66" s="44" t="s">
        <v>312</v>
      </c>
      <c r="M66" s="56"/>
      <c r="N66" s="56" t="s">
        <v>215</v>
      </c>
      <c r="O66" s="57"/>
      <c r="P66" s="44"/>
      <c r="Q66" s="56"/>
      <c r="R66" s="44"/>
      <c r="S66" s="44"/>
      <c r="T66" s="44"/>
      <c r="U66" s="44"/>
      <c r="V66" s="142"/>
      <c r="W66" s="39"/>
      <c r="X66" s="39"/>
      <c r="Y66" s="39"/>
      <c r="Z66" s="41"/>
      <c r="AA66" s="44"/>
      <c r="AB66" s="44">
        <v>5000</v>
      </c>
      <c r="AC66" s="44" t="s">
        <v>1064</v>
      </c>
      <c r="AD66" s="44"/>
      <c r="AE66" s="44"/>
      <c r="AF66" s="53"/>
      <c r="AG66" s="53"/>
      <c r="AH66" s="53"/>
      <c r="AI66" s="53"/>
      <c r="AJ66" s="53"/>
      <c r="AK66" s="53"/>
      <c r="AL66" s="44"/>
      <c r="AM66" s="44"/>
      <c r="AN66" s="145">
        <f>AA66-AB66-AD66-AF66-AH66-AJ66-AL66</f>
        <v>-5000</v>
      </c>
      <c r="AO66" s="152"/>
      <c r="AP66" s="152"/>
      <c r="AQ66" s="148">
        <f>+AB66+AD66+AF66+AH66+AJ66+AL66</f>
        <v>5000</v>
      </c>
      <c r="AR66" s="145">
        <f t="shared" ref="AR66:AR129" si="10">AN66+Z66+V66-AO66+AP66</f>
        <v>-5000</v>
      </c>
      <c r="AS66" s="18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</row>
    <row r="67" spans="1:62" ht="37.5" customHeight="1" x14ac:dyDescent="0.25">
      <c r="A67" s="27"/>
      <c r="B67" s="1"/>
      <c r="C67" s="9"/>
      <c r="D67" s="9"/>
      <c r="E67" s="9"/>
      <c r="F67" s="9"/>
      <c r="G67" s="56"/>
      <c r="H67" s="56"/>
      <c r="I67" s="44">
        <v>66</v>
      </c>
      <c r="J67" s="44"/>
      <c r="K67" s="44" t="s">
        <v>1084</v>
      </c>
      <c r="L67" s="44" t="s">
        <v>184</v>
      </c>
      <c r="M67" s="56"/>
      <c r="N67" s="44" t="s">
        <v>215</v>
      </c>
      <c r="O67" s="46" t="s">
        <v>1100</v>
      </c>
      <c r="P67" s="44"/>
      <c r="Q67" s="56"/>
      <c r="R67" s="44"/>
      <c r="S67" s="44"/>
      <c r="T67" s="44"/>
      <c r="U67" s="44"/>
      <c r="V67" s="142"/>
      <c r="W67" s="39">
        <v>4200</v>
      </c>
      <c r="X67" s="39">
        <v>4200</v>
      </c>
      <c r="Y67" s="39" t="s">
        <v>1719</v>
      </c>
      <c r="Z67" s="41"/>
      <c r="AA67" s="44">
        <v>25000</v>
      </c>
      <c r="AB67" s="44">
        <v>5000</v>
      </c>
      <c r="AC67" s="44" t="s">
        <v>1085</v>
      </c>
      <c r="AD67" s="44"/>
      <c r="AE67" s="191"/>
      <c r="AF67" s="53"/>
      <c r="AG67" s="119"/>
      <c r="AH67" s="53"/>
      <c r="AI67" s="119"/>
      <c r="AJ67" s="53"/>
      <c r="AK67" s="119"/>
      <c r="AL67" s="44"/>
      <c r="AM67" s="44"/>
      <c r="AN67" s="145">
        <f t="shared" si="8"/>
        <v>20000</v>
      </c>
      <c r="AO67" s="152"/>
      <c r="AP67" s="152"/>
      <c r="AQ67" s="148">
        <f t="shared" si="9"/>
        <v>5000</v>
      </c>
      <c r="AR67" s="145">
        <f t="shared" si="10"/>
        <v>20000</v>
      </c>
      <c r="AS67" s="183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</row>
    <row r="68" spans="1:62" ht="30" customHeight="1" x14ac:dyDescent="0.25">
      <c r="A68" s="27"/>
      <c r="B68" s="1"/>
      <c r="C68" s="9"/>
      <c r="D68" s="9"/>
      <c r="E68" s="9"/>
      <c r="F68" s="9"/>
      <c r="G68" s="56"/>
      <c r="H68" s="56"/>
      <c r="I68" s="44">
        <v>67</v>
      </c>
      <c r="J68" s="44">
        <v>25</v>
      </c>
      <c r="K68" s="44" t="s">
        <v>1098</v>
      </c>
      <c r="L68" s="44" t="s">
        <v>1120</v>
      </c>
      <c r="M68" s="56"/>
      <c r="N68" s="44" t="s">
        <v>215</v>
      </c>
      <c r="O68" s="46" t="s">
        <v>1255</v>
      </c>
      <c r="P68" s="44" t="s">
        <v>1256</v>
      </c>
      <c r="Q68" s="56"/>
      <c r="R68" s="44"/>
      <c r="S68" s="44"/>
      <c r="T68" s="44"/>
      <c r="U68" s="44"/>
      <c r="V68" s="142"/>
      <c r="W68" s="39">
        <v>4200</v>
      </c>
      <c r="X68" s="39">
        <v>4200</v>
      </c>
      <c r="Y68" s="39" t="s">
        <v>1346</v>
      </c>
      <c r="Z68" s="41"/>
      <c r="AA68" s="44">
        <v>42000</v>
      </c>
      <c r="AB68" s="44">
        <v>21000</v>
      </c>
      <c r="AC68" s="44" t="s">
        <v>1257</v>
      </c>
      <c r="AD68" s="44"/>
      <c r="AE68" s="44"/>
      <c r="AF68" s="53"/>
      <c r="AG68" s="53"/>
      <c r="AH68" s="53"/>
      <c r="AI68" s="53"/>
      <c r="AJ68" s="53"/>
      <c r="AK68" s="53"/>
      <c r="AL68" s="44"/>
      <c r="AM68" s="44"/>
      <c r="AN68" s="145">
        <f>AA68-AB68-AD68-AF68-AH68-AJ68-AL68</f>
        <v>21000</v>
      </c>
      <c r="AO68" s="152"/>
      <c r="AP68" s="152"/>
      <c r="AQ68" s="148">
        <f>+AB68+AD68+AF68+AH68+AJ68+AL68</f>
        <v>21000</v>
      </c>
      <c r="AR68" s="145">
        <f t="shared" si="10"/>
        <v>21000</v>
      </c>
      <c r="AS68" s="183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</row>
    <row r="69" spans="1:62" ht="42.75" customHeight="1" x14ac:dyDescent="0.25">
      <c r="A69" s="27"/>
      <c r="B69" s="1"/>
      <c r="C69" s="9"/>
      <c r="D69" s="9"/>
      <c r="E69" s="9"/>
      <c r="F69" s="9"/>
      <c r="G69" s="56"/>
      <c r="H69" s="56"/>
      <c r="I69" s="44">
        <v>68</v>
      </c>
      <c r="J69" s="44">
        <v>74</v>
      </c>
      <c r="K69" s="56" t="s">
        <v>1141</v>
      </c>
      <c r="L69" s="56" t="s">
        <v>1140</v>
      </c>
      <c r="M69" s="56"/>
      <c r="N69" s="44" t="s">
        <v>39</v>
      </c>
      <c r="O69" s="46" t="s">
        <v>1139</v>
      </c>
      <c r="P69" s="44" t="s">
        <v>1142</v>
      </c>
      <c r="Q69" s="44"/>
      <c r="R69" s="44"/>
      <c r="S69" s="44"/>
      <c r="T69" s="44"/>
      <c r="U69" s="44"/>
      <c r="V69" s="142"/>
      <c r="W69" s="39">
        <v>4200</v>
      </c>
      <c r="X69" s="39">
        <v>4200</v>
      </c>
      <c r="Y69" s="39" t="s">
        <v>1440</v>
      </c>
      <c r="Z69" s="41"/>
      <c r="AA69" s="44"/>
      <c r="AB69" s="44">
        <v>10000</v>
      </c>
      <c r="AC69" s="44" t="s">
        <v>1121</v>
      </c>
      <c r="AD69" s="44"/>
      <c r="AE69" s="44"/>
      <c r="AF69" s="53"/>
      <c r="AG69" s="53"/>
      <c r="AH69" s="53"/>
      <c r="AI69" s="53"/>
      <c r="AJ69" s="53"/>
      <c r="AK69" s="53"/>
      <c r="AL69" s="44"/>
      <c r="AM69" s="44"/>
      <c r="AN69" s="145">
        <f t="shared" si="8"/>
        <v>-10000</v>
      </c>
      <c r="AO69" s="152"/>
      <c r="AP69" s="152"/>
      <c r="AQ69" s="148">
        <f t="shared" si="9"/>
        <v>10000</v>
      </c>
      <c r="AR69" s="145">
        <f t="shared" si="10"/>
        <v>-10000</v>
      </c>
      <c r="AS69" s="49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</row>
    <row r="70" spans="1:62" ht="32.25" customHeight="1" x14ac:dyDescent="0.25">
      <c r="A70" s="27"/>
      <c r="B70" s="1"/>
      <c r="C70" s="9"/>
      <c r="D70" s="9"/>
      <c r="E70" s="9"/>
      <c r="F70" s="9"/>
      <c r="G70" s="56"/>
      <c r="H70" s="56"/>
      <c r="I70" s="44">
        <v>69</v>
      </c>
      <c r="J70" s="44">
        <v>88</v>
      </c>
      <c r="K70" s="44" t="s">
        <v>1131</v>
      </c>
      <c r="L70" s="44" t="s">
        <v>1132</v>
      </c>
      <c r="M70" s="56"/>
      <c r="N70" s="44" t="s">
        <v>39</v>
      </c>
      <c r="O70" s="46" t="s">
        <v>1138</v>
      </c>
      <c r="P70" s="44" t="s">
        <v>518</v>
      </c>
      <c r="Q70" s="44"/>
      <c r="R70" s="44"/>
      <c r="S70" s="44"/>
      <c r="T70" s="44"/>
      <c r="U70" s="44"/>
      <c r="V70" s="142"/>
      <c r="W70" s="39">
        <v>4200</v>
      </c>
      <c r="X70" s="39">
        <v>4200</v>
      </c>
      <c r="Y70" s="39" t="s">
        <v>1396</v>
      </c>
      <c r="Z70" s="41"/>
      <c r="AA70" s="44">
        <v>30000</v>
      </c>
      <c r="AB70" s="44">
        <v>5000</v>
      </c>
      <c r="AC70" s="44" t="s">
        <v>1133</v>
      </c>
      <c r="AD70" s="44">
        <v>6000</v>
      </c>
      <c r="AE70" s="44" t="s">
        <v>1785</v>
      </c>
      <c r="AF70" s="53"/>
      <c r="AG70" s="53"/>
      <c r="AH70" s="53"/>
      <c r="AI70" s="53"/>
      <c r="AJ70" s="53"/>
      <c r="AK70" s="53"/>
      <c r="AL70" s="44"/>
      <c r="AM70" s="44"/>
      <c r="AN70" s="145">
        <f>AA70-AB70-AD70-AF70-AH70-AJ70-AL70</f>
        <v>19000</v>
      </c>
      <c r="AO70" s="152"/>
      <c r="AP70" s="152"/>
      <c r="AQ70" s="148">
        <f>+AB70+AD70+AF70+AH70+AJ70+AL70</f>
        <v>11000</v>
      </c>
      <c r="AR70" s="145">
        <f t="shared" si="10"/>
        <v>19000</v>
      </c>
      <c r="AS70" s="18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</row>
    <row r="71" spans="1:62" ht="47.25" customHeight="1" x14ac:dyDescent="0.25">
      <c r="A71" s="27"/>
      <c r="B71" s="1"/>
      <c r="C71" s="9"/>
      <c r="D71" s="9"/>
      <c r="E71" s="9"/>
      <c r="F71" s="9"/>
      <c r="G71" s="56"/>
      <c r="H71" s="56"/>
      <c r="I71" s="44">
        <v>70</v>
      </c>
      <c r="J71" s="44">
        <v>6</v>
      </c>
      <c r="K71" s="56" t="s">
        <v>1135</v>
      </c>
      <c r="L71" s="56" t="s">
        <v>1136</v>
      </c>
      <c r="M71" s="56"/>
      <c r="N71" s="44" t="s">
        <v>40</v>
      </c>
      <c r="O71" s="46" t="s">
        <v>1261</v>
      </c>
      <c r="P71" s="44" t="s">
        <v>241</v>
      </c>
      <c r="Q71" s="56"/>
      <c r="R71" s="44"/>
      <c r="S71" s="44"/>
      <c r="T71" s="44"/>
      <c r="U71" s="44"/>
      <c r="V71" s="142"/>
      <c r="W71" s="39"/>
      <c r="X71" s="39"/>
      <c r="Y71" s="39"/>
      <c r="Z71" s="41"/>
      <c r="AA71" s="44">
        <v>25000</v>
      </c>
      <c r="AB71" s="56">
        <v>5000</v>
      </c>
      <c r="AC71" s="56" t="s">
        <v>1137</v>
      </c>
      <c r="AD71" s="44">
        <v>3000</v>
      </c>
      <c r="AE71" s="44" t="s">
        <v>1768</v>
      </c>
      <c r="AF71" s="53"/>
      <c r="AG71" s="53"/>
      <c r="AH71" s="53"/>
      <c r="AI71" s="53"/>
      <c r="AJ71" s="53"/>
      <c r="AK71" s="53"/>
      <c r="AL71" s="44"/>
      <c r="AM71" s="44"/>
      <c r="AN71" s="145">
        <f>AA71-AL71-AB71-AD71-AF71-AH71-AJ71</f>
        <v>17000</v>
      </c>
      <c r="AO71" s="152"/>
      <c r="AP71" s="152"/>
      <c r="AQ71" s="148">
        <f>AL71+AB71+AD71+AF71+AH71+AJ71</f>
        <v>8000</v>
      </c>
      <c r="AR71" s="145">
        <f t="shared" si="10"/>
        <v>17000</v>
      </c>
      <c r="AS71" s="49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</row>
    <row r="72" spans="1:62" ht="37.5" customHeight="1" x14ac:dyDescent="0.25">
      <c r="A72" s="27"/>
      <c r="B72" s="1"/>
      <c r="C72" s="9"/>
      <c r="D72" s="9"/>
      <c r="E72" s="9"/>
      <c r="F72" s="9"/>
      <c r="G72" s="56"/>
      <c r="H72" s="56"/>
      <c r="I72" s="44">
        <v>71</v>
      </c>
      <c r="J72" s="44">
        <v>2</v>
      </c>
      <c r="K72" s="44" t="s">
        <v>1135</v>
      </c>
      <c r="L72" s="44" t="s">
        <v>1149</v>
      </c>
      <c r="M72" s="56"/>
      <c r="N72" s="44" t="s">
        <v>215</v>
      </c>
      <c r="O72" s="46" t="s">
        <v>1150</v>
      </c>
      <c r="P72" s="44" t="s">
        <v>37</v>
      </c>
      <c r="Q72" s="56" t="s">
        <v>1151</v>
      </c>
      <c r="R72" s="44"/>
      <c r="S72" s="44"/>
      <c r="T72" s="44"/>
      <c r="U72" s="44"/>
      <c r="V72" s="142"/>
      <c r="W72" s="39">
        <v>4200</v>
      </c>
      <c r="X72" s="39">
        <v>4200</v>
      </c>
      <c r="Y72" s="39" t="s">
        <v>1602</v>
      </c>
      <c r="Z72" s="41"/>
      <c r="AA72" s="44">
        <v>25000</v>
      </c>
      <c r="AB72" s="44">
        <v>5000</v>
      </c>
      <c r="AC72" s="44" t="s">
        <v>1152</v>
      </c>
      <c r="AD72" s="44">
        <v>4200</v>
      </c>
      <c r="AE72" s="44" t="s">
        <v>1602</v>
      </c>
      <c r="AF72" s="53"/>
      <c r="AG72" s="53"/>
      <c r="AH72" s="53"/>
      <c r="AI72" s="53"/>
      <c r="AJ72" s="53"/>
      <c r="AK72" s="53"/>
      <c r="AL72" s="44"/>
      <c r="AM72" s="44"/>
      <c r="AN72" s="145">
        <f>AA72-AB72-AD72-AF72-AH72-AJ72-AL72</f>
        <v>15800</v>
      </c>
      <c r="AO72" s="152"/>
      <c r="AP72" s="152"/>
      <c r="AQ72" s="148">
        <f>+AB72+AD72+AF72+AH72+AJ72+AL72</f>
        <v>9200</v>
      </c>
      <c r="AR72" s="145">
        <f t="shared" si="10"/>
        <v>15800</v>
      </c>
      <c r="AS72" s="49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</row>
    <row r="73" spans="1:62" ht="37.5" customHeight="1" x14ac:dyDescent="0.25">
      <c r="A73" s="27"/>
      <c r="B73" s="1"/>
      <c r="C73" s="9"/>
      <c r="D73" s="9"/>
      <c r="E73" s="9"/>
      <c r="F73" s="9"/>
      <c r="G73" s="56"/>
      <c r="H73" s="56"/>
      <c r="I73" s="44">
        <v>72</v>
      </c>
      <c r="J73" s="44">
        <v>38</v>
      </c>
      <c r="K73" s="56" t="s">
        <v>1182</v>
      </c>
      <c r="L73" s="44" t="s">
        <v>1183</v>
      </c>
      <c r="M73" s="56"/>
      <c r="N73" s="56" t="s">
        <v>40</v>
      </c>
      <c r="O73" s="57" t="s">
        <v>1162</v>
      </c>
      <c r="P73" s="56" t="s">
        <v>1163</v>
      </c>
      <c r="Q73" s="56" t="s">
        <v>980</v>
      </c>
      <c r="R73" s="58"/>
      <c r="S73" s="39"/>
      <c r="T73" s="39"/>
      <c r="U73" s="39"/>
      <c r="V73" s="41"/>
      <c r="W73" s="39"/>
      <c r="X73" s="39"/>
      <c r="Y73" s="39" t="s">
        <v>1603</v>
      </c>
      <c r="Z73" s="41"/>
      <c r="AA73" s="56">
        <v>30000</v>
      </c>
      <c r="AB73" s="56">
        <v>10000</v>
      </c>
      <c r="AC73" s="56" t="s">
        <v>1184</v>
      </c>
      <c r="AD73" s="58"/>
      <c r="AE73" s="58"/>
      <c r="AF73" s="42"/>
      <c r="AG73" s="42"/>
      <c r="AH73" s="42"/>
      <c r="AI73" s="42"/>
      <c r="AJ73" s="42"/>
      <c r="AK73" s="42"/>
      <c r="AL73" s="39"/>
      <c r="AM73" s="39"/>
      <c r="AN73" s="143">
        <f t="shared" si="8"/>
        <v>20000</v>
      </c>
      <c r="AO73" s="58"/>
      <c r="AP73" s="58"/>
      <c r="AQ73" s="149">
        <f t="shared" si="9"/>
        <v>10000</v>
      </c>
      <c r="AR73" s="145">
        <f t="shared" si="10"/>
        <v>20000</v>
      </c>
      <c r="AS73" s="49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</row>
    <row r="74" spans="1:62" ht="37.5" customHeight="1" x14ac:dyDescent="0.25">
      <c r="A74" s="27"/>
      <c r="B74" s="1"/>
      <c r="C74" s="9"/>
      <c r="D74" s="9"/>
      <c r="E74" s="9"/>
      <c r="F74" s="9"/>
      <c r="G74" s="56"/>
      <c r="H74" s="56"/>
      <c r="I74" s="44">
        <v>73</v>
      </c>
      <c r="J74" s="44">
        <v>63</v>
      </c>
      <c r="K74" s="44" t="s">
        <v>482</v>
      </c>
      <c r="L74" s="44" t="s">
        <v>1185</v>
      </c>
      <c r="M74" s="56"/>
      <c r="N74" s="44" t="s">
        <v>39</v>
      </c>
      <c r="O74" s="46" t="s">
        <v>1186</v>
      </c>
      <c r="P74" s="44" t="s">
        <v>324</v>
      </c>
      <c r="Q74" s="44"/>
      <c r="R74" s="44"/>
      <c r="S74" s="44"/>
      <c r="T74" s="44"/>
      <c r="U74" s="44"/>
      <c r="V74" s="142"/>
      <c r="W74" s="39">
        <v>4200</v>
      </c>
      <c r="X74" s="39">
        <v>4200</v>
      </c>
      <c r="Y74" s="39" t="s">
        <v>1297</v>
      </c>
      <c r="Z74" s="41"/>
      <c r="AA74" s="44">
        <v>30000</v>
      </c>
      <c r="AB74" s="44">
        <v>20000</v>
      </c>
      <c r="AC74" s="44" t="s">
        <v>1187</v>
      </c>
      <c r="AD74" s="44"/>
      <c r="AE74" s="44"/>
      <c r="AF74" s="53"/>
      <c r="AG74" s="53"/>
      <c r="AH74" s="53"/>
      <c r="AI74" s="53"/>
      <c r="AJ74" s="53"/>
      <c r="AK74" s="53"/>
      <c r="AL74" s="44"/>
      <c r="AM74" s="44"/>
      <c r="AN74" s="145">
        <f t="shared" si="8"/>
        <v>10000</v>
      </c>
      <c r="AO74" s="152"/>
      <c r="AP74" s="152"/>
      <c r="AQ74" s="148">
        <f t="shared" si="9"/>
        <v>20000</v>
      </c>
      <c r="AR74" s="145">
        <f t="shared" si="10"/>
        <v>10000</v>
      </c>
      <c r="AS74" s="18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</row>
    <row r="75" spans="1:62" ht="37.5" customHeight="1" x14ac:dyDescent="0.25">
      <c r="A75" s="27"/>
      <c r="B75" s="1"/>
      <c r="C75" s="9"/>
      <c r="D75" s="9"/>
      <c r="E75" s="9"/>
      <c r="F75" s="9"/>
      <c r="G75" s="56"/>
      <c r="H75" s="56"/>
      <c r="I75" s="44">
        <v>74</v>
      </c>
      <c r="J75" s="44">
        <v>12</v>
      </c>
      <c r="K75" s="44" t="s">
        <v>1188</v>
      </c>
      <c r="L75" s="44" t="s">
        <v>1117</v>
      </c>
      <c r="M75" s="56"/>
      <c r="N75" s="44" t="s">
        <v>40</v>
      </c>
      <c r="O75" s="46" t="s">
        <v>1189</v>
      </c>
      <c r="P75" s="44" t="s">
        <v>268</v>
      </c>
      <c r="Q75" s="56"/>
      <c r="R75" s="44"/>
      <c r="S75" s="44"/>
      <c r="T75" s="44"/>
      <c r="U75" s="44"/>
      <c r="V75" s="142"/>
      <c r="W75" s="39">
        <v>4200</v>
      </c>
      <c r="X75" s="39">
        <v>4200</v>
      </c>
      <c r="Y75" s="39" t="s">
        <v>1712</v>
      </c>
      <c r="Z75" s="41"/>
      <c r="AA75" s="44">
        <v>30000</v>
      </c>
      <c r="AB75" s="44">
        <v>10000</v>
      </c>
      <c r="AC75" s="44" t="s">
        <v>1198</v>
      </c>
      <c r="AD75" s="44"/>
      <c r="AE75" s="44"/>
      <c r="AF75" s="53"/>
      <c r="AG75" s="53"/>
      <c r="AH75" s="53"/>
      <c r="AI75" s="53"/>
      <c r="AJ75" s="53"/>
      <c r="AK75" s="53"/>
      <c r="AL75" s="44"/>
      <c r="AM75" s="44"/>
      <c r="AN75" s="145">
        <f t="shared" si="8"/>
        <v>20000</v>
      </c>
      <c r="AO75" s="152"/>
      <c r="AP75" s="152"/>
      <c r="AQ75" s="148">
        <f t="shared" si="9"/>
        <v>10000</v>
      </c>
      <c r="AR75" s="145">
        <f t="shared" si="10"/>
        <v>20000</v>
      </c>
      <c r="AS75" s="49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</row>
    <row r="76" spans="1:62" ht="37.5" customHeight="1" x14ac:dyDescent="0.25">
      <c r="A76" s="27"/>
      <c r="B76" s="1"/>
      <c r="C76" s="9"/>
      <c r="D76" s="9"/>
      <c r="E76" s="9"/>
      <c r="F76" s="9"/>
      <c r="G76" s="56"/>
      <c r="H76" s="56"/>
      <c r="I76" s="44">
        <v>75</v>
      </c>
      <c r="J76" s="44">
        <v>65</v>
      </c>
      <c r="K76" s="44" t="s">
        <v>1190</v>
      </c>
      <c r="L76" s="44" t="s">
        <v>1191</v>
      </c>
      <c r="M76" s="56"/>
      <c r="N76" s="44" t="s">
        <v>39</v>
      </c>
      <c r="O76" s="46" t="s">
        <v>1192</v>
      </c>
      <c r="P76" s="44" t="s">
        <v>1193</v>
      </c>
      <c r="Q76" s="56"/>
      <c r="R76" s="44"/>
      <c r="S76" s="44"/>
      <c r="T76" s="44"/>
      <c r="U76" s="44"/>
      <c r="V76" s="142"/>
      <c r="W76" s="39">
        <v>4200</v>
      </c>
      <c r="X76" s="39">
        <v>4200</v>
      </c>
      <c r="Y76" s="39" t="s">
        <v>1495</v>
      </c>
      <c r="Z76" s="41"/>
      <c r="AA76" s="44">
        <v>30000</v>
      </c>
      <c r="AB76" s="44">
        <v>4000</v>
      </c>
      <c r="AC76" s="44" t="s">
        <v>1199</v>
      </c>
      <c r="AD76" s="44"/>
      <c r="AE76" s="44"/>
      <c r="AF76" s="53"/>
      <c r="AG76" s="53"/>
      <c r="AH76" s="53"/>
      <c r="AI76" s="53"/>
      <c r="AJ76" s="53"/>
      <c r="AK76" s="53"/>
      <c r="AL76" s="44"/>
      <c r="AM76" s="44"/>
      <c r="AN76" s="145">
        <f t="shared" si="8"/>
        <v>26000</v>
      </c>
      <c r="AO76" s="152"/>
      <c r="AP76" s="152"/>
      <c r="AQ76" s="148">
        <f t="shared" si="9"/>
        <v>4000</v>
      </c>
      <c r="AR76" s="145">
        <f t="shared" si="10"/>
        <v>26000</v>
      </c>
      <c r="AS76" s="18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</row>
    <row r="77" spans="1:62" ht="37.5" customHeight="1" x14ac:dyDescent="0.25">
      <c r="A77" s="27"/>
      <c r="B77" s="1"/>
      <c r="C77" s="9"/>
      <c r="D77" s="9"/>
      <c r="E77" s="9"/>
      <c r="F77" s="9"/>
      <c r="G77" s="56"/>
      <c r="H77" s="56"/>
      <c r="I77" s="44">
        <v>76</v>
      </c>
      <c r="J77" s="44">
        <v>52</v>
      </c>
      <c r="K77" s="44" t="s">
        <v>1129</v>
      </c>
      <c r="L77" s="44" t="s">
        <v>20</v>
      </c>
      <c r="M77" s="56"/>
      <c r="N77" s="44" t="s">
        <v>39</v>
      </c>
      <c r="O77" s="46" t="s">
        <v>1194</v>
      </c>
      <c r="P77" s="44" t="s">
        <v>170</v>
      </c>
      <c r="Q77" s="56"/>
      <c r="R77" s="44"/>
      <c r="S77" s="44"/>
      <c r="T77" s="44"/>
      <c r="U77" s="44"/>
      <c r="V77" s="142"/>
      <c r="W77" s="39">
        <v>7000</v>
      </c>
      <c r="X77" s="39">
        <v>7000</v>
      </c>
      <c r="Y77" s="39" t="s">
        <v>1511</v>
      </c>
      <c r="Z77" s="41"/>
      <c r="AA77" s="44">
        <v>25000</v>
      </c>
      <c r="AB77" s="44">
        <v>2000</v>
      </c>
      <c r="AC77" s="44" t="s">
        <v>1197</v>
      </c>
      <c r="AD77" s="44">
        <v>2100</v>
      </c>
      <c r="AE77" s="44" t="s">
        <v>1767</v>
      </c>
      <c r="AF77" s="53"/>
      <c r="AG77" s="53"/>
      <c r="AH77" s="53"/>
      <c r="AI77" s="53"/>
      <c r="AJ77" s="53"/>
      <c r="AK77" s="53"/>
      <c r="AL77" s="44"/>
      <c r="AM77" s="44"/>
      <c r="AN77" s="145">
        <f t="shared" si="8"/>
        <v>20900</v>
      </c>
      <c r="AO77" s="152"/>
      <c r="AP77" s="152"/>
      <c r="AQ77" s="148">
        <f t="shared" si="9"/>
        <v>4100</v>
      </c>
      <c r="AR77" s="145">
        <f t="shared" si="10"/>
        <v>20900</v>
      </c>
      <c r="AS77" s="49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</row>
    <row r="78" spans="1:62" s="10" customFormat="1" ht="37.5" customHeight="1" x14ac:dyDescent="0.25">
      <c r="A78" s="27"/>
      <c r="B78" s="2"/>
      <c r="C78" s="9"/>
      <c r="D78" s="9"/>
      <c r="E78" s="9"/>
      <c r="F78" s="9"/>
      <c r="G78" s="56"/>
      <c r="H78" s="56"/>
      <c r="I78" s="44">
        <v>77</v>
      </c>
      <c r="J78" s="44">
        <v>37</v>
      </c>
      <c r="K78" s="44" t="s">
        <v>1232</v>
      </c>
      <c r="L78" s="44" t="s">
        <v>1210</v>
      </c>
      <c r="M78" s="56"/>
      <c r="N78" s="44" t="s">
        <v>39</v>
      </c>
      <c r="O78" s="46" t="s">
        <v>1254</v>
      </c>
      <c r="P78" s="44" t="s">
        <v>556</v>
      </c>
      <c r="Q78" s="56"/>
      <c r="R78" s="44"/>
      <c r="S78" s="44"/>
      <c r="T78" s="142"/>
      <c r="U78" s="44"/>
      <c r="V78" s="142"/>
      <c r="W78" s="39">
        <v>4200</v>
      </c>
      <c r="X78" s="39">
        <v>4200</v>
      </c>
      <c r="Y78" s="39" t="s">
        <v>1277</v>
      </c>
      <c r="Z78" s="41"/>
      <c r="AA78" s="44">
        <v>30000</v>
      </c>
      <c r="AB78" s="44">
        <v>5000</v>
      </c>
      <c r="AC78" s="44" t="s">
        <v>1211</v>
      </c>
      <c r="AD78" s="44"/>
      <c r="AE78" s="44"/>
      <c r="AF78" s="53"/>
      <c r="AG78" s="53"/>
      <c r="AH78" s="53"/>
      <c r="AI78" s="53"/>
      <c r="AJ78" s="53"/>
      <c r="AK78" s="53"/>
      <c r="AL78" s="44"/>
      <c r="AM78" s="44"/>
      <c r="AN78" s="145">
        <f>AA78-AB78-AD78-AF78-AH78-AJ78-AL78</f>
        <v>25000</v>
      </c>
      <c r="AO78" s="152"/>
      <c r="AP78" s="152"/>
      <c r="AQ78" s="148">
        <f>+AB78+AD78+AF78+AH78+AJ78+AL78</f>
        <v>5000</v>
      </c>
      <c r="AR78" s="145">
        <f t="shared" si="10"/>
        <v>25000</v>
      </c>
      <c r="AS78" s="18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</row>
    <row r="79" spans="1:62" ht="37.5" customHeight="1" x14ac:dyDescent="0.25">
      <c r="A79" s="27"/>
      <c r="B79" s="1"/>
      <c r="C79" s="9"/>
      <c r="D79" s="9"/>
      <c r="E79" s="9"/>
      <c r="F79" s="9"/>
      <c r="G79" s="56"/>
      <c r="H79" s="56"/>
      <c r="I79" s="44">
        <v>78</v>
      </c>
      <c r="J79" s="44">
        <v>77</v>
      </c>
      <c r="K79" s="44" t="s">
        <v>1228</v>
      </c>
      <c r="L79" s="44" t="s">
        <v>805</v>
      </c>
      <c r="M79" s="56"/>
      <c r="N79" s="44" t="s">
        <v>39</v>
      </c>
      <c r="O79" s="46" t="s">
        <v>1258</v>
      </c>
      <c r="P79" s="44"/>
      <c r="Q79" s="56"/>
      <c r="R79" s="44"/>
      <c r="S79" s="44"/>
      <c r="T79" s="44"/>
      <c r="U79" s="44"/>
      <c r="V79" s="142"/>
      <c r="W79" s="39">
        <v>4200</v>
      </c>
      <c r="X79" s="39">
        <v>4200</v>
      </c>
      <c r="Y79" s="39" t="s">
        <v>1347</v>
      </c>
      <c r="Z79" s="41"/>
      <c r="AA79" s="44">
        <v>30000</v>
      </c>
      <c r="AB79" s="44">
        <v>10000</v>
      </c>
      <c r="AC79" s="44" t="s">
        <v>1229</v>
      </c>
      <c r="AD79" s="44"/>
      <c r="AE79" s="44"/>
      <c r="AF79" s="53"/>
      <c r="AG79" s="53"/>
      <c r="AH79" s="53"/>
      <c r="AI79" s="53"/>
      <c r="AJ79" s="53"/>
      <c r="AK79" s="53"/>
      <c r="AL79" s="44"/>
      <c r="AM79" s="44"/>
      <c r="AN79" s="145">
        <f t="shared" si="8"/>
        <v>20000</v>
      </c>
      <c r="AO79" s="152"/>
      <c r="AP79" s="152"/>
      <c r="AQ79" s="148">
        <f t="shared" si="9"/>
        <v>10000</v>
      </c>
      <c r="AR79" s="145">
        <f t="shared" si="10"/>
        <v>20000</v>
      </c>
      <c r="AS79" s="18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</row>
    <row r="80" spans="1:62" ht="41.25" customHeight="1" x14ac:dyDescent="0.25">
      <c r="A80" s="27"/>
      <c r="B80" s="1"/>
      <c r="C80" s="9"/>
      <c r="D80" s="9"/>
      <c r="E80" s="9"/>
      <c r="F80" s="9"/>
      <c r="G80" s="56"/>
      <c r="H80" s="56"/>
      <c r="I80" s="44">
        <v>79</v>
      </c>
      <c r="J80" s="44">
        <v>33</v>
      </c>
      <c r="K80" s="56" t="s">
        <v>1232</v>
      </c>
      <c r="L80" s="56" t="s">
        <v>1233</v>
      </c>
      <c r="M80" s="56"/>
      <c r="N80" s="56" t="s">
        <v>39</v>
      </c>
      <c r="O80" s="57" t="s">
        <v>1240</v>
      </c>
      <c r="P80" s="56" t="s">
        <v>324</v>
      </c>
      <c r="Q80" s="56"/>
      <c r="R80" s="58"/>
      <c r="S80" s="39"/>
      <c r="T80" s="39"/>
      <c r="U80" s="39"/>
      <c r="V80" s="41"/>
      <c r="W80" s="39">
        <v>4200</v>
      </c>
      <c r="X80" s="39">
        <v>4200</v>
      </c>
      <c r="Y80" s="39" t="s">
        <v>1336</v>
      </c>
      <c r="Z80" s="41"/>
      <c r="AA80" s="56">
        <v>30000</v>
      </c>
      <c r="AB80" s="56">
        <v>5000</v>
      </c>
      <c r="AC80" s="56" t="s">
        <v>1234</v>
      </c>
      <c r="AD80" s="58"/>
      <c r="AE80" s="58"/>
      <c r="AF80" s="42"/>
      <c r="AG80" s="42"/>
      <c r="AH80" s="42"/>
      <c r="AI80" s="42"/>
      <c r="AJ80" s="42"/>
      <c r="AK80" s="42"/>
      <c r="AL80" s="39"/>
      <c r="AM80" s="39"/>
      <c r="AN80" s="143">
        <f t="shared" si="8"/>
        <v>25000</v>
      </c>
      <c r="AO80" s="58"/>
      <c r="AP80" s="58"/>
      <c r="AQ80" s="149">
        <f t="shared" si="9"/>
        <v>5000</v>
      </c>
      <c r="AR80" s="145">
        <f t="shared" si="10"/>
        <v>25000</v>
      </c>
      <c r="AS80" s="183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</row>
    <row r="81" spans="1:58" s="10" customFormat="1" ht="37.5" customHeight="1" x14ac:dyDescent="0.25">
      <c r="A81" s="75"/>
      <c r="B81" s="2"/>
      <c r="C81" s="2"/>
      <c r="D81" s="2"/>
      <c r="E81" s="2"/>
      <c r="F81" s="2"/>
      <c r="G81" s="135"/>
      <c r="H81" s="135"/>
      <c r="I81" s="44">
        <v>80</v>
      </c>
      <c r="J81" s="44">
        <v>84</v>
      </c>
      <c r="K81" s="44" t="s">
        <v>1235</v>
      </c>
      <c r="L81" s="44" t="s">
        <v>636</v>
      </c>
      <c r="M81" s="44"/>
      <c r="N81" s="44" t="s">
        <v>39</v>
      </c>
      <c r="O81" s="57" t="s">
        <v>1239</v>
      </c>
      <c r="P81" s="56" t="s">
        <v>324</v>
      </c>
      <c r="Q81" s="56"/>
      <c r="R81" s="44"/>
      <c r="S81" s="44"/>
      <c r="T81" s="44"/>
      <c r="U81" s="44"/>
      <c r="V81" s="44"/>
      <c r="W81" s="44">
        <v>4200</v>
      </c>
      <c r="X81" s="44">
        <v>4200</v>
      </c>
      <c r="Y81" s="44" t="s">
        <v>1337</v>
      </c>
      <c r="Z81" s="44"/>
      <c r="AA81" s="44">
        <v>30000</v>
      </c>
      <c r="AB81" s="44">
        <v>5000</v>
      </c>
      <c r="AC81" s="44" t="s">
        <v>1236</v>
      </c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145">
        <f t="shared" si="8"/>
        <v>25000</v>
      </c>
      <c r="AO81" s="152"/>
      <c r="AP81" s="152"/>
      <c r="AQ81" s="148">
        <f t="shared" si="9"/>
        <v>5000</v>
      </c>
      <c r="AR81" s="145">
        <f t="shared" si="10"/>
        <v>25000</v>
      </c>
      <c r="AS81" s="182"/>
    </row>
    <row r="82" spans="1:58" ht="37.5" customHeight="1" x14ac:dyDescent="0.25">
      <c r="A82" s="27"/>
      <c r="B82" s="1"/>
      <c r="C82" s="9"/>
      <c r="D82" s="9"/>
      <c r="E82" s="9"/>
      <c r="F82" s="9"/>
      <c r="G82" s="56"/>
      <c r="H82" s="56"/>
      <c r="I82" s="44">
        <v>81</v>
      </c>
      <c r="J82" s="44">
        <v>8</v>
      </c>
      <c r="K82" s="44" t="s">
        <v>902</v>
      </c>
      <c r="L82" s="44" t="s">
        <v>636</v>
      </c>
      <c r="M82" s="56"/>
      <c r="N82" s="44" t="s">
        <v>40</v>
      </c>
      <c r="O82" s="46" t="s">
        <v>1241</v>
      </c>
      <c r="P82" s="44"/>
      <c r="Q82" s="56"/>
      <c r="R82" s="44"/>
      <c r="S82" s="44"/>
      <c r="T82" s="44"/>
      <c r="U82" s="44"/>
      <c r="V82" s="142"/>
      <c r="W82" s="39">
        <v>4200</v>
      </c>
      <c r="X82" s="39">
        <v>4200</v>
      </c>
      <c r="Y82" s="39" t="s">
        <v>1553</v>
      </c>
      <c r="Z82" s="41"/>
      <c r="AA82" s="44">
        <v>30000</v>
      </c>
      <c r="AB82" s="44">
        <v>5000</v>
      </c>
      <c r="AC82" s="44" t="s">
        <v>1242</v>
      </c>
      <c r="AD82" s="44"/>
      <c r="AE82" s="44"/>
      <c r="AF82" s="53"/>
      <c r="AG82" s="53"/>
      <c r="AH82" s="53"/>
      <c r="AI82" s="53"/>
      <c r="AJ82" s="53"/>
      <c r="AK82" s="53"/>
      <c r="AL82" s="44"/>
      <c r="AM82" s="44"/>
      <c r="AN82" s="145">
        <f>AA82-AB82-AD82-AF82-AH82-AJ82-AL82</f>
        <v>25000</v>
      </c>
      <c r="AO82" s="152"/>
      <c r="AP82" s="152"/>
      <c r="AQ82" s="148">
        <f>+AB82+AD82+AF82+AH82+AJ82+AL82</f>
        <v>5000</v>
      </c>
      <c r="AR82" s="145">
        <f t="shared" si="10"/>
        <v>25000</v>
      </c>
      <c r="AS82" s="49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</row>
    <row r="83" spans="1:58" ht="37.5" customHeight="1" x14ac:dyDescent="0.25">
      <c r="A83" s="27"/>
      <c r="B83" s="1"/>
      <c r="C83" s="9"/>
      <c r="D83" s="9"/>
      <c r="E83" s="9"/>
      <c r="F83" s="9"/>
      <c r="G83" s="56"/>
      <c r="H83" s="56"/>
      <c r="I83" s="44">
        <v>82</v>
      </c>
      <c r="J83" s="44"/>
      <c r="K83" s="44" t="s">
        <v>592</v>
      </c>
      <c r="L83" s="44" t="s">
        <v>1243</v>
      </c>
      <c r="M83" s="56"/>
      <c r="N83" s="44" t="s">
        <v>985</v>
      </c>
      <c r="O83" s="46" t="s">
        <v>1244</v>
      </c>
      <c r="P83" s="44"/>
      <c r="Q83" s="44"/>
      <c r="R83" s="44"/>
      <c r="S83" s="44"/>
      <c r="T83" s="44"/>
      <c r="U83" s="44"/>
      <c r="V83" s="142"/>
      <c r="W83" s="39">
        <v>4200</v>
      </c>
      <c r="X83" s="39">
        <v>4200</v>
      </c>
      <c r="Y83" s="39"/>
      <c r="Z83" s="41"/>
      <c r="AA83" s="44">
        <v>30000</v>
      </c>
      <c r="AB83" s="44">
        <v>20000</v>
      </c>
      <c r="AC83" s="44" t="s">
        <v>1245</v>
      </c>
      <c r="AD83" s="44"/>
      <c r="AE83" s="193"/>
      <c r="AF83" s="53"/>
      <c r="AG83" s="53"/>
      <c r="AH83" s="53"/>
      <c r="AI83" s="53"/>
      <c r="AJ83" s="53"/>
      <c r="AK83" s="53"/>
      <c r="AL83" s="44"/>
      <c r="AM83" s="44"/>
      <c r="AN83" s="145">
        <f t="shared" si="8"/>
        <v>10000</v>
      </c>
      <c r="AO83" s="152"/>
      <c r="AP83" s="152"/>
      <c r="AQ83" s="148">
        <f t="shared" si="9"/>
        <v>20000</v>
      </c>
      <c r="AR83" s="145">
        <f t="shared" si="10"/>
        <v>10000</v>
      </c>
      <c r="AS83" s="183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</row>
    <row r="84" spans="1:58" s="10" customFormat="1" ht="37.5" customHeight="1" x14ac:dyDescent="0.25">
      <c r="A84" s="27"/>
      <c r="B84" s="2"/>
      <c r="C84" s="9"/>
      <c r="D84" s="9"/>
      <c r="E84" s="9"/>
      <c r="F84" s="9"/>
      <c r="G84" s="56"/>
      <c r="H84" s="56"/>
      <c r="I84" s="44">
        <v>83</v>
      </c>
      <c r="J84" s="44">
        <v>76</v>
      </c>
      <c r="K84" s="44" t="s">
        <v>1246</v>
      </c>
      <c r="L84" s="44" t="s">
        <v>1247</v>
      </c>
      <c r="M84" s="56"/>
      <c r="N84" s="44" t="s">
        <v>40</v>
      </c>
      <c r="O84" s="46" t="s">
        <v>1264</v>
      </c>
      <c r="P84" s="44"/>
      <c r="Q84" s="56"/>
      <c r="R84" s="44"/>
      <c r="S84" s="44"/>
      <c r="T84" s="44"/>
      <c r="U84" s="44"/>
      <c r="V84" s="142"/>
      <c r="W84" s="39"/>
      <c r="X84" s="39"/>
      <c r="Y84" s="39"/>
      <c r="Z84" s="41"/>
      <c r="AA84" s="44">
        <v>30000</v>
      </c>
      <c r="AB84" s="44">
        <v>3000</v>
      </c>
      <c r="AC84" s="44" t="s">
        <v>1251</v>
      </c>
      <c r="AD84" s="44"/>
      <c r="AE84" s="44"/>
      <c r="AF84" s="53"/>
      <c r="AG84" s="53"/>
      <c r="AH84" s="53"/>
      <c r="AI84" s="53"/>
      <c r="AJ84" s="53"/>
      <c r="AK84" s="53"/>
      <c r="AL84" s="44"/>
      <c r="AM84" s="44"/>
      <c r="AN84" s="145">
        <f t="shared" si="8"/>
        <v>27000</v>
      </c>
      <c r="AO84" s="152"/>
      <c r="AP84" s="152"/>
      <c r="AQ84" s="148">
        <f t="shared" si="9"/>
        <v>3000</v>
      </c>
      <c r="AR84" s="145">
        <f t="shared" si="10"/>
        <v>27000</v>
      </c>
      <c r="AS84" s="18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</row>
    <row r="85" spans="1:58" ht="37.5" customHeight="1" x14ac:dyDescent="0.25">
      <c r="A85" s="27"/>
      <c r="B85" s="1"/>
      <c r="C85" s="9"/>
      <c r="D85" s="9"/>
      <c r="E85" s="9"/>
      <c r="F85" s="9"/>
      <c r="G85" s="56"/>
      <c r="H85" s="56"/>
      <c r="I85" s="44">
        <v>84</v>
      </c>
      <c r="J85" s="44">
        <v>43</v>
      </c>
      <c r="K85" s="44" t="s">
        <v>1328</v>
      </c>
      <c r="L85" s="44" t="s">
        <v>1329</v>
      </c>
      <c r="M85" s="56"/>
      <c r="N85" s="44" t="s">
        <v>39</v>
      </c>
      <c r="O85" s="46" t="s">
        <v>1331</v>
      </c>
      <c r="P85" s="44" t="s">
        <v>1142</v>
      </c>
      <c r="Q85" s="44"/>
      <c r="R85" s="44"/>
      <c r="S85" s="44"/>
      <c r="T85" s="44"/>
      <c r="U85" s="44"/>
      <c r="V85" s="142"/>
      <c r="W85" s="39">
        <v>4200</v>
      </c>
      <c r="X85" s="39">
        <v>4200</v>
      </c>
      <c r="Y85" s="39" t="s">
        <v>1398</v>
      </c>
      <c r="Z85" s="41"/>
      <c r="AA85" s="44">
        <v>25000</v>
      </c>
      <c r="AB85" s="44">
        <v>5000</v>
      </c>
      <c r="AC85" s="44" t="s">
        <v>1330</v>
      </c>
      <c r="AD85" s="44"/>
      <c r="AE85" s="44"/>
      <c r="AF85" s="53"/>
      <c r="AG85" s="53"/>
      <c r="AH85" s="53"/>
      <c r="AI85" s="53"/>
      <c r="AJ85" s="53"/>
      <c r="AK85" s="53"/>
      <c r="AL85" s="44"/>
      <c r="AM85" s="44"/>
      <c r="AN85" s="145">
        <f>AA85-AB85-AD85-AF85-AH85-AJ85-AL85</f>
        <v>20000</v>
      </c>
      <c r="AO85" s="152"/>
      <c r="AP85" s="152"/>
      <c r="AQ85" s="148">
        <f>+AB85+AD85+AF85+AH85+AJ85+AL85</f>
        <v>5000</v>
      </c>
      <c r="AR85" s="145">
        <f t="shared" si="10"/>
        <v>20000</v>
      </c>
      <c r="AS85" s="183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</row>
    <row r="86" spans="1:58" ht="35.25" customHeight="1" x14ac:dyDescent="0.25">
      <c r="A86" s="27"/>
      <c r="B86" s="1"/>
      <c r="C86" s="9"/>
      <c r="D86" s="9"/>
      <c r="E86" s="9"/>
      <c r="F86" s="9"/>
      <c r="G86" s="56"/>
      <c r="H86" s="56"/>
      <c r="I86" s="44">
        <v>85</v>
      </c>
      <c r="J86" s="44">
        <v>32</v>
      </c>
      <c r="K86" s="58" t="s">
        <v>1332</v>
      </c>
      <c r="L86" s="58" t="s">
        <v>1333</v>
      </c>
      <c r="M86" s="56"/>
      <c r="N86" s="44" t="s">
        <v>985</v>
      </c>
      <c r="O86" s="103" t="s">
        <v>1334</v>
      </c>
      <c r="P86" s="58" t="s">
        <v>1142</v>
      </c>
      <c r="Q86" s="58"/>
      <c r="R86" s="58"/>
      <c r="S86" s="39"/>
      <c r="T86" s="39"/>
      <c r="U86" s="39"/>
      <c r="V86" s="41"/>
      <c r="W86" s="39">
        <v>4200</v>
      </c>
      <c r="X86" s="39">
        <v>4200</v>
      </c>
      <c r="Y86" s="39" t="s">
        <v>1734</v>
      </c>
      <c r="Z86" s="41"/>
      <c r="AA86" s="56">
        <v>30000</v>
      </c>
      <c r="AB86" s="56">
        <v>4000</v>
      </c>
      <c r="AC86" s="58" t="s">
        <v>1362</v>
      </c>
      <c r="AD86" s="58">
        <v>9000</v>
      </c>
      <c r="AE86" s="58" t="s">
        <v>1676</v>
      </c>
      <c r="AF86" s="42"/>
      <c r="AG86" s="42"/>
      <c r="AH86" s="42"/>
      <c r="AI86" s="42"/>
      <c r="AJ86" s="42"/>
      <c r="AK86" s="42"/>
      <c r="AL86" s="39"/>
      <c r="AM86" s="39"/>
      <c r="AN86" s="143">
        <f>AA86-AB86-AD86-AF86-AH86-AJ86-AL86</f>
        <v>17000</v>
      </c>
      <c r="AO86" s="58"/>
      <c r="AP86" s="58"/>
      <c r="AQ86" s="149">
        <f>+AB86+AD86+AF86+AH86+AJ86+AL86</f>
        <v>13000</v>
      </c>
      <c r="AR86" s="145">
        <f t="shared" si="10"/>
        <v>17000</v>
      </c>
      <c r="AS86" s="49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</row>
    <row r="87" spans="1:58" ht="30" customHeight="1" x14ac:dyDescent="0.25">
      <c r="A87" s="27"/>
      <c r="B87" s="1"/>
      <c r="C87" s="9"/>
      <c r="D87" s="9"/>
      <c r="E87" s="9"/>
      <c r="F87" s="9"/>
      <c r="G87" s="56"/>
      <c r="H87" s="56"/>
      <c r="I87" s="44">
        <v>86</v>
      </c>
      <c r="J87" s="44">
        <v>13</v>
      </c>
      <c r="K87" s="56" t="s">
        <v>1364</v>
      </c>
      <c r="L87" s="56" t="s">
        <v>1365</v>
      </c>
      <c r="M87" s="56"/>
      <c r="N87" s="56" t="s">
        <v>40</v>
      </c>
      <c r="O87" s="57" t="s">
        <v>1366</v>
      </c>
      <c r="P87" s="56" t="s">
        <v>1007</v>
      </c>
      <c r="Q87" s="56"/>
      <c r="R87" s="58"/>
      <c r="S87" s="39"/>
      <c r="T87" s="39"/>
      <c r="U87" s="39"/>
      <c r="V87" s="41"/>
      <c r="W87" s="39"/>
      <c r="X87" s="39"/>
      <c r="Y87" s="39"/>
      <c r="Z87" s="41"/>
      <c r="AA87" s="56">
        <v>25000</v>
      </c>
      <c r="AB87" s="56">
        <v>5000</v>
      </c>
      <c r="AC87" s="56" t="s">
        <v>1367</v>
      </c>
      <c r="AD87" s="58"/>
      <c r="AE87" s="58"/>
      <c r="AF87" s="42"/>
      <c r="AG87" s="42"/>
      <c r="AH87" s="42"/>
      <c r="AI87" s="42"/>
      <c r="AJ87" s="42"/>
      <c r="AK87" s="42"/>
      <c r="AL87" s="39"/>
      <c r="AM87" s="39"/>
      <c r="AN87" s="143">
        <f>AA87-AB87-AD87-AF87-AH87-AJ87-AL87</f>
        <v>20000</v>
      </c>
      <c r="AO87" s="58"/>
      <c r="AP87" s="58"/>
      <c r="AQ87" s="149">
        <f>+AB87+AD87+AF87+AH87+AJ87+AL87</f>
        <v>5000</v>
      </c>
      <c r="AR87" s="145">
        <f t="shared" si="10"/>
        <v>20000</v>
      </c>
      <c r="AS87" s="49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</row>
    <row r="88" spans="1:58" ht="37.5" customHeight="1" x14ac:dyDescent="0.25">
      <c r="A88" s="27"/>
      <c r="B88" s="1"/>
      <c r="C88" s="9"/>
      <c r="D88" s="9"/>
      <c r="E88" s="9"/>
      <c r="F88" s="9"/>
      <c r="G88" s="56"/>
      <c r="H88" s="56"/>
      <c r="I88" s="44">
        <v>87</v>
      </c>
      <c r="J88" s="44">
        <v>35</v>
      </c>
      <c r="K88" s="44" t="s">
        <v>1368</v>
      </c>
      <c r="L88" s="56" t="s">
        <v>456</v>
      </c>
      <c r="M88" s="56"/>
      <c r="N88" s="44" t="s">
        <v>985</v>
      </c>
      <c r="O88" s="57" t="s">
        <v>1369</v>
      </c>
      <c r="P88" s="44" t="s">
        <v>1142</v>
      </c>
      <c r="Q88" s="56"/>
      <c r="R88" s="44"/>
      <c r="S88" s="44"/>
      <c r="T88" s="44"/>
      <c r="U88" s="44"/>
      <c r="V88" s="142"/>
      <c r="W88" s="39">
        <v>4200</v>
      </c>
      <c r="X88" s="39">
        <v>4200</v>
      </c>
      <c r="Y88" s="39" t="s">
        <v>1395</v>
      </c>
      <c r="Z88" s="41"/>
      <c r="AA88" s="44">
        <v>30000</v>
      </c>
      <c r="AB88" s="44">
        <v>5000</v>
      </c>
      <c r="AC88" s="44" t="s">
        <v>1370</v>
      </c>
      <c r="AD88" s="44"/>
      <c r="AE88" s="44"/>
      <c r="AF88" s="53"/>
      <c r="AG88" s="53"/>
      <c r="AH88" s="53"/>
      <c r="AI88" s="53"/>
      <c r="AJ88" s="53"/>
      <c r="AK88" s="53"/>
      <c r="AL88" s="44"/>
      <c r="AM88" s="44"/>
      <c r="AN88" s="145">
        <f t="shared" si="8"/>
        <v>25000</v>
      </c>
      <c r="AO88" s="152"/>
      <c r="AP88" s="152"/>
      <c r="AQ88" s="148">
        <f t="shared" si="9"/>
        <v>5000</v>
      </c>
      <c r="AR88" s="145">
        <f t="shared" si="10"/>
        <v>25000</v>
      </c>
      <c r="AS88" s="49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</row>
    <row r="89" spans="1:58" ht="37.5" customHeight="1" x14ac:dyDescent="0.25">
      <c r="A89" s="27"/>
      <c r="B89" s="1"/>
      <c r="C89" s="9"/>
      <c r="D89" s="9"/>
      <c r="E89" s="9"/>
      <c r="F89" s="9"/>
      <c r="G89" s="56"/>
      <c r="H89" s="56"/>
      <c r="I89" s="44">
        <v>88</v>
      </c>
      <c r="J89" s="44">
        <v>36</v>
      </c>
      <c r="K89" s="44" t="s">
        <v>1371</v>
      </c>
      <c r="L89" s="44" t="s">
        <v>1372</v>
      </c>
      <c r="M89" s="56"/>
      <c r="N89" s="44" t="s">
        <v>39</v>
      </c>
      <c r="O89" s="57" t="s">
        <v>1373</v>
      </c>
      <c r="P89" s="44" t="s">
        <v>196</v>
      </c>
      <c r="Q89" s="56"/>
      <c r="R89" s="44"/>
      <c r="S89" s="44"/>
      <c r="T89" s="44"/>
      <c r="U89" s="44"/>
      <c r="V89" s="142"/>
      <c r="W89" s="39">
        <v>4200</v>
      </c>
      <c r="X89" s="39">
        <v>4200</v>
      </c>
      <c r="Y89" s="39" t="s">
        <v>1397</v>
      </c>
      <c r="Z89" s="41"/>
      <c r="AA89" s="44">
        <v>25000</v>
      </c>
      <c r="AB89" s="44">
        <v>3000</v>
      </c>
      <c r="AC89" s="44" t="s">
        <v>1374</v>
      </c>
      <c r="AD89" s="44"/>
      <c r="AE89" s="44"/>
      <c r="AF89" s="53"/>
      <c r="AG89" s="53"/>
      <c r="AH89" s="53"/>
      <c r="AI89" s="53"/>
      <c r="AJ89" s="53"/>
      <c r="AK89" s="53"/>
      <c r="AL89" s="44"/>
      <c r="AM89" s="44"/>
      <c r="AN89" s="145">
        <f>AA89-AB89-AD89-AF89-AH89-AJ89-AL89</f>
        <v>22000</v>
      </c>
      <c r="AO89" s="152"/>
      <c r="AP89" s="152"/>
      <c r="AQ89" s="148">
        <f>+AB89+AD89+AF89+AH89+AJ89+AL89</f>
        <v>3000</v>
      </c>
      <c r="AR89" s="145">
        <f t="shared" si="10"/>
        <v>22000</v>
      </c>
      <c r="AS89" s="49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</row>
    <row r="90" spans="1:58" s="26" customFormat="1" ht="37.5" customHeight="1" x14ac:dyDescent="0.25">
      <c r="A90" s="27"/>
      <c r="B90" s="25"/>
      <c r="C90" s="22"/>
      <c r="D90" s="22"/>
      <c r="E90" s="9"/>
      <c r="F90" s="9"/>
      <c r="G90" s="56"/>
      <c r="H90" s="56"/>
      <c r="I90" s="44">
        <v>89</v>
      </c>
      <c r="J90" s="44">
        <v>42</v>
      </c>
      <c r="K90" s="56" t="s">
        <v>1402</v>
      </c>
      <c r="L90" s="56" t="s">
        <v>790</v>
      </c>
      <c r="M90" s="56"/>
      <c r="N90" s="44" t="s">
        <v>39</v>
      </c>
      <c r="O90" s="57" t="s">
        <v>1403</v>
      </c>
      <c r="P90" s="56" t="s">
        <v>1142</v>
      </c>
      <c r="Q90" s="56"/>
      <c r="R90" s="58"/>
      <c r="S90" s="39"/>
      <c r="T90" s="39"/>
      <c r="U90" s="39"/>
      <c r="V90" s="39"/>
      <c r="W90" s="39">
        <v>4200</v>
      </c>
      <c r="X90" s="39">
        <v>4200</v>
      </c>
      <c r="Y90" s="39" t="s">
        <v>1439</v>
      </c>
      <c r="Z90" s="39"/>
      <c r="AA90" s="56">
        <v>30000</v>
      </c>
      <c r="AB90" s="56">
        <v>5000</v>
      </c>
      <c r="AC90" s="56" t="s">
        <v>1407</v>
      </c>
      <c r="AD90" s="58"/>
      <c r="AE90" s="58"/>
      <c r="AF90" s="42"/>
      <c r="AG90" s="42"/>
      <c r="AH90" s="42"/>
      <c r="AI90" s="42"/>
      <c r="AJ90" s="42"/>
      <c r="AK90" s="42"/>
      <c r="AL90" s="39"/>
      <c r="AM90" s="39"/>
      <c r="AN90" s="58">
        <f t="shared" ref="AN90:AN114" si="11">AA90-AB90-AD90-AF90-AH90-AJ90</f>
        <v>25000</v>
      </c>
      <c r="AO90" s="58"/>
      <c r="AP90" s="58"/>
      <c r="AQ90" s="149">
        <f t="shared" ref="AQ90:AQ114" si="12">+AB90+AD90+AF90+AH90+AJ90</f>
        <v>5000</v>
      </c>
      <c r="AR90" s="145">
        <f t="shared" si="10"/>
        <v>25000</v>
      </c>
      <c r="AS90" s="183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</row>
    <row r="91" spans="1:58" ht="30" customHeight="1" x14ac:dyDescent="0.25">
      <c r="A91" s="27"/>
      <c r="B91" s="1"/>
      <c r="C91" s="9"/>
      <c r="D91" s="9"/>
      <c r="E91" s="9"/>
      <c r="F91" s="9"/>
      <c r="G91" s="56"/>
      <c r="H91" s="56"/>
      <c r="I91" s="44">
        <v>90</v>
      </c>
      <c r="J91" s="44">
        <v>34</v>
      </c>
      <c r="K91" s="56" t="s">
        <v>1364</v>
      </c>
      <c r="L91" s="56" t="s">
        <v>1404</v>
      </c>
      <c r="M91" s="56"/>
      <c r="N91" s="56" t="s">
        <v>39</v>
      </c>
      <c r="O91" s="57" t="s">
        <v>1405</v>
      </c>
      <c r="P91" s="56" t="s">
        <v>170</v>
      </c>
      <c r="Q91" s="56"/>
      <c r="R91" s="58"/>
      <c r="S91" s="39"/>
      <c r="T91" s="39"/>
      <c r="U91" s="39"/>
      <c r="V91" s="41"/>
      <c r="W91" s="39">
        <v>7000</v>
      </c>
      <c r="X91" s="39"/>
      <c r="Y91" s="39"/>
      <c r="Z91" s="41"/>
      <c r="AA91" s="40">
        <v>25000</v>
      </c>
      <c r="AB91" s="40">
        <v>2500</v>
      </c>
      <c r="AC91" s="40" t="s">
        <v>1406</v>
      </c>
      <c r="AD91" s="39"/>
      <c r="AE91" s="39"/>
      <c r="AF91" s="42"/>
      <c r="AG91" s="42"/>
      <c r="AH91" s="42"/>
      <c r="AI91" s="42"/>
      <c r="AJ91" s="42"/>
      <c r="AK91" s="42"/>
      <c r="AL91" s="39"/>
      <c r="AM91" s="39"/>
      <c r="AN91" s="143">
        <f>AA91-AB91-AD91-AF91-AH91-AJ91-AL91</f>
        <v>22500</v>
      </c>
      <c r="AO91" s="58"/>
      <c r="AP91" s="58"/>
      <c r="AQ91" s="149">
        <f>+AB91+AD91+AF91+AH91+AJ91+AL91</f>
        <v>2500</v>
      </c>
      <c r="AR91" s="145">
        <f t="shared" si="10"/>
        <v>22500</v>
      </c>
      <c r="AS91" s="183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</row>
    <row r="92" spans="1:58" ht="40.5" customHeight="1" x14ac:dyDescent="0.25">
      <c r="A92" s="27"/>
      <c r="B92" s="1"/>
      <c r="C92" s="9"/>
      <c r="D92" s="9"/>
      <c r="E92" s="9"/>
      <c r="F92" s="9"/>
      <c r="G92" s="56"/>
      <c r="H92" s="56"/>
      <c r="I92" s="44">
        <v>91</v>
      </c>
      <c r="J92" s="44">
        <v>39</v>
      </c>
      <c r="K92" s="44" t="s">
        <v>1420</v>
      </c>
      <c r="L92" s="44" t="s">
        <v>1421</v>
      </c>
      <c r="M92" s="56"/>
      <c r="N92" s="44" t="s">
        <v>39</v>
      </c>
      <c r="O92" s="46" t="s">
        <v>1422</v>
      </c>
      <c r="P92" s="44" t="s">
        <v>246</v>
      </c>
      <c r="Q92" s="44"/>
      <c r="R92" s="50"/>
      <c r="S92" s="44"/>
      <c r="T92" s="44"/>
      <c r="U92" s="44"/>
      <c r="V92" s="142"/>
      <c r="W92" s="39">
        <v>4200</v>
      </c>
      <c r="X92" s="39">
        <v>4200</v>
      </c>
      <c r="Y92" s="39" t="s">
        <v>1442</v>
      </c>
      <c r="Z92" s="41"/>
      <c r="AA92" s="44">
        <v>30000</v>
      </c>
      <c r="AB92" s="44">
        <v>5000</v>
      </c>
      <c r="AC92" s="44" t="s">
        <v>1423</v>
      </c>
      <c r="AD92" s="44"/>
      <c r="AE92" s="44"/>
      <c r="AF92" s="53"/>
      <c r="AG92" s="53"/>
      <c r="AH92" s="53"/>
      <c r="AI92" s="119"/>
      <c r="AJ92" s="53"/>
      <c r="AK92" s="53"/>
      <c r="AL92" s="44"/>
      <c r="AM92" s="44"/>
      <c r="AN92" s="145">
        <f t="shared" si="11"/>
        <v>25000</v>
      </c>
      <c r="AO92" s="152"/>
      <c r="AP92" s="152"/>
      <c r="AQ92" s="148">
        <f t="shared" si="12"/>
        <v>5000</v>
      </c>
      <c r="AR92" s="145">
        <f t="shared" si="10"/>
        <v>25000</v>
      </c>
      <c r="AS92" s="49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</row>
    <row r="93" spans="1:58" ht="38.25" customHeight="1" x14ac:dyDescent="0.25">
      <c r="A93" s="27"/>
      <c r="B93" s="1"/>
      <c r="C93" s="9"/>
      <c r="D93" s="9"/>
      <c r="E93" s="9"/>
      <c r="F93" s="9"/>
      <c r="G93" s="56"/>
      <c r="H93" s="56"/>
      <c r="I93" s="44">
        <v>92</v>
      </c>
      <c r="J93" s="44">
        <v>15</v>
      </c>
      <c r="K93" s="44" t="s">
        <v>1430</v>
      </c>
      <c r="L93" s="44" t="s">
        <v>1031</v>
      </c>
      <c r="M93" s="56"/>
      <c r="N93" s="44" t="s">
        <v>40</v>
      </c>
      <c r="O93" s="46" t="s">
        <v>1431</v>
      </c>
      <c r="P93" s="44" t="s">
        <v>568</v>
      </c>
      <c r="Q93" s="44"/>
      <c r="R93" s="44"/>
      <c r="S93" s="44"/>
      <c r="T93" s="44"/>
      <c r="U93" s="44"/>
      <c r="V93" s="142"/>
      <c r="W93" s="39">
        <v>4200</v>
      </c>
      <c r="X93" s="39">
        <v>4200</v>
      </c>
      <c r="Y93" s="39" t="s">
        <v>1438</v>
      </c>
      <c r="Z93" s="41"/>
      <c r="AA93" s="44">
        <v>30000</v>
      </c>
      <c r="AB93" s="44">
        <v>9500</v>
      </c>
      <c r="AC93" s="44" t="s">
        <v>1759</v>
      </c>
      <c r="AD93" s="44"/>
      <c r="AE93" s="44"/>
      <c r="AF93" s="53"/>
      <c r="AG93" s="53"/>
      <c r="AH93" s="53"/>
      <c r="AI93" s="53"/>
      <c r="AJ93" s="53"/>
      <c r="AK93" s="53"/>
      <c r="AL93" s="44"/>
      <c r="AM93" s="44"/>
      <c r="AN93" s="145">
        <f t="shared" si="11"/>
        <v>20500</v>
      </c>
      <c r="AO93" s="152"/>
      <c r="AP93" s="152"/>
      <c r="AQ93" s="148">
        <f t="shared" si="12"/>
        <v>9500</v>
      </c>
      <c r="AR93" s="145">
        <f t="shared" si="10"/>
        <v>20500</v>
      </c>
      <c r="AS93" s="49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</row>
    <row r="94" spans="1:58" ht="37.5" customHeight="1" x14ac:dyDescent="0.25">
      <c r="A94" s="27"/>
      <c r="B94" s="1"/>
      <c r="C94" s="9"/>
      <c r="D94" s="9"/>
      <c r="E94" s="9"/>
      <c r="F94" s="9"/>
      <c r="G94" s="56"/>
      <c r="H94" s="56"/>
      <c r="I94" s="44">
        <v>93</v>
      </c>
      <c r="J94" s="44">
        <v>56</v>
      </c>
      <c r="K94" s="44" t="s">
        <v>1447</v>
      </c>
      <c r="L94" s="44" t="s">
        <v>1448</v>
      </c>
      <c r="M94" s="56"/>
      <c r="N94" s="44" t="s">
        <v>39</v>
      </c>
      <c r="O94" s="62" t="s">
        <v>1449</v>
      </c>
      <c r="P94" s="56" t="s">
        <v>196</v>
      </c>
      <c r="Q94" s="44"/>
      <c r="R94" s="44"/>
      <c r="S94" s="44"/>
      <c r="T94" s="44"/>
      <c r="U94" s="44"/>
      <c r="V94" s="142"/>
      <c r="W94" s="39">
        <v>4200</v>
      </c>
      <c r="X94" s="39">
        <v>4200</v>
      </c>
      <c r="Y94" s="39" t="s">
        <v>1450</v>
      </c>
      <c r="Z94" s="41"/>
      <c r="AA94" s="44"/>
      <c r="AB94" s="44"/>
      <c r="AC94" s="44"/>
      <c r="AD94" s="44"/>
      <c r="AE94" s="44"/>
      <c r="AF94" s="53"/>
      <c r="AG94" s="67"/>
      <c r="AH94" s="53"/>
      <c r="AI94" s="53"/>
      <c r="AJ94" s="53"/>
      <c r="AK94" s="53"/>
      <c r="AL94" s="44"/>
      <c r="AM94" s="44"/>
      <c r="AN94" s="145">
        <f>AA94-AB94-AD94-AF94-AH94-AJ94-AL94</f>
        <v>0</v>
      </c>
      <c r="AO94" s="152"/>
      <c r="AP94" s="152"/>
      <c r="AQ94" s="148">
        <f>+AB94+AD94+AF94+AH94+AJ94+AL94</f>
        <v>0</v>
      </c>
      <c r="AR94" s="145">
        <f t="shared" si="10"/>
        <v>0</v>
      </c>
      <c r="AS94" s="18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</row>
    <row r="95" spans="1:58" ht="37.5" customHeight="1" x14ac:dyDescent="0.25">
      <c r="A95" s="27"/>
      <c r="B95" s="1"/>
      <c r="C95" s="9"/>
      <c r="D95" s="9"/>
      <c r="E95" s="9"/>
      <c r="F95" s="9"/>
      <c r="G95" s="56"/>
      <c r="H95" s="56"/>
      <c r="I95" s="44">
        <v>94</v>
      </c>
      <c r="J95" s="44">
        <v>69</v>
      </c>
      <c r="K95" s="44" t="s">
        <v>1474</v>
      </c>
      <c r="L95" s="44" t="s">
        <v>632</v>
      </c>
      <c r="M95" s="56"/>
      <c r="N95" s="44" t="s">
        <v>40</v>
      </c>
      <c r="O95" s="46" t="s">
        <v>1475</v>
      </c>
      <c r="P95" s="44" t="s">
        <v>1011</v>
      </c>
      <c r="Q95" s="44"/>
      <c r="R95" s="44"/>
      <c r="S95" s="44"/>
      <c r="T95" s="44"/>
      <c r="U95" s="44"/>
      <c r="V95" s="142"/>
      <c r="W95" s="39">
        <v>4200</v>
      </c>
      <c r="X95" s="39">
        <v>4200</v>
      </c>
      <c r="Y95" s="39" t="s">
        <v>1510</v>
      </c>
      <c r="Z95" s="41"/>
      <c r="AA95" s="44">
        <v>25000</v>
      </c>
      <c r="AB95" s="44">
        <v>11000</v>
      </c>
      <c r="AC95" s="44" t="s">
        <v>1476</v>
      </c>
      <c r="AD95" s="44"/>
      <c r="AE95" s="44"/>
      <c r="AF95" s="53"/>
      <c r="AG95" s="53"/>
      <c r="AH95" s="53"/>
      <c r="AI95" s="53"/>
      <c r="AJ95" s="53"/>
      <c r="AK95" s="53"/>
      <c r="AL95" s="44"/>
      <c r="AM95" s="44"/>
      <c r="AN95" s="145">
        <f>AA95-AB95-AD95-AF95-AH95-AJ95-AL95</f>
        <v>14000</v>
      </c>
      <c r="AO95" s="152"/>
      <c r="AP95" s="152"/>
      <c r="AQ95" s="148">
        <f>+AB95+AD95+AF95+AH95+AJ95+AL95</f>
        <v>11000</v>
      </c>
      <c r="AR95" s="145">
        <f t="shared" si="10"/>
        <v>14000</v>
      </c>
      <c r="AS95" s="18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</row>
    <row r="96" spans="1:58" ht="22.5" customHeight="1" x14ac:dyDescent="0.25">
      <c r="A96" s="27"/>
      <c r="B96" s="1"/>
      <c r="C96" s="9"/>
      <c r="D96" s="9"/>
      <c r="E96" s="9"/>
      <c r="F96" s="9"/>
      <c r="G96" s="56"/>
      <c r="H96" s="56"/>
      <c r="I96" s="44">
        <v>95</v>
      </c>
      <c r="J96" s="44">
        <v>17</v>
      </c>
      <c r="K96" s="44" t="s">
        <v>1504</v>
      </c>
      <c r="L96" s="44" t="s">
        <v>1505</v>
      </c>
      <c r="M96" s="56"/>
      <c r="N96" s="44" t="s">
        <v>40</v>
      </c>
      <c r="O96" s="46"/>
      <c r="P96" s="44"/>
      <c r="Q96" s="44"/>
      <c r="R96" s="44"/>
      <c r="S96" s="44"/>
      <c r="T96" s="44"/>
      <c r="U96" s="44"/>
      <c r="V96" s="142"/>
      <c r="W96" s="39">
        <v>7000</v>
      </c>
      <c r="X96" s="39">
        <v>7000</v>
      </c>
      <c r="Y96" s="39" t="s">
        <v>1506</v>
      </c>
      <c r="Z96" s="41"/>
      <c r="AA96" s="44">
        <v>24000</v>
      </c>
      <c r="AB96" s="44"/>
      <c r="AC96" s="44"/>
      <c r="AD96" s="44"/>
      <c r="AE96" s="44"/>
      <c r="AF96" s="53"/>
      <c r="AG96" s="53"/>
      <c r="AH96" s="53"/>
      <c r="AI96" s="53"/>
      <c r="AJ96" s="53"/>
      <c r="AK96" s="53"/>
      <c r="AL96" s="44"/>
      <c r="AM96" s="44"/>
      <c r="AN96" s="145">
        <f t="shared" si="11"/>
        <v>24000</v>
      </c>
      <c r="AO96" s="152"/>
      <c r="AP96" s="152"/>
      <c r="AQ96" s="148">
        <f t="shared" si="12"/>
        <v>0</v>
      </c>
      <c r="AR96" s="145">
        <f t="shared" si="10"/>
        <v>24000</v>
      </c>
      <c r="AS96" s="49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</row>
    <row r="97" spans="1:58" ht="37.5" customHeight="1" x14ac:dyDescent="0.25">
      <c r="A97" s="27"/>
      <c r="B97" s="1"/>
      <c r="C97" s="9"/>
      <c r="D97" s="9"/>
      <c r="E97" s="9"/>
      <c r="F97" s="9"/>
      <c r="G97" s="56"/>
      <c r="H97" s="56"/>
      <c r="I97" s="44">
        <v>96</v>
      </c>
      <c r="J97" s="44">
        <v>18</v>
      </c>
      <c r="K97" s="44" t="s">
        <v>1031</v>
      </c>
      <c r="L97" s="44" t="s">
        <v>1514</v>
      </c>
      <c r="M97" s="56"/>
      <c r="N97" s="44" t="s">
        <v>728</v>
      </c>
      <c r="O97" s="46" t="s">
        <v>1515</v>
      </c>
      <c r="P97" s="44" t="s">
        <v>252</v>
      </c>
      <c r="Q97" s="44"/>
      <c r="R97" s="44"/>
      <c r="S97" s="44"/>
      <c r="T97" s="44"/>
      <c r="U97" s="44"/>
      <c r="V97" s="142"/>
      <c r="W97" s="39">
        <v>4200</v>
      </c>
      <c r="X97" s="39">
        <v>4200</v>
      </c>
      <c r="Y97" s="39" t="s">
        <v>1554</v>
      </c>
      <c r="Z97" s="41"/>
      <c r="AA97" s="44">
        <v>30000</v>
      </c>
      <c r="AB97" s="44">
        <v>10000</v>
      </c>
      <c r="AC97" s="44" t="s">
        <v>1516</v>
      </c>
      <c r="AD97" s="44">
        <v>10000</v>
      </c>
      <c r="AE97" s="44" t="s">
        <v>1795</v>
      </c>
      <c r="AF97" s="53"/>
      <c r="AG97" s="53"/>
      <c r="AH97" s="53"/>
      <c r="AI97" s="53"/>
      <c r="AJ97" s="53"/>
      <c r="AK97" s="53"/>
      <c r="AL97" s="44"/>
      <c r="AM97" s="44"/>
      <c r="AN97" s="145">
        <f t="shared" si="11"/>
        <v>10000</v>
      </c>
      <c r="AO97" s="152"/>
      <c r="AP97" s="152"/>
      <c r="AQ97" s="148">
        <f t="shared" si="12"/>
        <v>20000</v>
      </c>
      <c r="AR97" s="145">
        <f t="shared" si="10"/>
        <v>10000</v>
      </c>
      <c r="AS97" s="49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</row>
    <row r="98" spans="1:58" s="24" customFormat="1" ht="37.5" customHeight="1" x14ac:dyDescent="0.25">
      <c r="A98" s="27"/>
      <c r="B98" s="23"/>
      <c r="C98" s="9"/>
      <c r="D98" s="9"/>
      <c r="E98" s="9"/>
      <c r="F98" s="9"/>
      <c r="G98" s="56"/>
      <c r="H98" s="56"/>
      <c r="I98" s="44">
        <v>97</v>
      </c>
      <c r="J98" s="44">
        <v>41</v>
      </c>
      <c r="K98" s="44" t="s">
        <v>482</v>
      </c>
      <c r="L98" s="44" t="s">
        <v>969</v>
      </c>
      <c r="M98" s="56"/>
      <c r="N98" s="44" t="s">
        <v>215</v>
      </c>
      <c r="O98" s="46" t="s">
        <v>1531</v>
      </c>
      <c r="P98" s="44" t="s">
        <v>37</v>
      </c>
      <c r="Q98" s="44"/>
      <c r="R98" s="44"/>
      <c r="S98" s="44"/>
      <c r="T98" s="44"/>
      <c r="U98" s="44"/>
      <c r="V98" s="142"/>
      <c r="W98" s="39">
        <v>4200</v>
      </c>
      <c r="X98" s="39">
        <v>4200</v>
      </c>
      <c r="Y98" s="39" t="s">
        <v>1585</v>
      </c>
      <c r="Z98" s="41"/>
      <c r="AA98" s="44">
        <v>18000</v>
      </c>
      <c r="AB98" s="44">
        <v>5000</v>
      </c>
      <c r="AC98" s="44" t="s">
        <v>1532</v>
      </c>
      <c r="AD98" s="56">
        <v>3000</v>
      </c>
      <c r="AE98" s="56" t="s">
        <v>1794</v>
      </c>
      <c r="AF98" s="79"/>
      <c r="AG98" s="79"/>
      <c r="AH98" s="53"/>
      <c r="AI98" s="53"/>
      <c r="AJ98" s="53"/>
      <c r="AK98" s="53"/>
      <c r="AL98" s="44"/>
      <c r="AM98" s="44"/>
      <c r="AN98" s="145">
        <f>AA98-AB98-AD98-AF98-AH98-AJ98-AL98</f>
        <v>10000</v>
      </c>
      <c r="AO98" s="152"/>
      <c r="AP98" s="152"/>
      <c r="AQ98" s="148">
        <f>+AB98+AD98+AF98+AH98+AJ98+AL98</f>
        <v>8000</v>
      </c>
      <c r="AR98" s="145">
        <f t="shared" si="10"/>
        <v>10000</v>
      </c>
      <c r="AS98" s="183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</row>
    <row r="99" spans="1:58" ht="37.5" customHeight="1" x14ac:dyDescent="0.25">
      <c r="A99" s="27"/>
      <c r="B99" s="1"/>
      <c r="C99" s="9"/>
      <c r="D99" s="9"/>
      <c r="E99" s="9"/>
      <c r="F99" s="9"/>
      <c r="G99" s="56"/>
      <c r="H99" s="56"/>
      <c r="I99" s="44">
        <v>98</v>
      </c>
      <c r="J99" s="44">
        <v>40</v>
      </c>
      <c r="K99" s="44" t="s">
        <v>1537</v>
      </c>
      <c r="L99" s="44" t="s">
        <v>1538</v>
      </c>
      <c r="M99" s="56"/>
      <c r="N99" s="44" t="s">
        <v>40</v>
      </c>
      <c r="O99" s="46" t="s">
        <v>1549</v>
      </c>
      <c r="P99" s="44" t="s">
        <v>37</v>
      </c>
      <c r="Q99" s="44"/>
      <c r="R99" s="44"/>
      <c r="S99" s="44"/>
      <c r="T99" s="44"/>
      <c r="U99" s="44"/>
      <c r="V99" s="142"/>
      <c r="W99" s="39">
        <v>4200</v>
      </c>
      <c r="X99" s="39">
        <v>4200</v>
      </c>
      <c r="Y99" s="39" t="s">
        <v>1552</v>
      </c>
      <c r="Z99" s="41"/>
      <c r="AA99" s="44">
        <v>24000</v>
      </c>
      <c r="AB99" s="44">
        <v>24000</v>
      </c>
      <c r="AC99" s="44" t="s">
        <v>1539</v>
      </c>
      <c r="AD99" s="44"/>
      <c r="AE99" s="44"/>
      <c r="AF99" s="53"/>
      <c r="AG99" s="53"/>
      <c r="AH99" s="53"/>
      <c r="AI99" s="53"/>
      <c r="AJ99" s="53"/>
      <c r="AK99" s="53"/>
      <c r="AL99" s="44"/>
      <c r="AM99" s="44"/>
      <c r="AN99" s="145">
        <f t="shared" si="11"/>
        <v>0</v>
      </c>
      <c r="AO99" s="152"/>
      <c r="AP99" s="152"/>
      <c r="AQ99" s="148">
        <f t="shared" si="12"/>
        <v>24000</v>
      </c>
      <c r="AR99" s="145">
        <f t="shared" si="10"/>
        <v>0</v>
      </c>
      <c r="AS99" s="183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</row>
    <row r="100" spans="1:58" ht="37.5" customHeight="1" x14ac:dyDescent="0.25">
      <c r="A100" s="27"/>
      <c r="B100" s="1"/>
      <c r="C100" s="9"/>
      <c r="D100" s="9"/>
      <c r="E100" s="9"/>
      <c r="F100" s="9"/>
      <c r="G100" s="56"/>
      <c r="H100" s="56"/>
      <c r="I100" s="44">
        <v>99</v>
      </c>
      <c r="J100" s="44">
        <v>44</v>
      </c>
      <c r="K100" s="44" t="s">
        <v>1555</v>
      </c>
      <c r="L100" s="44" t="s">
        <v>478</v>
      </c>
      <c r="M100" s="56"/>
      <c r="N100" s="44" t="s">
        <v>215</v>
      </c>
      <c r="O100" s="46" t="s">
        <v>1556</v>
      </c>
      <c r="P100" s="44" t="s">
        <v>1557</v>
      </c>
      <c r="Q100" s="44"/>
      <c r="R100" s="44"/>
      <c r="S100" s="44"/>
      <c r="T100" s="44"/>
      <c r="U100" s="44"/>
      <c r="V100" s="142"/>
      <c r="W100" s="39">
        <v>4200</v>
      </c>
      <c r="X100" s="39">
        <v>4200</v>
      </c>
      <c r="Y100" s="39" t="s">
        <v>1588</v>
      </c>
      <c r="Z100" s="41"/>
      <c r="AA100" s="44">
        <v>50000</v>
      </c>
      <c r="AB100" s="44">
        <v>5000</v>
      </c>
      <c r="AC100" s="44" t="s">
        <v>1558</v>
      </c>
      <c r="AD100" s="44"/>
      <c r="AE100" s="44"/>
      <c r="AF100" s="53"/>
      <c r="AG100" s="119"/>
      <c r="AH100" s="53"/>
      <c r="AI100" s="53"/>
      <c r="AJ100" s="53"/>
      <c r="AK100" s="53"/>
      <c r="AL100" s="44"/>
      <c r="AM100" s="44"/>
      <c r="AN100" s="145">
        <f>AA100-AB100-AD100-AF100-AH100-AJ100-AL100</f>
        <v>45000</v>
      </c>
      <c r="AO100" s="152"/>
      <c r="AP100" s="152"/>
      <c r="AQ100" s="148">
        <f>+AB100+AD100+AF100+AH100+AJ100+AL100</f>
        <v>5000</v>
      </c>
      <c r="AR100" s="145">
        <f t="shared" si="10"/>
        <v>45000</v>
      </c>
      <c r="AS100" s="183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</row>
    <row r="101" spans="1:58" s="12" customFormat="1" ht="37.5" customHeight="1" x14ac:dyDescent="0.25">
      <c r="A101" s="27"/>
      <c r="B101" s="9"/>
      <c r="C101" s="9"/>
      <c r="D101" s="9"/>
      <c r="E101" s="9"/>
      <c r="F101" s="9"/>
      <c r="G101" s="56"/>
      <c r="H101" s="56"/>
      <c r="I101" s="44">
        <v>100</v>
      </c>
      <c r="J101" s="44">
        <v>19</v>
      </c>
      <c r="K101" s="56" t="s">
        <v>1568</v>
      </c>
      <c r="L101" s="56" t="s">
        <v>1569</v>
      </c>
      <c r="M101" s="56"/>
      <c r="N101" s="56" t="s">
        <v>40</v>
      </c>
      <c r="O101" s="57" t="s">
        <v>1570</v>
      </c>
      <c r="P101" s="56" t="s">
        <v>37</v>
      </c>
      <c r="Q101" s="56"/>
      <c r="R101" s="58"/>
      <c r="S101" s="39"/>
      <c r="T101" s="39"/>
      <c r="U101" s="39"/>
      <c r="V101" s="41"/>
      <c r="W101" s="39">
        <v>4200</v>
      </c>
      <c r="X101" s="39">
        <v>4200</v>
      </c>
      <c r="Y101" s="39" t="s">
        <v>1800</v>
      </c>
      <c r="Z101" s="41"/>
      <c r="AA101" s="56">
        <v>25000</v>
      </c>
      <c r="AB101" s="56">
        <v>4000</v>
      </c>
      <c r="AC101" s="56" t="s">
        <v>1571</v>
      </c>
      <c r="AD101" s="58"/>
      <c r="AE101" s="58"/>
      <c r="AF101" s="42"/>
      <c r="AG101" s="42"/>
      <c r="AH101" s="42"/>
      <c r="AI101" s="42"/>
      <c r="AJ101" s="42"/>
      <c r="AK101" s="42"/>
      <c r="AL101" s="39"/>
      <c r="AM101" s="39"/>
      <c r="AN101" s="143">
        <f>AA101-AB101-AD101-AF101-AH101-AJ101-AL101</f>
        <v>21000</v>
      </c>
      <c r="AO101" s="58"/>
      <c r="AP101" s="58"/>
      <c r="AQ101" s="149">
        <f>+AB101+AD101+AF101+AH101+AJ101+AL101</f>
        <v>4000</v>
      </c>
      <c r="AR101" s="145">
        <f t="shared" si="10"/>
        <v>21000</v>
      </c>
      <c r="AS101" s="49"/>
    </row>
    <row r="102" spans="1:58" ht="30" customHeight="1" x14ac:dyDescent="0.25">
      <c r="A102" s="27"/>
      <c r="B102" s="1"/>
      <c r="C102" s="9"/>
      <c r="D102" s="9"/>
      <c r="E102" s="9"/>
      <c r="F102" s="9"/>
      <c r="G102" s="56"/>
      <c r="H102" s="56"/>
      <c r="I102" s="44">
        <v>101</v>
      </c>
      <c r="J102" s="44">
        <v>57</v>
      </c>
      <c r="K102" s="44" t="s">
        <v>1579</v>
      </c>
      <c r="L102" s="44" t="s">
        <v>1580</v>
      </c>
      <c r="M102" s="56"/>
      <c r="N102" s="44" t="s">
        <v>40</v>
      </c>
      <c r="O102" s="46" t="s">
        <v>1581</v>
      </c>
      <c r="P102" s="44" t="s">
        <v>721</v>
      </c>
      <c r="Q102" s="44"/>
      <c r="R102" s="44"/>
      <c r="S102" s="44"/>
      <c r="T102" s="44"/>
      <c r="U102" s="44"/>
      <c r="V102" s="142"/>
      <c r="W102" s="39">
        <v>4200</v>
      </c>
      <c r="X102" s="39">
        <v>4200</v>
      </c>
      <c r="Y102" s="39" t="s">
        <v>1623</v>
      </c>
      <c r="Z102" s="41"/>
      <c r="AA102" s="44">
        <v>30000</v>
      </c>
      <c r="AB102" s="44">
        <v>5000</v>
      </c>
      <c r="AC102" s="44" t="s">
        <v>1582</v>
      </c>
      <c r="AD102" s="44"/>
      <c r="AE102" s="44"/>
      <c r="AF102" s="53"/>
      <c r="AG102" s="53"/>
      <c r="AH102" s="53"/>
      <c r="AI102" s="53"/>
      <c r="AJ102" s="53"/>
      <c r="AK102" s="53"/>
      <c r="AL102" s="44"/>
      <c r="AM102" s="44"/>
      <c r="AN102" s="145">
        <f t="shared" si="11"/>
        <v>25000</v>
      </c>
      <c r="AO102" s="152"/>
      <c r="AP102" s="152"/>
      <c r="AQ102" s="148">
        <f t="shared" si="12"/>
        <v>5000</v>
      </c>
      <c r="AR102" s="145">
        <f t="shared" si="10"/>
        <v>25000</v>
      </c>
      <c r="AS102" s="18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</row>
    <row r="103" spans="1:58" ht="32.25" customHeight="1" x14ac:dyDescent="0.25">
      <c r="A103" s="27"/>
      <c r="B103" s="1"/>
      <c r="C103" s="9"/>
      <c r="D103" s="9"/>
      <c r="E103" s="9"/>
      <c r="F103" s="9"/>
      <c r="G103" s="56"/>
      <c r="H103" s="56"/>
      <c r="I103" s="44">
        <v>102</v>
      </c>
      <c r="J103" s="44">
        <v>46</v>
      </c>
      <c r="K103" s="50" t="s">
        <v>1596</v>
      </c>
      <c r="L103" s="44" t="s">
        <v>35</v>
      </c>
      <c r="M103" s="56"/>
      <c r="N103" s="44" t="s">
        <v>39</v>
      </c>
      <c r="O103" s="46" t="s">
        <v>1597</v>
      </c>
      <c r="P103" s="44" t="s">
        <v>612</v>
      </c>
      <c r="Q103" s="44"/>
      <c r="R103" s="44"/>
      <c r="S103" s="44"/>
      <c r="T103" s="44"/>
      <c r="U103" s="44"/>
      <c r="V103" s="142"/>
      <c r="W103" s="39">
        <v>4200</v>
      </c>
      <c r="X103" s="39">
        <v>4200</v>
      </c>
      <c r="Y103" s="39" t="s">
        <v>1604</v>
      </c>
      <c r="Z103" s="41"/>
      <c r="AA103" s="44">
        <v>25000</v>
      </c>
      <c r="AB103" s="44">
        <v>4000</v>
      </c>
      <c r="AC103" s="44" t="s">
        <v>1598</v>
      </c>
      <c r="AD103" s="44"/>
      <c r="AE103" s="44"/>
      <c r="AF103" s="53"/>
      <c r="AG103" s="53"/>
      <c r="AH103" s="53"/>
      <c r="AI103" s="53"/>
      <c r="AJ103" s="53"/>
      <c r="AK103" s="53"/>
      <c r="AL103" s="44"/>
      <c r="AM103" s="44"/>
      <c r="AN103" s="145">
        <f t="shared" si="11"/>
        <v>21000</v>
      </c>
      <c r="AO103" s="152"/>
      <c r="AP103" s="152"/>
      <c r="AQ103" s="148">
        <f t="shared" si="12"/>
        <v>4000</v>
      </c>
      <c r="AR103" s="145">
        <f t="shared" si="10"/>
        <v>21000</v>
      </c>
      <c r="AS103" s="182"/>
      <c r="AT103" s="147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</row>
    <row r="104" spans="1:58" s="81" customFormat="1" ht="36.75" customHeight="1" x14ac:dyDescent="0.25">
      <c r="A104" s="27"/>
      <c r="B104" s="27"/>
      <c r="C104" s="58"/>
      <c r="D104" s="58"/>
      <c r="E104" s="9"/>
      <c r="F104" s="9"/>
      <c r="G104" s="56"/>
      <c r="H104" s="56"/>
      <c r="I104" s="44">
        <v>103</v>
      </c>
      <c r="J104" s="44">
        <v>48</v>
      </c>
      <c r="K104" s="56" t="s">
        <v>1608</v>
      </c>
      <c r="L104" s="56" t="s">
        <v>1001</v>
      </c>
      <c r="M104" s="56"/>
      <c r="N104" s="44" t="s">
        <v>39</v>
      </c>
      <c r="O104" s="57"/>
      <c r="P104" s="56"/>
      <c r="Q104" s="56"/>
      <c r="R104" s="58"/>
      <c r="S104" s="58"/>
      <c r="T104" s="58"/>
      <c r="U104" s="58"/>
      <c r="V104" s="143"/>
      <c r="W104" s="58">
        <v>4200</v>
      </c>
      <c r="X104" s="58">
        <v>4200</v>
      </c>
      <c r="Y104" s="58" t="s">
        <v>1609</v>
      </c>
      <c r="Z104" s="143"/>
      <c r="AA104" s="56">
        <v>30000</v>
      </c>
      <c r="AB104" s="56">
        <v>4000</v>
      </c>
      <c r="AC104" s="56" t="s">
        <v>1610</v>
      </c>
      <c r="AD104" s="58"/>
      <c r="AE104" s="58"/>
      <c r="AF104" s="79"/>
      <c r="AG104" s="79"/>
      <c r="AH104" s="79"/>
      <c r="AI104" s="79"/>
      <c r="AJ104" s="79"/>
      <c r="AK104" s="79"/>
      <c r="AL104" s="58"/>
      <c r="AM104" s="58"/>
      <c r="AN104" s="143">
        <f t="shared" si="11"/>
        <v>26000</v>
      </c>
      <c r="AO104" s="58"/>
      <c r="AP104" s="58"/>
      <c r="AQ104" s="149">
        <f t="shared" si="12"/>
        <v>4000</v>
      </c>
      <c r="AR104" s="145">
        <f t="shared" si="10"/>
        <v>26000</v>
      </c>
      <c r="AS104" s="49"/>
      <c r="AT104" s="80"/>
      <c r="AU104" s="80"/>
      <c r="AV104" s="80"/>
      <c r="AW104" s="80"/>
      <c r="AX104" s="80"/>
      <c r="AY104" s="80"/>
      <c r="AZ104" s="80"/>
      <c r="BA104" s="80"/>
      <c r="BB104" s="80"/>
      <c r="BC104" s="80"/>
      <c r="BD104" s="80"/>
      <c r="BE104" s="80"/>
      <c r="BF104" s="80"/>
    </row>
    <row r="105" spans="1:58" s="24" customFormat="1" ht="36.75" customHeight="1" x14ac:dyDescent="0.25">
      <c r="A105" s="27"/>
      <c r="B105" s="23"/>
      <c r="C105" s="9"/>
      <c r="D105" s="9"/>
      <c r="E105" s="9"/>
      <c r="F105" s="9"/>
      <c r="G105" s="56"/>
      <c r="H105" s="56"/>
      <c r="I105" s="44">
        <v>104</v>
      </c>
      <c r="J105" s="44">
        <v>90</v>
      </c>
      <c r="K105" s="44" t="s">
        <v>1063</v>
      </c>
      <c r="L105" s="44" t="s">
        <v>1611</v>
      </c>
      <c r="M105" s="56"/>
      <c r="N105" s="44" t="s">
        <v>215</v>
      </c>
      <c r="O105" s="46" t="s">
        <v>1612</v>
      </c>
      <c r="P105" s="44" t="s">
        <v>196</v>
      </c>
      <c r="Q105" s="44"/>
      <c r="R105" s="52"/>
      <c r="S105" s="44"/>
      <c r="T105" s="44"/>
      <c r="U105" s="44"/>
      <c r="V105" s="142"/>
      <c r="W105" s="39">
        <v>4200</v>
      </c>
      <c r="X105" s="39">
        <v>4200</v>
      </c>
      <c r="Y105" s="39" t="s">
        <v>1616</v>
      </c>
      <c r="Z105" s="41"/>
      <c r="AA105" s="44">
        <v>40000</v>
      </c>
      <c r="AB105" s="44">
        <v>5800</v>
      </c>
      <c r="AC105" s="44" t="s">
        <v>1613</v>
      </c>
      <c r="AD105" s="44"/>
      <c r="AE105" s="44"/>
      <c r="AF105" s="53"/>
      <c r="AG105" s="53"/>
      <c r="AH105" s="53"/>
      <c r="AI105" s="53"/>
      <c r="AJ105" s="53"/>
      <c r="AK105" s="53"/>
      <c r="AL105" s="44"/>
      <c r="AM105" s="44"/>
      <c r="AN105" s="145">
        <f>AA105-AB105-AD105-AF105-AH105-AJ105-AL105</f>
        <v>34200</v>
      </c>
      <c r="AO105" s="152"/>
      <c r="AP105" s="152"/>
      <c r="AQ105" s="148">
        <f>+AB105+AD105+AF105+AH105+AJ105+AL105</f>
        <v>5800</v>
      </c>
      <c r="AR105" s="145">
        <f t="shared" si="10"/>
        <v>34200</v>
      </c>
      <c r="AS105" s="183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</row>
    <row r="106" spans="1:58" ht="37.5" customHeight="1" x14ac:dyDescent="0.25">
      <c r="A106" s="27"/>
      <c r="B106" s="1"/>
      <c r="C106" s="9"/>
      <c r="D106" s="9"/>
      <c r="E106" s="9"/>
      <c r="F106" s="9"/>
      <c r="G106" s="56"/>
      <c r="H106" s="56"/>
      <c r="I106" s="44">
        <v>106</v>
      </c>
      <c r="J106" s="44">
        <v>50</v>
      </c>
      <c r="K106" s="44" t="s">
        <v>1638</v>
      </c>
      <c r="L106" s="44" t="s">
        <v>1505</v>
      </c>
      <c r="M106" s="56"/>
      <c r="N106" s="44" t="s">
        <v>985</v>
      </c>
      <c r="O106" s="46"/>
      <c r="P106" s="44"/>
      <c r="Q106" s="44"/>
      <c r="R106" s="44"/>
      <c r="S106" s="44"/>
      <c r="T106" s="44"/>
      <c r="U106" s="44"/>
      <c r="V106" s="142"/>
      <c r="W106" s="39">
        <v>4200</v>
      </c>
      <c r="X106" s="39">
        <v>4200</v>
      </c>
      <c r="Y106" s="39" t="s">
        <v>1639</v>
      </c>
      <c r="Z106" s="41"/>
      <c r="AA106" s="44"/>
      <c r="AB106" s="44"/>
      <c r="AC106" s="44"/>
      <c r="AD106" s="44"/>
      <c r="AE106" s="44"/>
      <c r="AF106" s="53"/>
      <c r="AG106" s="53"/>
      <c r="AH106" s="53"/>
      <c r="AI106" s="53"/>
      <c r="AJ106" s="53"/>
      <c r="AK106" s="53"/>
      <c r="AL106" s="44"/>
      <c r="AM106" s="44"/>
      <c r="AN106" s="145">
        <f t="shared" si="11"/>
        <v>0</v>
      </c>
      <c r="AO106" s="152"/>
      <c r="AP106" s="152"/>
      <c r="AQ106" s="148">
        <f t="shared" si="12"/>
        <v>0</v>
      </c>
      <c r="AR106" s="145">
        <f t="shared" si="10"/>
        <v>0</v>
      </c>
      <c r="AS106" s="183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</row>
    <row r="107" spans="1:58" ht="37.5" customHeight="1" x14ac:dyDescent="0.25">
      <c r="A107" s="27"/>
      <c r="B107" s="1"/>
      <c r="C107" s="9"/>
      <c r="D107" s="9"/>
      <c r="E107" s="9"/>
      <c r="F107" s="9"/>
      <c r="G107" s="56"/>
      <c r="H107" s="56"/>
      <c r="I107" s="44">
        <v>107</v>
      </c>
      <c r="J107" s="44">
        <v>49</v>
      </c>
      <c r="K107" s="44" t="s">
        <v>1656</v>
      </c>
      <c r="L107" s="44" t="s">
        <v>892</v>
      </c>
      <c r="M107" s="56"/>
      <c r="N107" s="44" t="s">
        <v>985</v>
      </c>
      <c r="O107" s="46" t="s">
        <v>1657</v>
      </c>
      <c r="P107" s="44" t="s">
        <v>568</v>
      </c>
      <c r="Q107" s="44"/>
      <c r="R107" s="44"/>
      <c r="S107" s="44"/>
      <c r="T107" s="44"/>
      <c r="U107" s="44"/>
      <c r="V107" s="142"/>
      <c r="W107" s="39">
        <v>4200</v>
      </c>
      <c r="X107" s="39">
        <v>4200</v>
      </c>
      <c r="Y107" s="39" t="s">
        <v>1721</v>
      </c>
      <c r="Z107" s="41"/>
      <c r="AA107" s="44">
        <v>25000</v>
      </c>
      <c r="AB107" s="44">
        <v>5000</v>
      </c>
      <c r="AC107" s="44" t="s">
        <v>1817</v>
      </c>
      <c r="AD107" s="44"/>
      <c r="AE107" s="44"/>
      <c r="AF107" s="53"/>
      <c r="AG107" s="53"/>
      <c r="AH107" s="53"/>
      <c r="AI107" s="53"/>
      <c r="AJ107" s="53"/>
      <c r="AK107" s="53"/>
      <c r="AL107" s="44"/>
      <c r="AM107" s="44"/>
      <c r="AN107" s="145">
        <f>AA107-AB107-AD107-AF107-AH107-AJ107-AL107</f>
        <v>20000</v>
      </c>
      <c r="AO107" s="152"/>
      <c r="AP107" s="152"/>
      <c r="AQ107" s="148">
        <f>+AB107+AD107+AF107+AH107+AJ107+AL107</f>
        <v>5000</v>
      </c>
      <c r="AR107" s="145">
        <f t="shared" si="10"/>
        <v>20000</v>
      </c>
      <c r="AS107" s="183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</row>
    <row r="108" spans="1:58" s="81" customFormat="1" ht="37.5" x14ac:dyDescent="0.25">
      <c r="A108" s="27"/>
      <c r="B108" s="27"/>
      <c r="C108" s="58"/>
      <c r="D108" s="58"/>
      <c r="E108" s="9"/>
      <c r="F108" s="9"/>
      <c r="G108" s="56"/>
      <c r="H108" s="56"/>
      <c r="I108" s="44">
        <v>108</v>
      </c>
      <c r="J108" s="44">
        <v>47</v>
      </c>
      <c r="K108" s="56" t="s">
        <v>1666</v>
      </c>
      <c r="L108" s="56" t="s">
        <v>387</v>
      </c>
      <c r="M108" s="56"/>
      <c r="N108" s="56" t="s">
        <v>39</v>
      </c>
      <c r="O108" s="57" t="s">
        <v>1667</v>
      </c>
      <c r="P108" s="56" t="s">
        <v>1668</v>
      </c>
      <c r="Q108" s="56"/>
      <c r="R108" s="58"/>
      <c r="S108" s="58"/>
      <c r="T108" s="58"/>
      <c r="U108" s="58"/>
      <c r="V108" s="143"/>
      <c r="W108" s="58">
        <v>4200</v>
      </c>
      <c r="X108" s="58">
        <v>4200</v>
      </c>
      <c r="Y108" s="58" t="s">
        <v>1717</v>
      </c>
      <c r="Z108" s="143"/>
      <c r="AA108" s="56">
        <v>35000</v>
      </c>
      <c r="AB108" s="56"/>
      <c r="AC108" s="56"/>
      <c r="AD108" s="58"/>
      <c r="AE108" s="58"/>
      <c r="AF108" s="79"/>
      <c r="AG108" s="79"/>
      <c r="AH108" s="79"/>
      <c r="AI108" s="79"/>
      <c r="AJ108" s="79"/>
      <c r="AK108" s="79"/>
      <c r="AL108" s="58"/>
      <c r="AM108" s="58"/>
      <c r="AN108" s="143">
        <f>AA108-AB108-AD108-AF108-AH108-AJ108-AL108</f>
        <v>35000</v>
      </c>
      <c r="AO108" s="58"/>
      <c r="AP108" s="58"/>
      <c r="AQ108" s="149">
        <f>+AB108+AD108+AF108+AH108+AJ108+AL108</f>
        <v>0</v>
      </c>
      <c r="AR108" s="145">
        <f t="shared" si="10"/>
        <v>35000</v>
      </c>
      <c r="AS108" s="183"/>
      <c r="AT108" s="80"/>
      <c r="AU108" s="80"/>
      <c r="AV108" s="80"/>
      <c r="AW108" s="80"/>
      <c r="AX108" s="80"/>
      <c r="AY108" s="80"/>
      <c r="AZ108" s="80"/>
      <c r="BA108" s="80"/>
      <c r="BB108" s="80"/>
      <c r="BC108" s="80"/>
      <c r="BD108" s="80"/>
      <c r="BE108" s="80"/>
      <c r="BF108" s="80"/>
    </row>
    <row r="109" spans="1:58" ht="37.5" x14ac:dyDescent="0.25">
      <c r="A109" s="27"/>
      <c r="B109" s="1"/>
      <c r="C109" s="9"/>
      <c r="D109" s="9"/>
      <c r="E109" s="9"/>
      <c r="F109" s="9"/>
      <c r="G109" s="56"/>
      <c r="H109" s="56"/>
      <c r="I109" s="44">
        <v>109</v>
      </c>
      <c r="J109" s="44">
        <v>94</v>
      </c>
      <c r="K109" s="44" t="s">
        <v>1673</v>
      </c>
      <c r="L109" s="44" t="s">
        <v>1674</v>
      </c>
      <c r="M109" s="56"/>
      <c r="N109" s="56" t="s">
        <v>215</v>
      </c>
      <c r="O109" s="46" t="s">
        <v>1675</v>
      </c>
      <c r="P109" s="44" t="s">
        <v>988</v>
      </c>
      <c r="Q109" s="44"/>
      <c r="R109" s="44"/>
      <c r="S109" s="44"/>
      <c r="T109" s="44"/>
      <c r="U109" s="44"/>
      <c r="V109" s="142"/>
      <c r="W109" s="39">
        <v>4200</v>
      </c>
      <c r="X109" s="39">
        <v>4200</v>
      </c>
      <c r="Y109" s="39" t="s">
        <v>1733</v>
      </c>
      <c r="Z109" s="41"/>
      <c r="AA109" s="44">
        <v>50000</v>
      </c>
      <c r="AB109" s="44"/>
      <c r="AC109" s="44"/>
      <c r="AD109" s="44"/>
      <c r="AE109" s="44"/>
      <c r="AF109" s="53"/>
      <c r="AG109" s="53"/>
      <c r="AH109" s="53"/>
      <c r="AI109" s="53"/>
      <c r="AJ109" s="53"/>
      <c r="AK109" s="53"/>
      <c r="AL109" s="44"/>
      <c r="AM109" s="44"/>
      <c r="AN109" s="145">
        <f t="shared" si="11"/>
        <v>50000</v>
      </c>
      <c r="AO109" s="152"/>
      <c r="AP109" s="152"/>
      <c r="AQ109" s="148">
        <f t="shared" si="12"/>
        <v>0</v>
      </c>
      <c r="AR109" s="145">
        <f t="shared" si="10"/>
        <v>50000</v>
      </c>
      <c r="AS109" s="49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</row>
    <row r="110" spans="1:58" ht="19.5" customHeight="1" x14ac:dyDescent="0.25">
      <c r="A110" s="27"/>
      <c r="B110" s="1"/>
      <c r="C110" s="9"/>
      <c r="D110" s="9"/>
      <c r="E110" s="9"/>
      <c r="F110" s="9"/>
      <c r="G110" s="56"/>
      <c r="H110" s="56"/>
      <c r="I110" s="44">
        <v>110</v>
      </c>
      <c r="J110" s="44"/>
      <c r="K110" s="44" t="s">
        <v>1687</v>
      </c>
      <c r="L110" s="44" t="s">
        <v>478</v>
      </c>
      <c r="M110" s="56"/>
      <c r="N110" s="44" t="s">
        <v>40</v>
      </c>
      <c r="O110" s="46"/>
      <c r="P110" s="44" t="s">
        <v>1145</v>
      </c>
      <c r="Q110" s="44"/>
      <c r="R110" s="44"/>
      <c r="S110" s="44"/>
      <c r="T110" s="44"/>
      <c r="U110" s="44"/>
      <c r="V110" s="142"/>
      <c r="W110" s="39">
        <v>4200</v>
      </c>
      <c r="X110" s="39">
        <v>4200</v>
      </c>
      <c r="Y110" s="39" t="s">
        <v>1711</v>
      </c>
      <c r="Z110" s="41"/>
      <c r="AA110" s="44">
        <v>30000</v>
      </c>
      <c r="AB110" s="44">
        <v>5000</v>
      </c>
      <c r="AC110" s="44" t="s">
        <v>1688</v>
      </c>
      <c r="AD110" s="44"/>
      <c r="AE110" s="44"/>
      <c r="AF110" s="53"/>
      <c r="AG110" s="53"/>
      <c r="AH110" s="53"/>
      <c r="AI110" s="53"/>
      <c r="AJ110" s="53"/>
      <c r="AK110" s="53"/>
      <c r="AL110" s="44"/>
      <c r="AM110" s="44"/>
      <c r="AN110" s="145">
        <f>AA110-AB110-AD110-AF110-AH110-AJ110-AL110</f>
        <v>25000</v>
      </c>
      <c r="AO110" s="152"/>
      <c r="AP110" s="152"/>
      <c r="AQ110" s="148">
        <f>+AB110+AD110+AF110+AH110+AJ110+AL110</f>
        <v>5000</v>
      </c>
      <c r="AR110" s="145">
        <f t="shared" si="10"/>
        <v>25000</v>
      </c>
      <c r="AS110" s="183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</row>
    <row r="111" spans="1:58" ht="45" customHeight="1" x14ac:dyDescent="0.25">
      <c r="A111" s="27"/>
      <c r="B111" s="1"/>
      <c r="C111" s="9"/>
      <c r="D111" s="9"/>
      <c r="E111" s="9"/>
      <c r="F111" s="9"/>
      <c r="G111" s="56"/>
      <c r="H111" s="56"/>
      <c r="I111" s="44">
        <v>111</v>
      </c>
      <c r="J111" s="44">
        <v>22</v>
      </c>
      <c r="K111" s="14" t="s">
        <v>1689</v>
      </c>
      <c r="L111" s="14" t="s">
        <v>1210</v>
      </c>
      <c r="M111" s="14"/>
      <c r="N111" s="14" t="s">
        <v>39</v>
      </c>
      <c r="O111" s="57"/>
      <c r="P111" s="56"/>
      <c r="Q111" s="56"/>
      <c r="R111" s="58"/>
      <c r="S111" s="39"/>
      <c r="T111" s="39"/>
      <c r="U111" s="39"/>
      <c r="V111" s="41"/>
      <c r="W111" s="39">
        <v>4200</v>
      </c>
      <c r="X111" s="39">
        <v>4200</v>
      </c>
      <c r="Y111" s="39" t="s">
        <v>1716</v>
      </c>
      <c r="Z111" s="41"/>
      <c r="AA111" s="56">
        <v>30000</v>
      </c>
      <c r="AB111" s="56">
        <v>10000</v>
      </c>
      <c r="AC111" s="56" t="s">
        <v>1690</v>
      </c>
      <c r="AD111" s="58">
        <v>5000</v>
      </c>
      <c r="AE111" s="58" t="s">
        <v>1700</v>
      </c>
      <c r="AF111" s="42"/>
      <c r="AG111" s="42"/>
      <c r="AH111" s="42"/>
      <c r="AI111" s="42"/>
      <c r="AJ111" s="42"/>
      <c r="AK111" s="42"/>
      <c r="AL111" s="39"/>
      <c r="AM111" s="39"/>
      <c r="AN111" s="143">
        <f>AA111-AB111-AD111-AF111-AH111-AJ111-AL111</f>
        <v>15000</v>
      </c>
      <c r="AO111" s="58"/>
      <c r="AP111" s="58"/>
      <c r="AQ111" s="149">
        <f>+AB111+AD111+AF111+AH111+AJ111+AL111</f>
        <v>15000</v>
      </c>
      <c r="AR111" s="145">
        <f t="shared" si="10"/>
        <v>15000</v>
      </c>
      <c r="AS111" s="49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</row>
    <row r="112" spans="1:58" ht="37.5" customHeight="1" x14ac:dyDescent="0.25">
      <c r="A112" s="27"/>
      <c r="B112" s="1"/>
      <c r="C112" s="9"/>
      <c r="D112" s="9"/>
      <c r="E112" s="9"/>
      <c r="F112" s="9"/>
      <c r="G112" s="56"/>
      <c r="H112" s="56"/>
      <c r="I112" s="44">
        <v>112</v>
      </c>
      <c r="J112" s="44">
        <v>23</v>
      </c>
      <c r="K112" s="14" t="s">
        <v>1744</v>
      </c>
      <c r="L112" s="14" t="s">
        <v>1745</v>
      </c>
      <c r="M112" s="14"/>
      <c r="N112" s="14" t="s">
        <v>40</v>
      </c>
      <c r="O112" s="46" t="s">
        <v>1746</v>
      </c>
      <c r="P112" s="44" t="s">
        <v>37</v>
      </c>
      <c r="Q112" s="44"/>
      <c r="R112" s="44"/>
      <c r="S112" s="44"/>
      <c r="T112" s="44"/>
      <c r="U112" s="44"/>
      <c r="V112" s="142"/>
      <c r="W112" s="39">
        <v>5200</v>
      </c>
      <c r="X112" s="39">
        <v>5200</v>
      </c>
      <c r="Y112" s="39" t="s">
        <v>1747</v>
      </c>
      <c r="Z112" s="41"/>
      <c r="AA112" s="44">
        <v>30000</v>
      </c>
      <c r="AB112" s="44">
        <v>5000</v>
      </c>
      <c r="AC112" s="56" t="s">
        <v>1747</v>
      </c>
      <c r="AD112" s="44"/>
      <c r="AE112" s="44"/>
      <c r="AF112" s="53"/>
      <c r="AG112" s="53"/>
      <c r="AH112" s="53"/>
      <c r="AI112" s="53"/>
      <c r="AJ112" s="53"/>
      <c r="AK112" s="53"/>
      <c r="AL112" s="44"/>
      <c r="AM112" s="44"/>
      <c r="AN112" s="145">
        <f t="shared" si="11"/>
        <v>25000</v>
      </c>
      <c r="AO112" s="152"/>
      <c r="AP112" s="152"/>
      <c r="AQ112" s="148">
        <f t="shared" si="12"/>
        <v>5000</v>
      </c>
      <c r="AR112" s="145">
        <f t="shared" si="10"/>
        <v>25000</v>
      </c>
      <c r="AS112" s="49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</row>
    <row r="113" spans="1:58" s="10" customFormat="1" ht="51" customHeight="1" x14ac:dyDescent="0.25">
      <c r="A113" s="75"/>
      <c r="B113" s="2"/>
      <c r="C113" s="2"/>
      <c r="D113" s="2"/>
      <c r="E113" s="2"/>
      <c r="F113" s="2"/>
      <c r="G113" s="135"/>
      <c r="H113" s="135"/>
      <c r="I113" s="44">
        <v>113</v>
      </c>
      <c r="J113" s="44">
        <v>95</v>
      </c>
      <c r="K113" s="14" t="s">
        <v>1762</v>
      </c>
      <c r="L113" s="14" t="s">
        <v>1763</v>
      </c>
      <c r="M113" s="56"/>
      <c r="N113" s="56" t="s">
        <v>39</v>
      </c>
      <c r="O113" s="46" t="s">
        <v>1764</v>
      </c>
      <c r="P113" s="44"/>
      <c r="Q113" s="44"/>
      <c r="R113" s="44"/>
      <c r="S113" s="44"/>
      <c r="T113" s="44"/>
      <c r="U113" s="44"/>
      <c r="V113" s="142"/>
      <c r="W113" s="39">
        <v>4200</v>
      </c>
      <c r="X113" s="39">
        <v>4200</v>
      </c>
      <c r="Y113" s="39" t="s">
        <v>1765</v>
      </c>
      <c r="Z113" s="41"/>
      <c r="AA113" s="44">
        <v>30000</v>
      </c>
      <c r="AB113" s="44"/>
      <c r="AC113" s="56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145">
        <f>AA113-AB113-AD113-AF113-AH113-AJ113-AL113</f>
        <v>30000</v>
      </c>
      <c r="AO113" s="152"/>
      <c r="AP113" s="152"/>
      <c r="AQ113" s="148">
        <f>+AB113+AD113+AF113+AH113+AJ113+AL113</f>
        <v>0</v>
      </c>
      <c r="AR113" s="145">
        <f t="shared" si="10"/>
        <v>30000</v>
      </c>
      <c r="AS113" s="49"/>
    </row>
    <row r="114" spans="1:58" ht="38.25" customHeight="1" x14ac:dyDescent="0.25">
      <c r="A114" s="27"/>
      <c r="B114" s="1"/>
      <c r="C114" s="9"/>
      <c r="D114" s="9"/>
      <c r="E114" s="9"/>
      <c r="F114" s="9"/>
      <c r="G114" s="56"/>
      <c r="H114" s="56"/>
      <c r="I114" s="44">
        <v>114</v>
      </c>
      <c r="J114" s="44">
        <v>96</v>
      </c>
      <c r="K114" s="14" t="s">
        <v>1797</v>
      </c>
      <c r="L114" s="14" t="s">
        <v>1798</v>
      </c>
      <c r="M114" s="14"/>
      <c r="N114" s="14"/>
      <c r="O114" s="46"/>
      <c r="P114" s="55"/>
      <c r="Q114" s="55"/>
      <c r="R114" s="58"/>
      <c r="S114" s="9"/>
      <c r="T114" s="9"/>
      <c r="U114" s="9"/>
      <c r="V114" s="11"/>
      <c r="W114" s="9">
        <v>4200</v>
      </c>
      <c r="X114" s="9">
        <v>4200</v>
      </c>
      <c r="Y114" s="9" t="s">
        <v>1799</v>
      </c>
      <c r="Z114" s="11"/>
      <c r="AA114" s="56"/>
      <c r="AB114" s="56"/>
      <c r="AC114" s="56"/>
      <c r="AD114" s="58"/>
      <c r="AE114" s="58"/>
      <c r="AF114" s="42"/>
      <c r="AG114" s="42"/>
      <c r="AH114" s="42"/>
      <c r="AI114" s="42"/>
      <c r="AJ114" s="42"/>
      <c r="AK114" s="42"/>
      <c r="AL114" s="39"/>
      <c r="AM114" s="39"/>
      <c r="AN114" s="143">
        <f t="shared" si="11"/>
        <v>0</v>
      </c>
      <c r="AO114" s="58"/>
      <c r="AP114" s="58"/>
      <c r="AQ114" s="149">
        <f t="shared" si="12"/>
        <v>0</v>
      </c>
      <c r="AR114" s="145">
        <f t="shared" si="10"/>
        <v>0</v>
      </c>
      <c r="AS114" s="49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</row>
    <row r="115" spans="1:58" s="12" customFormat="1" ht="37.5" customHeight="1" x14ac:dyDescent="0.25">
      <c r="A115" s="27"/>
      <c r="B115" s="9"/>
      <c r="C115" s="9"/>
      <c r="D115" s="9"/>
      <c r="E115" s="9"/>
      <c r="F115" s="9"/>
      <c r="G115" s="56"/>
      <c r="H115" s="56"/>
      <c r="I115" s="44">
        <v>115</v>
      </c>
      <c r="J115" s="44">
        <v>53</v>
      </c>
      <c r="K115" s="14" t="s">
        <v>1801</v>
      </c>
      <c r="L115" s="14" t="s">
        <v>20</v>
      </c>
      <c r="M115" s="14"/>
      <c r="N115" s="14" t="s">
        <v>40</v>
      </c>
      <c r="O115" s="57"/>
      <c r="P115" s="56"/>
      <c r="Q115" s="56"/>
      <c r="R115" s="58"/>
      <c r="S115" s="39"/>
      <c r="T115" s="39"/>
      <c r="U115" s="39"/>
      <c r="V115" s="41"/>
      <c r="W115" s="39">
        <v>4200</v>
      </c>
      <c r="X115" s="39">
        <v>4200</v>
      </c>
      <c r="Y115" s="39" t="s">
        <v>1802</v>
      </c>
      <c r="Z115" s="41"/>
      <c r="AA115" s="56"/>
      <c r="AB115" s="56"/>
      <c r="AC115" s="56"/>
      <c r="AD115" s="58"/>
      <c r="AE115" s="58"/>
      <c r="AF115" s="42"/>
      <c r="AG115" s="42"/>
      <c r="AH115" s="42"/>
      <c r="AI115" s="42"/>
      <c r="AJ115" s="42"/>
      <c r="AK115" s="42"/>
      <c r="AL115" s="39"/>
      <c r="AM115" s="39"/>
      <c r="AN115" s="143">
        <f>AA115-AB115-AD115-AF115-AH115-AJ115-AL115</f>
        <v>0</v>
      </c>
      <c r="AO115" s="58"/>
      <c r="AP115" s="58"/>
      <c r="AQ115" s="149">
        <f>+AB115+AD115+AF115+AH115+AJ115+AL115</f>
        <v>0</v>
      </c>
      <c r="AR115" s="145">
        <f t="shared" si="10"/>
        <v>0</v>
      </c>
      <c r="AS115" s="183"/>
    </row>
    <row r="116" spans="1:58" ht="27" customHeight="1" x14ac:dyDescent="0.25">
      <c r="A116" s="27"/>
      <c r="B116" s="1"/>
      <c r="C116" s="9"/>
      <c r="D116" s="9"/>
      <c r="E116" s="9"/>
      <c r="F116" s="9"/>
      <c r="G116" s="56"/>
      <c r="H116" s="56"/>
      <c r="I116" s="44">
        <v>116</v>
      </c>
      <c r="J116" s="44">
        <v>54</v>
      </c>
      <c r="K116" s="14"/>
      <c r="L116" s="14"/>
      <c r="M116" s="14"/>
      <c r="N116" s="14"/>
      <c r="O116" s="57"/>
      <c r="P116" s="56"/>
      <c r="Q116" s="56"/>
      <c r="R116" s="58"/>
      <c r="S116" s="39"/>
      <c r="T116" s="39"/>
      <c r="U116" s="39"/>
      <c r="V116" s="41"/>
      <c r="W116" s="39"/>
      <c r="X116" s="39"/>
      <c r="Y116" s="39"/>
      <c r="Z116" s="41"/>
      <c r="AA116" s="40"/>
      <c r="AB116" s="56"/>
      <c r="AC116" s="56"/>
      <c r="AD116" s="56"/>
      <c r="AE116" s="39"/>
      <c r="AF116" s="42"/>
      <c r="AG116" s="42"/>
      <c r="AH116" s="42"/>
      <c r="AI116" s="42"/>
      <c r="AJ116" s="42"/>
      <c r="AK116" s="42"/>
      <c r="AL116" s="39"/>
      <c r="AM116" s="39"/>
      <c r="AN116" s="143">
        <f>AA116-AB116-AD116-AF116-AH116-AJ116</f>
        <v>0</v>
      </c>
      <c r="AO116" s="58"/>
      <c r="AP116" s="58"/>
      <c r="AQ116" s="149">
        <f>+AB116+AD116+AF116+AH116+AJ116</f>
        <v>0</v>
      </c>
      <c r="AR116" s="145">
        <f t="shared" si="10"/>
        <v>0</v>
      </c>
      <c r="AS116" s="183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</row>
    <row r="117" spans="1:58" ht="19.5" customHeight="1" x14ac:dyDescent="0.25">
      <c r="A117" s="27"/>
      <c r="B117" s="1"/>
      <c r="C117" s="9"/>
      <c r="D117" s="9"/>
      <c r="E117" s="9"/>
      <c r="F117" s="9"/>
      <c r="G117" s="56"/>
      <c r="H117" s="56"/>
      <c r="I117" s="44">
        <v>117</v>
      </c>
      <c r="J117" s="44">
        <v>55</v>
      </c>
      <c r="K117" s="14"/>
      <c r="L117" s="14"/>
      <c r="M117" s="14"/>
      <c r="N117" s="14"/>
      <c r="O117" s="57"/>
      <c r="P117" s="56"/>
      <c r="Q117" s="56"/>
      <c r="R117" s="58"/>
      <c r="S117" s="39"/>
      <c r="T117" s="39"/>
      <c r="U117" s="39"/>
      <c r="V117" s="41"/>
      <c r="W117" s="39"/>
      <c r="X117" s="39"/>
      <c r="Y117" s="39"/>
      <c r="Z117" s="41"/>
      <c r="AA117" s="56"/>
      <c r="AB117" s="56"/>
      <c r="AC117" s="56"/>
      <c r="AD117" s="58"/>
      <c r="AE117" s="58"/>
      <c r="AF117" s="42"/>
      <c r="AG117" s="42"/>
      <c r="AH117" s="42"/>
      <c r="AI117" s="42"/>
      <c r="AJ117" s="42"/>
      <c r="AK117" s="42"/>
      <c r="AL117" s="39"/>
      <c r="AM117" s="39"/>
      <c r="AN117" s="143">
        <f>AA117-AB117-AD117-AF117-AH117-AJ117-AL117</f>
        <v>0</v>
      </c>
      <c r="AO117" s="58"/>
      <c r="AP117" s="58"/>
      <c r="AQ117" s="149">
        <f>+AB117+AD117+AF117+AH117+AJ117+AL117</f>
        <v>0</v>
      </c>
      <c r="AR117" s="145">
        <f t="shared" si="10"/>
        <v>0</v>
      </c>
      <c r="AS117" s="183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</row>
    <row r="118" spans="1:58" ht="28.5" customHeight="1" x14ac:dyDescent="0.25">
      <c r="A118" s="27"/>
      <c r="B118" s="1"/>
      <c r="C118" s="9"/>
      <c r="D118" s="9"/>
      <c r="E118" s="9"/>
      <c r="F118" s="9"/>
      <c r="G118" s="56"/>
      <c r="H118" s="56"/>
      <c r="I118" s="44">
        <v>118</v>
      </c>
      <c r="J118" s="44">
        <v>99</v>
      </c>
      <c r="K118" s="14"/>
      <c r="L118" s="14"/>
      <c r="M118" s="56"/>
      <c r="N118" s="56"/>
      <c r="O118" s="57"/>
      <c r="P118" s="56"/>
      <c r="Q118" s="56"/>
      <c r="R118" s="44"/>
      <c r="S118" s="39"/>
      <c r="T118" s="39"/>
      <c r="U118" s="39"/>
      <c r="V118" s="41"/>
      <c r="W118" s="39"/>
      <c r="X118" s="39"/>
      <c r="Y118" s="39"/>
      <c r="Z118" s="41"/>
      <c r="AA118" s="56"/>
      <c r="AB118" s="56"/>
      <c r="AC118" s="56"/>
      <c r="AD118" s="58"/>
      <c r="AE118" s="58"/>
      <c r="AF118" s="42"/>
      <c r="AG118" s="42"/>
      <c r="AH118" s="42"/>
      <c r="AI118" s="42"/>
      <c r="AJ118" s="42"/>
      <c r="AK118" s="42"/>
      <c r="AL118" s="39"/>
      <c r="AM118" s="39"/>
      <c r="AN118" s="143">
        <f>AA118-AB118-AD118-AF118-AH118-AJ118</f>
        <v>0</v>
      </c>
      <c r="AO118" s="58"/>
      <c r="AP118" s="58"/>
      <c r="AQ118" s="149">
        <f>+AB118+AD118+AF118+AH118+AJ118</f>
        <v>0</v>
      </c>
      <c r="AR118" s="145">
        <f t="shared" si="10"/>
        <v>0</v>
      </c>
      <c r="AS118" s="183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</row>
    <row r="119" spans="1:58" ht="24.75" customHeight="1" x14ac:dyDescent="0.25">
      <c r="A119" s="27"/>
      <c r="B119" s="1"/>
      <c r="C119" s="9"/>
      <c r="D119" s="9"/>
      <c r="E119" s="9"/>
      <c r="F119" s="9"/>
      <c r="G119" s="56"/>
      <c r="H119" s="56"/>
      <c r="I119" s="44">
        <v>119</v>
      </c>
      <c r="J119" s="44">
        <v>100</v>
      </c>
      <c r="K119" s="14"/>
      <c r="L119" s="14"/>
      <c r="M119" s="14"/>
      <c r="N119" s="14"/>
      <c r="O119" s="57"/>
      <c r="P119" s="56"/>
      <c r="Q119" s="56"/>
      <c r="R119" s="58"/>
      <c r="S119" s="39"/>
      <c r="T119" s="39"/>
      <c r="U119" s="39"/>
      <c r="V119" s="41"/>
      <c r="W119" s="39"/>
      <c r="X119" s="39"/>
      <c r="Y119" s="39"/>
      <c r="Z119" s="41"/>
      <c r="AA119" s="56"/>
      <c r="AB119" s="56"/>
      <c r="AC119" s="56"/>
      <c r="AD119" s="58"/>
      <c r="AE119" s="58"/>
      <c r="AF119" s="42"/>
      <c r="AG119" s="42"/>
      <c r="AH119" s="42"/>
      <c r="AI119" s="42"/>
      <c r="AJ119" s="42"/>
      <c r="AK119" s="116"/>
      <c r="AL119" s="39"/>
      <c r="AM119" s="154"/>
      <c r="AN119" s="143">
        <f>AA119-AB119-AD119-AF119-AH119-AJ119-AL119</f>
        <v>0</v>
      </c>
      <c r="AO119" s="58"/>
      <c r="AP119" s="58"/>
      <c r="AQ119" s="149">
        <f>+AB119+AD119+AF119+AH119+AJ119+AL119</f>
        <v>0</v>
      </c>
      <c r="AR119" s="145">
        <f t="shared" si="10"/>
        <v>0</v>
      </c>
      <c r="AS119" s="183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</row>
    <row r="120" spans="1:58" ht="34.5" customHeight="1" x14ac:dyDescent="0.25">
      <c r="A120" s="27"/>
      <c r="B120" s="1"/>
      <c r="C120" s="9"/>
      <c r="D120" s="9"/>
      <c r="E120" s="9"/>
      <c r="F120" s="9"/>
      <c r="G120" s="56"/>
      <c r="H120" s="56"/>
      <c r="I120" s="44">
        <v>120</v>
      </c>
      <c r="J120" s="44">
        <v>101</v>
      </c>
      <c r="K120" s="14"/>
      <c r="L120" s="14"/>
      <c r="M120" s="14"/>
      <c r="N120" s="14"/>
      <c r="O120" s="57"/>
      <c r="P120" s="56"/>
      <c r="Q120" s="56"/>
      <c r="R120" s="58"/>
      <c r="S120" s="39"/>
      <c r="T120" s="39"/>
      <c r="U120" s="39"/>
      <c r="V120" s="41"/>
      <c r="W120" s="39"/>
      <c r="X120" s="39"/>
      <c r="Y120" s="39"/>
      <c r="Z120" s="41"/>
      <c r="AA120" s="56"/>
      <c r="AB120" s="56"/>
      <c r="AC120" s="56"/>
      <c r="AD120" s="58"/>
      <c r="AE120" s="58"/>
      <c r="AF120" s="42"/>
      <c r="AG120" s="42"/>
      <c r="AH120" s="42"/>
      <c r="AI120" s="42"/>
      <c r="AJ120" s="42"/>
      <c r="AK120" s="42"/>
      <c r="AL120" s="39"/>
      <c r="AM120" s="39"/>
      <c r="AN120" s="143">
        <f t="shared" ref="AN120:AN154" si="13">AA120-AB120-AD120-AF120-AH120-AJ120</f>
        <v>0</v>
      </c>
      <c r="AO120" s="58"/>
      <c r="AP120" s="58"/>
      <c r="AQ120" s="149">
        <f t="shared" ref="AQ120:AQ154" si="14">+AB120+AD120+AF120+AH120+AJ120</f>
        <v>0</v>
      </c>
      <c r="AR120" s="145">
        <f t="shared" si="10"/>
        <v>0</v>
      </c>
      <c r="AS120" s="183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</row>
    <row r="121" spans="1:58" ht="36.75" customHeight="1" x14ac:dyDescent="0.25">
      <c r="A121" s="27"/>
      <c r="B121" s="1"/>
      <c r="C121" s="9"/>
      <c r="D121" s="9"/>
      <c r="E121" s="9"/>
      <c r="F121" s="9"/>
      <c r="G121" s="56"/>
      <c r="H121" s="56"/>
      <c r="I121" s="44">
        <v>121</v>
      </c>
      <c r="J121" s="44">
        <v>102</v>
      </c>
      <c r="K121" s="14"/>
      <c r="L121" s="14"/>
      <c r="M121" s="14"/>
      <c r="N121" s="14"/>
      <c r="O121" s="56"/>
      <c r="P121" s="56"/>
      <c r="Q121" s="56"/>
      <c r="R121" s="58"/>
      <c r="S121" s="39"/>
      <c r="T121" s="39"/>
      <c r="U121" s="39"/>
      <c r="V121" s="41"/>
      <c r="W121" s="39"/>
      <c r="X121" s="39"/>
      <c r="Y121" s="39"/>
      <c r="Z121" s="41"/>
      <c r="AA121" s="56"/>
      <c r="AB121" s="56"/>
      <c r="AC121" s="56"/>
      <c r="AD121" s="58"/>
      <c r="AE121" s="58"/>
      <c r="AF121" s="42"/>
      <c r="AG121" s="42"/>
      <c r="AH121" s="42"/>
      <c r="AI121" s="42"/>
      <c r="AJ121" s="42"/>
      <c r="AK121" s="42"/>
      <c r="AL121" s="39"/>
      <c r="AM121" s="39"/>
      <c r="AN121" s="143">
        <f t="shared" si="13"/>
        <v>0</v>
      </c>
      <c r="AO121" s="58"/>
      <c r="AP121" s="58"/>
      <c r="AQ121" s="149">
        <f t="shared" si="14"/>
        <v>0</v>
      </c>
      <c r="AR121" s="145">
        <f t="shared" si="10"/>
        <v>0</v>
      </c>
      <c r="AS121" s="183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</row>
    <row r="122" spans="1:58" ht="54.75" customHeight="1" x14ac:dyDescent="0.25">
      <c r="A122" s="27"/>
      <c r="B122" s="1"/>
      <c r="C122" s="9"/>
      <c r="D122" s="9"/>
      <c r="E122" s="9"/>
      <c r="F122" s="9"/>
      <c r="G122" s="56"/>
      <c r="H122" s="56"/>
      <c r="I122" s="44">
        <v>122</v>
      </c>
      <c r="J122" s="44"/>
      <c r="K122" s="56"/>
      <c r="L122" s="56"/>
      <c r="M122" s="56"/>
      <c r="N122" s="14"/>
      <c r="O122" s="56"/>
      <c r="P122" s="56"/>
      <c r="Q122" s="56"/>
      <c r="R122" s="58"/>
      <c r="S122" s="39"/>
      <c r="T122" s="39"/>
      <c r="U122" s="39"/>
      <c r="V122" s="41"/>
      <c r="W122" s="39"/>
      <c r="X122" s="39"/>
      <c r="Y122" s="39"/>
      <c r="Z122" s="41"/>
      <c r="AA122" s="56"/>
      <c r="AB122" s="56"/>
      <c r="AC122" s="56"/>
      <c r="AD122" s="58"/>
      <c r="AE122" s="58"/>
      <c r="AF122" s="42"/>
      <c r="AG122" s="42"/>
      <c r="AH122" s="42"/>
      <c r="AI122" s="42"/>
      <c r="AJ122" s="42"/>
      <c r="AK122" s="116"/>
      <c r="AL122" s="39"/>
      <c r="AM122" s="39"/>
      <c r="AN122" s="143">
        <f>AA122-AB122-AD122-AF122-AH122-AJ122-AL122</f>
        <v>0</v>
      </c>
      <c r="AO122" s="58"/>
      <c r="AP122" s="58"/>
      <c r="AQ122" s="149">
        <f>+AB122+AD122+AF122+AH122+AJ122+AL122</f>
        <v>0</v>
      </c>
      <c r="AR122" s="145">
        <f t="shared" si="10"/>
        <v>0</v>
      </c>
      <c r="AS122" s="164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</row>
    <row r="123" spans="1:58" ht="42.75" customHeight="1" x14ac:dyDescent="0.25">
      <c r="A123" s="27"/>
      <c r="B123" s="1"/>
      <c r="C123" s="9"/>
      <c r="D123" s="9"/>
      <c r="E123" s="9"/>
      <c r="F123" s="9"/>
      <c r="G123" s="56"/>
      <c r="H123" s="56"/>
      <c r="I123" s="44">
        <v>123</v>
      </c>
      <c r="J123" s="44"/>
      <c r="K123" s="56"/>
      <c r="L123" s="56"/>
      <c r="M123" s="56"/>
      <c r="N123" s="44"/>
      <c r="O123" s="57"/>
      <c r="P123" s="56"/>
      <c r="Q123" s="56"/>
      <c r="R123" s="58"/>
      <c r="S123" s="39"/>
      <c r="T123" s="39"/>
      <c r="U123" s="39"/>
      <c r="V123" s="41"/>
      <c r="W123" s="39"/>
      <c r="X123" s="39"/>
      <c r="Y123" s="39"/>
      <c r="Z123" s="41"/>
      <c r="AA123" s="40"/>
      <c r="AB123" s="40"/>
      <c r="AC123" s="40"/>
      <c r="AD123" s="39"/>
      <c r="AE123" s="39"/>
      <c r="AF123" s="42"/>
      <c r="AG123" s="42"/>
      <c r="AH123" s="42"/>
      <c r="AI123" s="42"/>
      <c r="AJ123" s="42"/>
      <c r="AK123" s="42"/>
      <c r="AL123" s="39"/>
      <c r="AM123" s="39"/>
      <c r="AN123" s="143">
        <f t="shared" si="13"/>
        <v>0</v>
      </c>
      <c r="AO123" s="58"/>
      <c r="AP123" s="58"/>
      <c r="AQ123" s="149">
        <f t="shared" si="14"/>
        <v>0</v>
      </c>
      <c r="AR123" s="145">
        <f t="shared" si="10"/>
        <v>0</v>
      </c>
      <c r="AS123" s="18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</row>
    <row r="124" spans="1:58" ht="37.5" customHeight="1" x14ac:dyDescent="0.25">
      <c r="A124" s="27"/>
      <c r="B124" s="1"/>
      <c r="C124" s="9"/>
      <c r="D124" s="9"/>
      <c r="E124" s="9"/>
      <c r="F124" s="9"/>
      <c r="G124" s="56"/>
      <c r="H124" s="56"/>
      <c r="I124" s="44">
        <v>124</v>
      </c>
      <c r="J124" s="44"/>
      <c r="K124" s="56"/>
      <c r="L124" s="56"/>
      <c r="M124" s="56"/>
      <c r="N124" s="44"/>
      <c r="O124" s="57"/>
      <c r="P124" s="56"/>
      <c r="Q124" s="56"/>
      <c r="R124" s="58"/>
      <c r="S124" s="39"/>
      <c r="T124" s="39"/>
      <c r="U124" s="39"/>
      <c r="V124" s="41"/>
      <c r="W124" s="39"/>
      <c r="X124" s="39"/>
      <c r="Y124" s="39"/>
      <c r="Z124" s="41"/>
      <c r="AA124" s="56"/>
      <c r="AB124" s="56"/>
      <c r="AC124" s="56"/>
      <c r="AD124" s="58"/>
      <c r="AE124" s="58"/>
      <c r="AF124" s="42"/>
      <c r="AG124" s="42"/>
      <c r="AH124" s="42"/>
      <c r="AI124" s="42"/>
      <c r="AJ124" s="42"/>
      <c r="AK124" s="42"/>
      <c r="AL124" s="39"/>
      <c r="AM124" s="39"/>
      <c r="AN124" s="143">
        <f>AA124-AB124-AD124-AF124-AH124-AJ124-AL124</f>
        <v>0</v>
      </c>
      <c r="AO124" s="58"/>
      <c r="AP124" s="58"/>
      <c r="AQ124" s="149">
        <f>+AB124+AD124+AF124+AH124+AJ124+AL124</f>
        <v>0</v>
      </c>
      <c r="AR124" s="145">
        <f t="shared" si="10"/>
        <v>0</v>
      </c>
      <c r="AS124" s="183"/>
      <c r="AT124" s="12" t="s">
        <v>76</v>
      </c>
      <c r="AU124" s="12" t="s">
        <v>77</v>
      </c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</row>
    <row r="125" spans="1:58" s="29" customFormat="1" ht="37.5" customHeight="1" x14ac:dyDescent="0.25">
      <c r="A125" s="27"/>
      <c r="B125" s="28"/>
      <c r="C125" s="18"/>
      <c r="D125" s="18"/>
      <c r="E125" s="9"/>
      <c r="F125" s="9"/>
      <c r="G125" s="56"/>
      <c r="H125" s="56"/>
      <c r="I125" s="44">
        <v>125</v>
      </c>
      <c r="J125" s="44"/>
      <c r="K125" s="59"/>
      <c r="L125" s="59"/>
      <c r="M125" s="59"/>
      <c r="N125" s="44"/>
      <c r="O125" s="60"/>
      <c r="P125" s="59"/>
      <c r="Q125" s="59"/>
      <c r="R125" s="61"/>
      <c r="S125" s="39"/>
      <c r="T125" s="146"/>
      <c r="U125" s="146"/>
      <c r="V125" s="146"/>
      <c r="W125" s="146"/>
      <c r="X125" s="146"/>
      <c r="Y125" s="146"/>
      <c r="Z125" s="146"/>
      <c r="AA125" s="59"/>
      <c r="AB125" s="59"/>
      <c r="AC125" s="59"/>
      <c r="AD125" s="61"/>
      <c r="AE125" s="61"/>
      <c r="AF125" s="69"/>
      <c r="AG125" s="69"/>
      <c r="AH125" s="69"/>
      <c r="AI125" s="69"/>
      <c r="AJ125" s="69"/>
      <c r="AK125" s="69"/>
      <c r="AL125" s="146"/>
      <c r="AM125" s="146"/>
      <c r="AN125" s="61">
        <f t="shared" si="13"/>
        <v>0</v>
      </c>
      <c r="AO125" s="61"/>
      <c r="AP125" s="61"/>
      <c r="AQ125" s="151">
        <f t="shared" si="14"/>
        <v>0</v>
      </c>
      <c r="AR125" s="145">
        <f t="shared" si="10"/>
        <v>0</v>
      </c>
      <c r="AS125" s="183"/>
      <c r="AT125" s="74"/>
      <c r="AU125" s="74"/>
      <c r="AV125" s="74"/>
      <c r="AW125" s="74"/>
      <c r="AX125" s="74"/>
      <c r="AY125" s="74"/>
      <c r="AZ125" s="74"/>
      <c r="BA125" s="74"/>
      <c r="BB125" s="74"/>
      <c r="BC125" s="74"/>
      <c r="BD125" s="74"/>
      <c r="BE125" s="74"/>
      <c r="BF125" s="74"/>
    </row>
    <row r="126" spans="1:58" ht="37.5" customHeight="1" x14ac:dyDescent="0.25">
      <c r="A126" s="27"/>
      <c r="B126" s="1"/>
      <c r="C126" s="9"/>
      <c r="D126" s="9"/>
      <c r="E126" s="9"/>
      <c r="F126" s="9"/>
      <c r="G126" s="56"/>
      <c r="H126" s="56"/>
      <c r="I126" s="44">
        <v>126</v>
      </c>
      <c r="J126" s="44"/>
      <c r="K126" s="56"/>
      <c r="L126" s="56"/>
      <c r="M126" s="56"/>
      <c r="N126" s="56"/>
      <c r="O126" s="57"/>
      <c r="P126" s="56"/>
      <c r="Q126" s="56"/>
      <c r="R126" s="58"/>
      <c r="S126" s="39"/>
      <c r="T126" s="39"/>
      <c r="U126" s="39"/>
      <c r="V126" s="41"/>
      <c r="W126" s="39"/>
      <c r="X126" s="39"/>
      <c r="Y126" s="39"/>
      <c r="Z126" s="41"/>
      <c r="AA126" s="56"/>
      <c r="AB126" s="56"/>
      <c r="AC126" s="56"/>
      <c r="AD126" s="58"/>
      <c r="AE126" s="58"/>
      <c r="AF126" s="42"/>
      <c r="AG126" s="42"/>
      <c r="AH126" s="42"/>
      <c r="AI126" s="42"/>
      <c r="AJ126" s="42"/>
      <c r="AK126" s="42"/>
      <c r="AL126" s="39"/>
      <c r="AM126" s="39"/>
      <c r="AN126" s="143">
        <f>AA126-AB126-AD126-AF126-AH126-AJ126-AL126</f>
        <v>0</v>
      </c>
      <c r="AO126" s="58"/>
      <c r="AP126" s="58"/>
      <c r="AQ126" s="149">
        <f>+AB126+AD126+AF126+AH126+AJ126+AL126</f>
        <v>0</v>
      </c>
      <c r="AR126" s="145">
        <f t="shared" si="10"/>
        <v>0</v>
      </c>
      <c r="AS126" s="183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</row>
    <row r="127" spans="1:58" ht="41.25" customHeight="1" x14ac:dyDescent="0.25">
      <c r="A127" s="27"/>
      <c r="B127" s="1"/>
      <c r="C127" s="9"/>
      <c r="D127" s="9"/>
      <c r="E127" s="9"/>
      <c r="F127" s="9"/>
      <c r="G127" s="56"/>
      <c r="H127" s="56"/>
      <c r="I127" s="44">
        <v>127</v>
      </c>
      <c r="J127" s="44"/>
      <c r="K127" s="56"/>
      <c r="L127" s="56"/>
      <c r="M127" s="56"/>
      <c r="N127" s="56"/>
      <c r="O127" s="57"/>
      <c r="P127" s="56"/>
      <c r="Q127" s="56"/>
      <c r="R127" s="58"/>
      <c r="S127" s="39"/>
      <c r="T127" s="39"/>
      <c r="U127" s="39"/>
      <c r="V127" s="41"/>
      <c r="W127" s="39"/>
      <c r="X127" s="39"/>
      <c r="Y127" s="39"/>
      <c r="Z127" s="41"/>
      <c r="AA127" s="56"/>
      <c r="AB127" s="56"/>
      <c r="AC127" s="56"/>
      <c r="AD127" s="58"/>
      <c r="AE127" s="58"/>
      <c r="AF127" s="42"/>
      <c r="AG127" s="42"/>
      <c r="AH127" s="42"/>
      <c r="AI127" s="42"/>
      <c r="AJ127" s="42"/>
      <c r="AK127" s="42"/>
      <c r="AL127" s="39"/>
      <c r="AM127" s="39"/>
      <c r="AN127" s="143">
        <f t="shared" si="13"/>
        <v>0</v>
      </c>
      <c r="AO127" s="58"/>
      <c r="AP127" s="58"/>
      <c r="AQ127" s="149">
        <f t="shared" si="14"/>
        <v>0</v>
      </c>
      <c r="AR127" s="145">
        <f t="shared" si="10"/>
        <v>0</v>
      </c>
      <c r="AS127" s="49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</row>
    <row r="128" spans="1:58" ht="37.5" customHeight="1" x14ac:dyDescent="0.25">
      <c r="A128" s="27"/>
      <c r="B128" s="1"/>
      <c r="C128" s="9"/>
      <c r="D128" s="9"/>
      <c r="E128" s="9"/>
      <c r="F128" s="9"/>
      <c r="G128" s="56"/>
      <c r="H128" s="56"/>
      <c r="I128" s="44">
        <v>128</v>
      </c>
      <c r="J128" s="44"/>
      <c r="K128" s="56"/>
      <c r="L128" s="56"/>
      <c r="M128" s="56"/>
      <c r="N128" s="56"/>
      <c r="O128" s="57"/>
      <c r="P128" s="56"/>
      <c r="Q128" s="56"/>
      <c r="R128" s="58"/>
      <c r="S128" s="39"/>
      <c r="T128" s="39"/>
      <c r="U128" s="39"/>
      <c r="V128" s="41"/>
      <c r="W128" s="39"/>
      <c r="X128" s="39"/>
      <c r="Y128" s="39"/>
      <c r="Z128" s="41"/>
      <c r="AA128" s="56"/>
      <c r="AB128" s="56"/>
      <c r="AC128" s="56"/>
      <c r="AD128" s="58"/>
      <c r="AE128" s="58"/>
      <c r="AF128" s="42"/>
      <c r="AG128" s="42"/>
      <c r="AH128" s="42"/>
      <c r="AI128" s="42"/>
      <c r="AJ128" s="42"/>
      <c r="AK128" s="42"/>
      <c r="AL128" s="39"/>
      <c r="AM128" s="39"/>
      <c r="AN128" s="143">
        <f t="shared" si="13"/>
        <v>0</v>
      </c>
      <c r="AO128" s="58"/>
      <c r="AP128" s="58"/>
      <c r="AQ128" s="149">
        <f t="shared" si="14"/>
        <v>0</v>
      </c>
      <c r="AR128" s="145">
        <f t="shared" si="10"/>
        <v>0</v>
      </c>
      <c r="AS128" s="164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</row>
    <row r="129" spans="1:58" ht="37.5" customHeight="1" x14ac:dyDescent="0.25">
      <c r="A129" s="27"/>
      <c r="B129" s="1"/>
      <c r="C129" s="9"/>
      <c r="D129" s="9"/>
      <c r="E129" s="9"/>
      <c r="F129" s="9"/>
      <c r="G129" s="56"/>
      <c r="H129" s="56"/>
      <c r="I129" s="44">
        <v>129</v>
      </c>
      <c r="J129" s="44"/>
      <c r="K129" s="56"/>
      <c r="L129" s="56"/>
      <c r="M129" s="56"/>
      <c r="N129" s="56"/>
      <c r="O129" s="57"/>
      <c r="P129" s="56"/>
      <c r="Q129" s="56"/>
      <c r="R129" s="58"/>
      <c r="S129" s="58"/>
      <c r="T129" s="58"/>
      <c r="U129" s="58"/>
      <c r="V129" s="143"/>
      <c r="W129" s="58"/>
      <c r="X129" s="58"/>
      <c r="Y129" s="58"/>
      <c r="Z129" s="143"/>
      <c r="AA129" s="56"/>
      <c r="AB129" s="56"/>
      <c r="AC129" s="56"/>
      <c r="AD129" s="58"/>
      <c r="AE129" s="58"/>
      <c r="AF129" s="42"/>
      <c r="AG129" s="42"/>
      <c r="AH129" s="42"/>
      <c r="AI129" s="42"/>
      <c r="AJ129" s="42"/>
      <c r="AK129" s="42"/>
      <c r="AL129" s="39"/>
      <c r="AM129" s="39"/>
      <c r="AN129" s="143">
        <f>AA129-AB129-AD129-AF129-AH129-AJ129-AL129</f>
        <v>0</v>
      </c>
      <c r="AO129" s="58"/>
      <c r="AP129" s="58"/>
      <c r="AQ129" s="149">
        <f>+AB129+AD129+AF129+AH129+AJ129+AL129</f>
        <v>0</v>
      </c>
      <c r="AR129" s="145">
        <f t="shared" si="10"/>
        <v>0</v>
      </c>
      <c r="AS129" s="49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</row>
    <row r="130" spans="1:58" s="141" customFormat="1" ht="37.5" customHeight="1" x14ac:dyDescent="0.25">
      <c r="A130" s="138"/>
      <c r="B130" s="139"/>
      <c r="C130" s="139"/>
      <c r="D130" s="139"/>
      <c r="E130" s="139"/>
      <c r="F130" s="139"/>
      <c r="G130" s="140"/>
      <c r="H130" s="140"/>
      <c r="I130" s="44">
        <v>130</v>
      </c>
      <c r="J130" s="44"/>
      <c r="K130" s="56"/>
      <c r="L130" s="56"/>
      <c r="M130" s="56"/>
      <c r="N130" s="56"/>
      <c r="O130" s="57"/>
      <c r="P130" s="56"/>
      <c r="Q130" s="56"/>
      <c r="R130" s="58"/>
      <c r="S130" s="39"/>
      <c r="T130" s="39"/>
      <c r="U130" s="39"/>
      <c r="V130" s="41"/>
      <c r="W130" s="39"/>
      <c r="X130" s="39"/>
      <c r="Y130" s="39"/>
      <c r="Z130" s="41"/>
      <c r="AA130" s="56"/>
      <c r="AB130" s="56"/>
      <c r="AC130" s="56"/>
      <c r="AD130" s="58"/>
      <c r="AE130" s="58"/>
      <c r="AF130" s="39"/>
      <c r="AG130" s="39"/>
      <c r="AH130" s="39"/>
      <c r="AI130" s="39"/>
      <c r="AJ130" s="39"/>
      <c r="AK130" s="39"/>
      <c r="AL130" s="39"/>
      <c r="AM130" s="39"/>
      <c r="AN130" s="143">
        <f t="shared" si="13"/>
        <v>0</v>
      </c>
      <c r="AO130" s="58"/>
      <c r="AP130" s="58"/>
      <c r="AQ130" s="149">
        <f t="shared" si="14"/>
        <v>0</v>
      </c>
      <c r="AR130" s="145">
        <f t="shared" ref="AR130:AR193" si="15">AN130+Z130+V130-AO130+AP130</f>
        <v>0</v>
      </c>
      <c r="AS130" s="49"/>
    </row>
    <row r="131" spans="1:58" ht="37.5" customHeight="1" x14ac:dyDescent="0.25">
      <c r="A131" s="27"/>
      <c r="B131" s="1"/>
      <c r="C131" s="9"/>
      <c r="D131" s="9"/>
      <c r="E131" s="9"/>
      <c r="F131" s="9"/>
      <c r="G131" s="56"/>
      <c r="H131" s="56"/>
      <c r="I131" s="44">
        <v>131</v>
      </c>
      <c r="J131" s="44"/>
      <c r="K131" s="56"/>
      <c r="L131" s="56"/>
      <c r="M131" s="56"/>
      <c r="N131" s="56"/>
      <c r="O131" s="62"/>
      <c r="P131" s="56"/>
      <c r="Q131" s="56"/>
      <c r="R131" s="58"/>
      <c r="S131" s="39"/>
      <c r="T131" s="39"/>
      <c r="U131" s="39"/>
      <c r="V131" s="41"/>
      <c r="W131" s="39"/>
      <c r="X131" s="39"/>
      <c r="Y131" s="39"/>
      <c r="Z131" s="41"/>
      <c r="AA131" s="56"/>
      <c r="AB131" s="56"/>
      <c r="AC131" s="56"/>
      <c r="AD131" s="58"/>
      <c r="AE131" s="58"/>
      <c r="AF131" s="42"/>
      <c r="AG131" s="42"/>
      <c r="AH131" s="42"/>
      <c r="AI131" s="42"/>
      <c r="AJ131" s="42"/>
      <c r="AK131" s="42"/>
      <c r="AL131" s="39"/>
      <c r="AM131" s="39"/>
      <c r="AN131" s="143">
        <f t="shared" si="13"/>
        <v>0</v>
      </c>
      <c r="AO131" s="58"/>
      <c r="AP131" s="58"/>
      <c r="AQ131" s="149">
        <f t="shared" si="14"/>
        <v>0</v>
      </c>
      <c r="AR131" s="145">
        <f t="shared" si="15"/>
        <v>0</v>
      </c>
      <c r="AS131" s="49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</row>
    <row r="132" spans="1:58" ht="37.5" customHeight="1" x14ac:dyDescent="0.25">
      <c r="A132" s="27"/>
      <c r="B132" s="1"/>
      <c r="C132" s="9"/>
      <c r="D132" s="9"/>
      <c r="E132" s="9"/>
      <c r="F132" s="9"/>
      <c r="G132" s="56"/>
      <c r="H132" s="56"/>
      <c r="I132" s="44">
        <v>132</v>
      </c>
      <c r="J132" s="44"/>
      <c r="K132" s="56"/>
      <c r="L132" s="56"/>
      <c r="M132" s="56"/>
      <c r="N132" s="44"/>
      <c r="O132" s="57"/>
      <c r="P132" s="56"/>
      <c r="Q132" s="56"/>
      <c r="R132" s="58"/>
      <c r="S132" s="39"/>
      <c r="T132" s="39"/>
      <c r="U132" s="39"/>
      <c r="V132" s="41"/>
      <c r="W132" s="39"/>
      <c r="X132" s="39"/>
      <c r="Y132" s="39"/>
      <c r="Z132" s="41"/>
      <c r="AA132" s="56"/>
      <c r="AB132" s="56"/>
      <c r="AC132" s="56"/>
      <c r="AD132" s="58"/>
      <c r="AE132" s="58"/>
      <c r="AF132" s="42"/>
      <c r="AG132" s="42"/>
      <c r="AH132" s="42"/>
      <c r="AI132" s="42"/>
      <c r="AJ132" s="42"/>
      <c r="AK132" s="42"/>
      <c r="AL132" s="39"/>
      <c r="AM132" s="39"/>
      <c r="AN132" s="143">
        <f t="shared" si="13"/>
        <v>0</v>
      </c>
      <c r="AO132" s="58"/>
      <c r="AP132" s="58"/>
      <c r="AQ132" s="149">
        <f t="shared" si="14"/>
        <v>0</v>
      </c>
      <c r="AR132" s="145">
        <f t="shared" si="15"/>
        <v>0</v>
      </c>
      <c r="AS132" s="49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</row>
    <row r="133" spans="1:58" s="81" customFormat="1" ht="37.5" customHeight="1" x14ac:dyDescent="0.25">
      <c r="A133" s="27"/>
      <c r="B133" s="27"/>
      <c r="C133" s="58"/>
      <c r="D133" s="58"/>
      <c r="E133" s="9"/>
      <c r="F133" s="9"/>
      <c r="G133" s="56"/>
      <c r="H133" s="56"/>
      <c r="I133" s="44">
        <v>133</v>
      </c>
      <c r="J133" s="44"/>
      <c r="K133" s="56"/>
      <c r="L133" s="56"/>
      <c r="M133" s="56"/>
      <c r="N133" s="56"/>
      <c r="O133" s="57"/>
      <c r="P133" s="56"/>
      <c r="Q133" s="56"/>
      <c r="R133" s="58"/>
      <c r="S133" s="58"/>
      <c r="T133" s="58"/>
      <c r="U133" s="58"/>
      <c r="V133" s="143"/>
      <c r="W133" s="58"/>
      <c r="X133" s="58"/>
      <c r="Y133" s="58"/>
      <c r="Z133" s="143"/>
      <c r="AA133" s="56"/>
      <c r="AB133" s="56"/>
      <c r="AC133" s="56"/>
      <c r="AD133" s="58"/>
      <c r="AE133" s="58"/>
      <c r="AF133" s="79"/>
      <c r="AG133" s="79"/>
      <c r="AH133" s="79"/>
      <c r="AI133" s="79"/>
      <c r="AJ133" s="79"/>
      <c r="AK133" s="79"/>
      <c r="AL133" s="58"/>
      <c r="AM133" s="58"/>
      <c r="AN133" s="143">
        <f t="shared" si="13"/>
        <v>0</v>
      </c>
      <c r="AO133" s="58"/>
      <c r="AP133" s="58"/>
      <c r="AQ133" s="149">
        <f t="shared" si="14"/>
        <v>0</v>
      </c>
      <c r="AR133" s="145">
        <f t="shared" si="15"/>
        <v>0</v>
      </c>
      <c r="AS133" s="49"/>
      <c r="AT133" s="80"/>
      <c r="AU133" s="80"/>
      <c r="AV133" s="80"/>
      <c r="AW133" s="80"/>
      <c r="AX133" s="80"/>
      <c r="AY133" s="80"/>
      <c r="AZ133" s="80"/>
      <c r="BA133" s="80"/>
      <c r="BB133" s="80"/>
      <c r="BC133" s="80"/>
      <c r="BD133" s="80"/>
      <c r="BE133" s="80"/>
      <c r="BF133" s="80"/>
    </row>
    <row r="134" spans="1:58" s="83" customFormat="1" ht="37.5" customHeight="1" x14ac:dyDescent="0.25">
      <c r="A134" s="27"/>
      <c r="B134" s="82"/>
      <c r="C134" s="58"/>
      <c r="D134" s="58"/>
      <c r="E134" s="9"/>
      <c r="F134" s="9"/>
      <c r="G134" s="56"/>
      <c r="H134" s="56"/>
      <c r="I134" s="44">
        <v>134</v>
      </c>
      <c r="J134" s="44"/>
      <c r="K134" s="56"/>
      <c r="L134" s="56"/>
      <c r="M134" s="56"/>
      <c r="N134" s="56"/>
      <c r="O134" s="57"/>
      <c r="P134" s="56"/>
      <c r="Q134" s="56"/>
      <c r="R134" s="58"/>
      <c r="S134" s="58"/>
      <c r="T134" s="58"/>
      <c r="U134" s="58"/>
      <c r="V134" s="143"/>
      <c r="W134" s="58"/>
      <c r="X134" s="58"/>
      <c r="Y134" s="58"/>
      <c r="Z134" s="143"/>
      <c r="AA134" s="56"/>
      <c r="AB134" s="56"/>
      <c r="AC134" s="56"/>
      <c r="AD134" s="58"/>
      <c r="AE134" s="58"/>
      <c r="AF134" s="79"/>
      <c r="AG134" s="79"/>
      <c r="AH134" s="79"/>
      <c r="AI134" s="79"/>
      <c r="AJ134" s="79"/>
      <c r="AK134" s="79"/>
      <c r="AL134" s="58"/>
      <c r="AM134" s="58"/>
      <c r="AN134" s="143">
        <f>AA134-AB134-AD134-AF134-AH134-AJ134-AL134</f>
        <v>0</v>
      </c>
      <c r="AO134" s="58"/>
      <c r="AP134" s="58"/>
      <c r="AQ134" s="149">
        <f>+AB134+AD134+AF134+AH134+AJ134+AL134</f>
        <v>0</v>
      </c>
      <c r="AR134" s="145">
        <f t="shared" si="15"/>
        <v>0</v>
      </c>
      <c r="AS134" s="49"/>
      <c r="AT134" s="80"/>
      <c r="AU134" s="80"/>
      <c r="AV134" s="80"/>
      <c r="AW134" s="80"/>
      <c r="AX134" s="80"/>
      <c r="AY134" s="80"/>
      <c r="AZ134" s="80"/>
      <c r="BA134" s="80"/>
      <c r="BB134" s="80"/>
      <c r="BC134" s="80"/>
      <c r="BD134" s="80"/>
      <c r="BE134" s="80"/>
      <c r="BF134" s="80"/>
    </row>
    <row r="135" spans="1:58" s="81" customFormat="1" ht="37.5" customHeight="1" x14ac:dyDescent="0.25">
      <c r="A135" s="27"/>
      <c r="B135" s="27"/>
      <c r="C135" s="58"/>
      <c r="D135" s="58"/>
      <c r="E135" s="9"/>
      <c r="F135" s="9"/>
      <c r="G135" s="56"/>
      <c r="H135" s="56"/>
      <c r="I135" s="44">
        <v>135</v>
      </c>
      <c r="J135" s="44"/>
      <c r="K135" s="56"/>
      <c r="L135" s="56"/>
      <c r="M135" s="56"/>
      <c r="N135" s="56"/>
      <c r="O135" s="57"/>
      <c r="P135" s="56"/>
      <c r="Q135" s="56"/>
      <c r="R135" s="58"/>
      <c r="S135" s="58"/>
      <c r="T135" s="58"/>
      <c r="U135" s="58"/>
      <c r="V135" s="143"/>
      <c r="W135" s="58"/>
      <c r="X135" s="58"/>
      <c r="Y135" s="58"/>
      <c r="Z135" s="143"/>
      <c r="AA135" s="56"/>
      <c r="AB135" s="56"/>
      <c r="AC135" s="56"/>
      <c r="AD135" s="58"/>
      <c r="AE135" s="58"/>
      <c r="AF135" s="79"/>
      <c r="AG135" s="84"/>
      <c r="AH135" s="79"/>
      <c r="AI135" s="84"/>
      <c r="AJ135" s="79"/>
      <c r="AK135" s="84"/>
      <c r="AL135" s="58"/>
      <c r="AM135" s="58"/>
      <c r="AN135" s="143">
        <f>AA135-AB135-AD135-AF135-AH135-AJ135-AL135:AL135</f>
        <v>0</v>
      </c>
      <c r="AO135" s="58"/>
      <c r="AP135" s="58"/>
      <c r="AQ135" s="149">
        <f>+AB135+AD135+AF135+AH135+AJ135+AL135</f>
        <v>0</v>
      </c>
      <c r="AR135" s="145">
        <f t="shared" si="15"/>
        <v>0</v>
      </c>
      <c r="AS135" s="49"/>
      <c r="AT135" s="80"/>
      <c r="AU135" s="80"/>
      <c r="AV135" s="80"/>
      <c r="AW135" s="80"/>
      <c r="AX135" s="80"/>
      <c r="AY135" s="80"/>
      <c r="AZ135" s="80"/>
      <c r="BA135" s="80"/>
      <c r="BB135" s="80"/>
      <c r="BC135" s="80"/>
      <c r="BD135" s="80"/>
      <c r="BE135" s="80"/>
      <c r="BF135" s="80"/>
    </row>
    <row r="136" spans="1:58" s="81" customFormat="1" ht="37.5" customHeight="1" x14ac:dyDescent="0.25">
      <c r="A136" s="27"/>
      <c r="B136" s="27"/>
      <c r="C136" s="58"/>
      <c r="D136" s="58"/>
      <c r="E136" s="9"/>
      <c r="F136" s="9"/>
      <c r="G136" s="56"/>
      <c r="H136" s="56"/>
      <c r="I136" s="44">
        <v>136</v>
      </c>
      <c r="J136" s="44"/>
      <c r="K136" s="56"/>
      <c r="L136" s="56"/>
      <c r="M136" s="56"/>
      <c r="N136" s="56"/>
      <c r="O136" s="57"/>
      <c r="P136" s="56"/>
      <c r="Q136" s="56"/>
      <c r="R136" s="58"/>
      <c r="S136" s="58"/>
      <c r="T136" s="58"/>
      <c r="U136" s="58"/>
      <c r="V136" s="143"/>
      <c r="W136" s="58"/>
      <c r="X136" s="58"/>
      <c r="Y136" s="58"/>
      <c r="Z136" s="143"/>
      <c r="AA136" s="56"/>
      <c r="AB136" s="56"/>
      <c r="AC136" s="56"/>
      <c r="AD136" s="58"/>
      <c r="AE136" s="58"/>
      <c r="AF136" s="79"/>
      <c r="AG136" s="79"/>
      <c r="AH136" s="79"/>
      <c r="AI136" s="79"/>
      <c r="AJ136" s="79"/>
      <c r="AK136" s="79"/>
      <c r="AL136" s="58"/>
      <c r="AM136" s="58"/>
      <c r="AN136" s="143">
        <f t="shared" si="13"/>
        <v>0</v>
      </c>
      <c r="AO136" s="58"/>
      <c r="AP136" s="58"/>
      <c r="AQ136" s="149">
        <f t="shared" si="14"/>
        <v>0</v>
      </c>
      <c r="AR136" s="145">
        <f t="shared" si="15"/>
        <v>0</v>
      </c>
      <c r="AS136" s="49"/>
      <c r="AT136" s="80"/>
      <c r="AU136" s="80"/>
      <c r="AV136" s="80"/>
      <c r="AW136" s="80"/>
      <c r="AX136" s="80"/>
      <c r="AY136" s="80"/>
      <c r="AZ136" s="80"/>
      <c r="BA136" s="80"/>
      <c r="BB136" s="80"/>
      <c r="BC136" s="80"/>
      <c r="BD136" s="80"/>
      <c r="BE136" s="80"/>
      <c r="BF136" s="80"/>
    </row>
    <row r="137" spans="1:58" s="81" customFormat="1" ht="37.5" customHeight="1" x14ac:dyDescent="0.25">
      <c r="A137" s="27"/>
      <c r="B137" s="27"/>
      <c r="C137" s="58"/>
      <c r="D137" s="58"/>
      <c r="E137" s="9"/>
      <c r="F137" s="9"/>
      <c r="G137" s="56"/>
      <c r="H137" s="56"/>
      <c r="I137" s="44">
        <v>137</v>
      </c>
      <c r="J137" s="44"/>
      <c r="K137" s="56"/>
      <c r="L137" s="56"/>
      <c r="M137" s="56"/>
      <c r="N137" s="57"/>
      <c r="O137" s="57"/>
      <c r="P137" s="56"/>
      <c r="Q137" s="56"/>
      <c r="R137" s="58"/>
      <c r="S137" s="58"/>
      <c r="T137" s="58"/>
      <c r="U137" s="58"/>
      <c r="V137" s="143"/>
      <c r="W137" s="58"/>
      <c r="X137" s="58"/>
      <c r="Y137" s="58"/>
      <c r="Z137" s="143"/>
      <c r="AA137" s="56"/>
      <c r="AB137" s="56"/>
      <c r="AC137" s="56"/>
      <c r="AD137" s="58"/>
      <c r="AE137" s="58"/>
      <c r="AF137" s="79"/>
      <c r="AG137" s="79"/>
      <c r="AH137" s="79"/>
      <c r="AI137" s="79"/>
      <c r="AJ137" s="79"/>
      <c r="AK137" s="79"/>
      <c r="AL137" s="58"/>
      <c r="AM137" s="58"/>
      <c r="AN137" s="143">
        <f t="shared" si="13"/>
        <v>0</v>
      </c>
      <c r="AO137" s="58"/>
      <c r="AP137" s="58"/>
      <c r="AQ137" s="149">
        <f t="shared" si="14"/>
        <v>0</v>
      </c>
      <c r="AR137" s="145">
        <f t="shared" si="15"/>
        <v>0</v>
      </c>
      <c r="AS137" s="49"/>
      <c r="AT137" s="80"/>
      <c r="AU137" s="80"/>
      <c r="AV137" s="80"/>
      <c r="AW137" s="80"/>
      <c r="AX137" s="80"/>
      <c r="AY137" s="80"/>
      <c r="AZ137" s="80"/>
      <c r="BA137" s="80"/>
      <c r="BB137" s="80"/>
      <c r="BC137" s="80"/>
      <c r="BD137" s="80"/>
      <c r="BE137" s="80"/>
      <c r="BF137" s="80"/>
    </row>
    <row r="138" spans="1:58" s="81" customFormat="1" ht="37.5" customHeight="1" x14ac:dyDescent="0.25">
      <c r="A138" s="27"/>
      <c r="B138" s="27"/>
      <c r="C138" s="58"/>
      <c r="D138" s="58"/>
      <c r="E138" s="9"/>
      <c r="F138" s="9"/>
      <c r="G138" s="56"/>
      <c r="H138" s="56"/>
      <c r="I138" s="44">
        <v>138</v>
      </c>
      <c r="J138" s="44"/>
      <c r="K138" s="56"/>
      <c r="L138" s="56"/>
      <c r="M138" s="56"/>
      <c r="N138" s="56"/>
      <c r="O138" s="57"/>
      <c r="P138" s="56"/>
      <c r="Q138" s="56"/>
      <c r="R138" s="58"/>
      <c r="S138" s="58"/>
      <c r="T138" s="58"/>
      <c r="U138" s="58"/>
      <c r="V138" s="143"/>
      <c r="W138" s="58"/>
      <c r="X138" s="58"/>
      <c r="Y138" s="58"/>
      <c r="Z138" s="143"/>
      <c r="AA138" s="56"/>
      <c r="AB138" s="56"/>
      <c r="AC138" s="56"/>
      <c r="AD138" s="58"/>
      <c r="AE138" s="58"/>
      <c r="AF138" s="79"/>
      <c r="AG138" s="79"/>
      <c r="AH138" s="79"/>
      <c r="AI138" s="112"/>
      <c r="AJ138" s="79"/>
      <c r="AK138" s="79"/>
      <c r="AL138" s="58"/>
      <c r="AM138" s="58"/>
      <c r="AN138" s="143">
        <f>AA138-AB138-AD138-AF138-AH138-AJ138-AL138</f>
        <v>0</v>
      </c>
      <c r="AO138" s="58"/>
      <c r="AP138" s="58"/>
      <c r="AQ138" s="149">
        <f>+AB138+AD138+AF138+AH138+AJ138+AL138</f>
        <v>0</v>
      </c>
      <c r="AR138" s="145">
        <f t="shared" si="15"/>
        <v>0</v>
      </c>
      <c r="AS138" s="49"/>
      <c r="AT138" s="80"/>
      <c r="AU138" s="80"/>
      <c r="AV138" s="80"/>
      <c r="AW138" s="80"/>
      <c r="AX138" s="80"/>
      <c r="AY138" s="80"/>
      <c r="AZ138" s="80"/>
      <c r="BA138" s="80"/>
      <c r="BB138" s="80"/>
      <c r="BC138" s="80"/>
      <c r="BD138" s="80"/>
      <c r="BE138" s="80"/>
      <c r="BF138" s="80"/>
    </row>
    <row r="139" spans="1:58" s="89" customFormat="1" ht="39" customHeight="1" x14ac:dyDescent="0.25">
      <c r="A139" s="27"/>
      <c r="B139" s="85"/>
      <c r="C139" s="86"/>
      <c r="D139" s="86"/>
      <c r="E139" s="9"/>
      <c r="F139" s="9"/>
      <c r="G139" s="56"/>
      <c r="H139" s="56"/>
      <c r="I139" s="44">
        <v>139</v>
      </c>
      <c r="J139" s="44"/>
      <c r="K139" s="56"/>
      <c r="L139" s="56"/>
      <c r="M139" s="56"/>
      <c r="N139" s="44"/>
      <c r="O139" s="57"/>
      <c r="P139" s="56"/>
      <c r="Q139" s="56"/>
      <c r="R139" s="58"/>
      <c r="S139" s="86"/>
      <c r="T139" s="86"/>
      <c r="U139" s="86"/>
      <c r="V139" s="188"/>
      <c r="W139" s="86"/>
      <c r="X139" s="86"/>
      <c r="Y139" s="86"/>
      <c r="Z139" s="188"/>
      <c r="AA139" s="56"/>
      <c r="AB139" s="56"/>
      <c r="AC139" s="56"/>
      <c r="AD139" s="58"/>
      <c r="AE139" s="58"/>
      <c r="AF139" s="87"/>
      <c r="AG139" s="87"/>
      <c r="AH139" s="87"/>
      <c r="AI139" s="87"/>
      <c r="AJ139" s="87"/>
      <c r="AK139" s="87"/>
      <c r="AL139" s="86"/>
      <c r="AM139" s="86"/>
      <c r="AN139" s="143">
        <f t="shared" si="13"/>
        <v>0</v>
      </c>
      <c r="AO139" s="58"/>
      <c r="AP139" s="58"/>
      <c r="AQ139" s="149">
        <f t="shared" si="14"/>
        <v>0</v>
      </c>
      <c r="AR139" s="145">
        <f t="shared" si="15"/>
        <v>0</v>
      </c>
      <c r="AS139" s="49"/>
      <c r="AT139" s="88"/>
      <c r="AU139" s="88"/>
      <c r="AV139" s="88"/>
      <c r="AW139" s="88"/>
      <c r="AX139" s="88"/>
      <c r="AY139" s="88"/>
      <c r="AZ139" s="88"/>
      <c r="BA139" s="88"/>
      <c r="BB139" s="88"/>
      <c r="BC139" s="88"/>
      <c r="BD139" s="88"/>
      <c r="BE139" s="88"/>
      <c r="BF139" s="88"/>
    </row>
    <row r="140" spans="1:58" s="89" customFormat="1" ht="39" customHeight="1" x14ac:dyDescent="0.25">
      <c r="A140" s="27"/>
      <c r="B140" s="85"/>
      <c r="C140" s="86"/>
      <c r="D140" s="86"/>
      <c r="E140" s="9"/>
      <c r="F140" s="9"/>
      <c r="G140" s="56"/>
      <c r="H140" s="56"/>
      <c r="I140" s="44">
        <v>140</v>
      </c>
      <c r="J140" s="44"/>
      <c r="K140" s="56"/>
      <c r="L140" s="56"/>
      <c r="M140" s="56"/>
      <c r="N140" s="56"/>
      <c r="O140" s="57"/>
      <c r="P140" s="56"/>
      <c r="Q140" s="56"/>
      <c r="R140" s="58"/>
      <c r="S140" s="86"/>
      <c r="T140" s="86"/>
      <c r="U140" s="86"/>
      <c r="V140" s="188"/>
      <c r="W140" s="86"/>
      <c r="X140" s="86"/>
      <c r="Y140" s="86"/>
      <c r="Z140" s="188"/>
      <c r="AA140" s="56"/>
      <c r="AB140" s="56"/>
      <c r="AC140" s="56"/>
      <c r="AD140" s="58"/>
      <c r="AE140" s="58"/>
      <c r="AF140" s="87"/>
      <c r="AG140" s="87"/>
      <c r="AH140" s="87"/>
      <c r="AI140" s="87"/>
      <c r="AJ140" s="87"/>
      <c r="AK140" s="87"/>
      <c r="AL140" s="86"/>
      <c r="AM140" s="86"/>
      <c r="AN140" s="143">
        <f t="shared" si="13"/>
        <v>0</v>
      </c>
      <c r="AO140" s="58"/>
      <c r="AP140" s="58"/>
      <c r="AQ140" s="149">
        <f t="shared" si="14"/>
        <v>0</v>
      </c>
      <c r="AR140" s="145">
        <f t="shared" si="15"/>
        <v>0</v>
      </c>
      <c r="AS140" s="49"/>
      <c r="AT140" s="88"/>
      <c r="AU140" s="88"/>
      <c r="AV140" s="88"/>
      <c r="AW140" s="88"/>
      <c r="AX140" s="88"/>
      <c r="AY140" s="88"/>
      <c r="AZ140" s="88"/>
      <c r="BA140" s="88"/>
      <c r="BB140" s="88"/>
      <c r="BC140" s="88"/>
      <c r="BD140" s="88"/>
      <c r="BE140" s="88"/>
      <c r="BF140" s="88"/>
    </row>
    <row r="141" spans="1:58" s="89" customFormat="1" ht="43.5" customHeight="1" x14ac:dyDescent="0.25">
      <c r="A141" s="27"/>
      <c r="B141" s="85"/>
      <c r="C141" s="86"/>
      <c r="D141" s="86"/>
      <c r="E141" s="9"/>
      <c r="F141" s="9"/>
      <c r="G141" s="56"/>
      <c r="H141" s="56"/>
      <c r="I141" s="44">
        <v>141</v>
      </c>
      <c r="J141" s="44"/>
      <c r="K141" s="125"/>
      <c r="L141" s="125"/>
      <c r="M141" s="125"/>
      <c r="N141" s="44"/>
      <c r="O141" s="126"/>
      <c r="P141" s="125"/>
      <c r="Q141" s="104"/>
      <c r="R141" s="58"/>
      <c r="S141" s="86"/>
      <c r="T141" s="86"/>
      <c r="U141" s="86"/>
      <c r="V141" s="188"/>
      <c r="W141" s="86"/>
      <c r="X141" s="86"/>
      <c r="Y141" s="86"/>
      <c r="Z141" s="188"/>
      <c r="AA141" s="56"/>
      <c r="AB141" s="56"/>
      <c r="AC141" s="56"/>
      <c r="AD141" s="58"/>
      <c r="AE141" s="58"/>
      <c r="AF141" s="87"/>
      <c r="AG141" s="87"/>
      <c r="AH141" s="87"/>
      <c r="AI141" s="87"/>
      <c r="AJ141" s="87"/>
      <c r="AK141" s="87"/>
      <c r="AL141" s="86"/>
      <c r="AM141" s="86"/>
      <c r="AN141" s="143">
        <f t="shared" si="13"/>
        <v>0</v>
      </c>
      <c r="AO141" s="58"/>
      <c r="AP141" s="58"/>
      <c r="AQ141" s="149">
        <f t="shared" si="14"/>
        <v>0</v>
      </c>
      <c r="AR141" s="145">
        <f t="shared" si="15"/>
        <v>0</v>
      </c>
      <c r="AS141" s="49"/>
      <c r="AT141" s="88"/>
      <c r="AU141" s="88"/>
      <c r="AV141" s="88"/>
      <c r="AW141" s="88"/>
      <c r="AX141" s="88"/>
      <c r="AY141" s="88"/>
      <c r="AZ141" s="88"/>
      <c r="BA141" s="88"/>
      <c r="BB141" s="88"/>
      <c r="BC141" s="88"/>
      <c r="BD141" s="88"/>
      <c r="BE141" s="88"/>
      <c r="BF141" s="88"/>
    </row>
    <row r="142" spans="1:58" s="81" customFormat="1" ht="37.5" customHeight="1" x14ac:dyDescent="0.25">
      <c r="A142" s="27"/>
      <c r="B142" s="27"/>
      <c r="C142" s="58"/>
      <c r="D142" s="58"/>
      <c r="E142" s="9"/>
      <c r="F142" s="9"/>
      <c r="G142" s="56"/>
      <c r="H142" s="56"/>
      <c r="I142" s="44">
        <v>142</v>
      </c>
      <c r="J142" s="44"/>
      <c r="K142" s="56"/>
      <c r="L142" s="56"/>
      <c r="M142" s="56"/>
      <c r="N142" s="56"/>
      <c r="O142" s="57"/>
      <c r="P142" s="56"/>
      <c r="Q142" s="56"/>
      <c r="R142" s="58"/>
      <c r="S142" s="58"/>
      <c r="T142" s="58"/>
      <c r="U142" s="58"/>
      <c r="V142" s="143"/>
      <c r="W142" s="58"/>
      <c r="X142" s="58"/>
      <c r="Y142" s="58"/>
      <c r="Z142" s="143"/>
      <c r="AA142" s="56"/>
      <c r="AB142" s="56"/>
      <c r="AC142" s="56"/>
      <c r="AD142" s="58"/>
      <c r="AE142" s="58"/>
      <c r="AF142" s="79"/>
      <c r="AG142" s="79"/>
      <c r="AH142" s="79"/>
      <c r="AI142" s="79"/>
      <c r="AJ142" s="79"/>
      <c r="AK142" s="79"/>
      <c r="AL142" s="58"/>
      <c r="AM142" s="58"/>
      <c r="AN142" s="143">
        <f t="shared" si="13"/>
        <v>0</v>
      </c>
      <c r="AO142" s="58"/>
      <c r="AP142" s="58"/>
      <c r="AQ142" s="149">
        <f t="shared" si="14"/>
        <v>0</v>
      </c>
      <c r="AR142" s="145">
        <f t="shared" si="15"/>
        <v>0</v>
      </c>
      <c r="AS142" s="49"/>
      <c r="AT142" s="80"/>
      <c r="AU142" s="80"/>
      <c r="AV142" s="80"/>
      <c r="AW142" s="80"/>
      <c r="AX142" s="80"/>
      <c r="AY142" s="80"/>
      <c r="AZ142" s="80"/>
      <c r="BA142" s="80"/>
      <c r="BB142" s="80"/>
      <c r="BC142" s="80"/>
      <c r="BD142" s="80"/>
      <c r="BE142" s="80"/>
      <c r="BF142" s="80"/>
    </row>
    <row r="143" spans="1:58" s="81" customFormat="1" ht="37.5" customHeight="1" x14ac:dyDescent="0.25">
      <c r="A143" s="27"/>
      <c r="B143" s="27"/>
      <c r="C143" s="58"/>
      <c r="D143" s="58"/>
      <c r="E143" s="9"/>
      <c r="F143" s="9"/>
      <c r="G143" s="56"/>
      <c r="H143" s="56"/>
      <c r="I143" s="44">
        <v>143</v>
      </c>
      <c r="J143" s="44"/>
      <c r="K143" s="56"/>
      <c r="L143" s="56"/>
      <c r="M143" s="56"/>
      <c r="N143" s="44"/>
      <c r="O143" s="57"/>
      <c r="P143" s="56"/>
      <c r="Q143" s="56"/>
      <c r="R143" s="58"/>
      <c r="S143" s="58"/>
      <c r="T143" s="58"/>
      <c r="U143" s="58"/>
      <c r="V143" s="143"/>
      <c r="W143" s="58"/>
      <c r="X143" s="58"/>
      <c r="Y143" s="58"/>
      <c r="Z143" s="143"/>
      <c r="AA143" s="56"/>
      <c r="AB143" s="56"/>
      <c r="AC143" s="192"/>
      <c r="AD143" s="58"/>
      <c r="AE143" s="58"/>
      <c r="AF143" s="79"/>
      <c r="AG143" s="79"/>
      <c r="AH143" s="79"/>
      <c r="AI143" s="112"/>
      <c r="AJ143" s="79"/>
      <c r="AK143" s="79"/>
      <c r="AL143" s="58"/>
      <c r="AM143" s="58"/>
      <c r="AN143" s="143">
        <f t="shared" si="13"/>
        <v>0</v>
      </c>
      <c r="AO143" s="58"/>
      <c r="AP143" s="58"/>
      <c r="AQ143" s="149">
        <f t="shared" si="14"/>
        <v>0</v>
      </c>
      <c r="AR143" s="145">
        <f t="shared" si="15"/>
        <v>0</v>
      </c>
      <c r="AS143" s="49"/>
      <c r="AT143" s="80"/>
      <c r="AU143" s="80"/>
      <c r="AV143" s="80"/>
      <c r="AW143" s="80"/>
      <c r="AX143" s="80"/>
      <c r="AY143" s="80"/>
      <c r="AZ143" s="80"/>
      <c r="BA143" s="80"/>
      <c r="BB143" s="80"/>
      <c r="BC143" s="80"/>
      <c r="BD143" s="80"/>
      <c r="BE143" s="80"/>
      <c r="BF143" s="80"/>
    </row>
    <row r="144" spans="1:58" ht="37.5" customHeight="1" x14ac:dyDescent="0.25">
      <c r="A144" s="27"/>
      <c r="B144" s="1"/>
      <c r="C144" s="9"/>
      <c r="D144" s="9"/>
      <c r="E144" s="9"/>
      <c r="F144" s="9"/>
      <c r="G144" s="56"/>
      <c r="H144" s="56"/>
      <c r="I144" s="44">
        <v>144</v>
      </c>
      <c r="J144" s="44"/>
      <c r="K144" s="56"/>
      <c r="L144" s="56"/>
      <c r="M144" s="56"/>
      <c r="N144" s="56"/>
      <c r="O144" s="57"/>
      <c r="P144" s="56"/>
      <c r="Q144" s="56"/>
      <c r="R144" s="58"/>
      <c r="S144" s="39"/>
      <c r="T144" s="39"/>
      <c r="U144" s="39"/>
      <c r="V144" s="41"/>
      <c r="W144" s="39"/>
      <c r="X144" s="39"/>
      <c r="Y144" s="39"/>
      <c r="Z144" s="41"/>
      <c r="AA144" s="56"/>
      <c r="AB144" s="56"/>
      <c r="AC144" s="56"/>
      <c r="AD144" s="58"/>
      <c r="AE144" s="58"/>
      <c r="AF144" s="42"/>
      <c r="AG144" s="42"/>
      <c r="AH144" s="42"/>
      <c r="AI144" s="42"/>
      <c r="AJ144" s="42"/>
      <c r="AK144" s="42"/>
      <c r="AL144" s="39"/>
      <c r="AM144" s="39"/>
      <c r="AN144" s="143">
        <f>AA144-AB144-AD144-AF144-AH144-AJ144-AL144</f>
        <v>0</v>
      </c>
      <c r="AO144" s="58"/>
      <c r="AP144" s="58"/>
      <c r="AQ144" s="149">
        <f>+AB144+AD144+AF144+AH144+AJ144+AL144</f>
        <v>0</v>
      </c>
      <c r="AR144" s="145">
        <f t="shared" si="15"/>
        <v>0</v>
      </c>
      <c r="AS144" s="49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</row>
    <row r="145" spans="1:58" ht="37.5" customHeight="1" x14ac:dyDescent="0.25">
      <c r="A145" s="27"/>
      <c r="B145" s="1"/>
      <c r="C145" s="9"/>
      <c r="D145" s="9"/>
      <c r="E145" s="9"/>
      <c r="F145" s="9"/>
      <c r="G145" s="56"/>
      <c r="H145" s="56"/>
      <c r="I145" s="44">
        <v>145</v>
      </c>
      <c r="J145" s="44"/>
      <c r="K145" s="56"/>
      <c r="L145" s="56"/>
      <c r="M145" s="56"/>
      <c r="N145" s="56"/>
      <c r="O145" s="57"/>
      <c r="P145" s="56"/>
      <c r="Q145" s="56"/>
      <c r="R145" s="58"/>
      <c r="S145" s="39"/>
      <c r="T145" s="39"/>
      <c r="U145" s="39"/>
      <c r="V145" s="41"/>
      <c r="W145" s="39"/>
      <c r="X145" s="39"/>
      <c r="Y145" s="39"/>
      <c r="Z145" s="41"/>
      <c r="AA145" s="56"/>
      <c r="AB145" s="56"/>
      <c r="AC145" s="56"/>
      <c r="AD145" s="56"/>
      <c r="AE145" s="56"/>
      <c r="AF145" s="42"/>
      <c r="AG145" s="42"/>
      <c r="AH145" s="42"/>
      <c r="AI145" s="42"/>
      <c r="AJ145" s="42"/>
      <c r="AK145" s="42"/>
      <c r="AL145" s="39"/>
      <c r="AM145" s="39"/>
      <c r="AN145" s="143">
        <f t="shared" si="13"/>
        <v>0</v>
      </c>
      <c r="AO145" s="58"/>
      <c r="AP145" s="58"/>
      <c r="AQ145" s="149">
        <f t="shared" si="14"/>
        <v>0</v>
      </c>
      <c r="AR145" s="145">
        <f t="shared" si="15"/>
        <v>0</v>
      </c>
      <c r="AS145" s="49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</row>
    <row r="146" spans="1:58" s="12" customFormat="1" ht="37.5" customHeight="1" x14ac:dyDescent="0.25">
      <c r="A146" s="27"/>
      <c r="B146" s="9"/>
      <c r="C146" s="9"/>
      <c r="D146" s="9"/>
      <c r="E146" s="9"/>
      <c r="F146" s="9"/>
      <c r="G146" s="56"/>
      <c r="H146" s="56"/>
      <c r="I146" s="44">
        <v>146</v>
      </c>
      <c r="J146" s="44"/>
      <c r="K146" s="56"/>
      <c r="L146" s="56"/>
      <c r="M146" s="56"/>
      <c r="N146" s="44"/>
      <c r="O146" s="57"/>
      <c r="P146" s="56"/>
      <c r="Q146" s="56"/>
      <c r="R146" s="58"/>
      <c r="S146" s="39"/>
      <c r="T146" s="39"/>
      <c r="U146" s="39"/>
      <c r="V146" s="41"/>
      <c r="W146" s="39"/>
      <c r="X146" s="39"/>
      <c r="Y146" s="39"/>
      <c r="Z146" s="41"/>
      <c r="AA146" s="56"/>
      <c r="AB146" s="56"/>
      <c r="AC146" s="56"/>
      <c r="AD146" s="58"/>
      <c r="AE146" s="163"/>
      <c r="AF146" s="42"/>
      <c r="AG146" s="42"/>
      <c r="AH146" s="42"/>
      <c r="AI146" s="42"/>
      <c r="AJ146" s="42"/>
      <c r="AK146" s="42"/>
      <c r="AL146" s="39"/>
      <c r="AM146" s="39"/>
      <c r="AN146" s="143">
        <f t="shared" si="13"/>
        <v>0</v>
      </c>
      <c r="AO146" s="58"/>
      <c r="AP146" s="58"/>
      <c r="AQ146" s="149">
        <f t="shared" si="14"/>
        <v>0</v>
      </c>
      <c r="AR146" s="145">
        <f t="shared" si="15"/>
        <v>0</v>
      </c>
      <c r="AS146" s="49"/>
    </row>
    <row r="147" spans="1:58" ht="37.5" customHeight="1" x14ac:dyDescent="0.25">
      <c r="A147" s="27"/>
      <c r="B147" s="1"/>
      <c r="C147" s="9"/>
      <c r="D147" s="9"/>
      <c r="E147" s="9"/>
      <c r="F147" s="9"/>
      <c r="G147" s="56"/>
      <c r="H147" s="56"/>
      <c r="I147" s="44">
        <v>147</v>
      </c>
      <c r="J147" s="44"/>
      <c r="K147" s="56"/>
      <c r="L147" s="56"/>
      <c r="M147" s="56"/>
      <c r="N147" s="56"/>
      <c r="O147" s="57"/>
      <c r="P147" s="56"/>
      <c r="Q147" s="56"/>
      <c r="R147" s="58"/>
      <c r="S147" s="39"/>
      <c r="T147" s="39"/>
      <c r="U147" s="39"/>
      <c r="V147" s="41"/>
      <c r="W147" s="39"/>
      <c r="X147" s="39"/>
      <c r="Y147" s="39"/>
      <c r="Z147" s="41"/>
      <c r="AA147" s="56"/>
      <c r="AB147" s="56"/>
      <c r="AC147" s="56"/>
      <c r="AD147" s="58"/>
      <c r="AE147" s="58"/>
      <c r="AF147" s="42"/>
      <c r="AG147" s="42"/>
      <c r="AH147" s="42"/>
      <c r="AI147" s="42"/>
      <c r="AJ147" s="42"/>
      <c r="AK147" s="42"/>
      <c r="AL147" s="39"/>
      <c r="AM147" s="39"/>
      <c r="AN147" s="143">
        <f t="shared" si="13"/>
        <v>0</v>
      </c>
      <c r="AO147" s="58"/>
      <c r="AP147" s="58"/>
      <c r="AQ147" s="149">
        <f t="shared" si="14"/>
        <v>0</v>
      </c>
      <c r="AR147" s="145">
        <f t="shared" si="15"/>
        <v>0</v>
      </c>
      <c r="AS147" s="49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</row>
    <row r="148" spans="1:58" ht="37.5" customHeight="1" x14ac:dyDescent="0.25">
      <c r="A148" s="27"/>
      <c r="B148" s="1"/>
      <c r="C148" s="9"/>
      <c r="D148" s="9"/>
      <c r="E148" s="9"/>
      <c r="F148" s="9"/>
      <c r="G148" s="56"/>
      <c r="H148" s="56"/>
      <c r="I148" s="44">
        <v>148</v>
      </c>
      <c r="J148" s="44"/>
      <c r="K148" s="56"/>
      <c r="L148" s="56"/>
      <c r="M148" s="56"/>
      <c r="N148" s="44"/>
      <c r="O148" s="57"/>
      <c r="P148" s="56"/>
      <c r="Q148" s="56"/>
      <c r="R148" s="58"/>
      <c r="S148" s="39"/>
      <c r="T148" s="39"/>
      <c r="U148" s="39"/>
      <c r="V148" s="41"/>
      <c r="W148" s="39"/>
      <c r="X148" s="39"/>
      <c r="Y148" s="39"/>
      <c r="Z148" s="41"/>
      <c r="AA148" s="56"/>
      <c r="AB148" s="56"/>
      <c r="AC148" s="56"/>
      <c r="AD148" s="58"/>
      <c r="AE148" s="58"/>
      <c r="AF148" s="42"/>
      <c r="AG148" s="42"/>
      <c r="AH148" s="42"/>
      <c r="AI148" s="42"/>
      <c r="AJ148" s="42"/>
      <c r="AK148" s="42"/>
      <c r="AL148" s="39"/>
      <c r="AM148" s="39"/>
      <c r="AN148" s="143">
        <f t="shared" si="13"/>
        <v>0</v>
      </c>
      <c r="AO148" s="58"/>
      <c r="AP148" s="58"/>
      <c r="AQ148" s="149">
        <f t="shared" si="14"/>
        <v>0</v>
      </c>
      <c r="AR148" s="145">
        <f t="shared" si="15"/>
        <v>0</v>
      </c>
      <c r="AS148" s="49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</row>
    <row r="149" spans="1:58" ht="37.5" customHeight="1" x14ac:dyDescent="0.25">
      <c r="A149" s="27"/>
      <c r="B149" s="1"/>
      <c r="C149" s="9"/>
      <c r="D149" s="9"/>
      <c r="E149" s="9"/>
      <c r="F149" s="9"/>
      <c r="G149" s="56"/>
      <c r="H149" s="56"/>
      <c r="I149" s="44">
        <v>149</v>
      </c>
      <c r="J149" s="44"/>
      <c r="K149" s="56"/>
      <c r="L149" s="56"/>
      <c r="M149" s="56"/>
      <c r="N149" s="56"/>
      <c r="O149" s="57"/>
      <c r="P149" s="56"/>
      <c r="Q149" s="56"/>
      <c r="R149" s="58"/>
      <c r="S149" s="39"/>
      <c r="T149" s="39"/>
      <c r="U149" s="39"/>
      <c r="V149" s="41"/>
      <c r="W149" s="39"/>
      <c r="X149" s="39"/>
      <c r="Y149" s="39"/>
      <c r="Z149" s="41"/>
      <c r="AA149" s="56"/>
      <c r="AB149" s="56"/>
      <c r="AC149" s="56"/>
      <c r="AD149" s="58"/>
      <c r="AE149" s="58"/>
      <c r="AF149" s="42"/>
      <c r="AG149" s="42"/>
      <c r="AH149" s="42"/>
      <c r="AI149" s="42"/>
      <c r="AJ149" s="42"/>
      <c r="AK149" s="42"/>
      <c r="AL149" s="39"/>
      <c r="AM149" s="39"/>
      <c r="AN149" s="143">
        <f t="shared" si="13"/>
        <v>0</v>
      </c>
      <c r="AO149" s="58"/>
      <c r="AP149" s="58"/>
      <c r="AQ149" s="149">
        <f t="shared" si="14"/>
        <v>0</v>
      </c>
      <c r="AR149" s="145">
        <f t="shared" si="15"/>
        <v>0</v>
      </c>
      <c r="AS149" s="49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</row>
    <row r="150" spans="1:58" s="24" customFormat="1" ht="53.25" customHeight="1" x14ac:dyDescent="0.25">
      <c r="A150" s="27"/>
      <c r="B150" s="23"/>
      <c r="C150" s="9"/>
      <c r="D150" s="9"/>
      <c r="E150" s="9"/>
      <c r="F150" s="9"/>
      <c r="G150" s="56"/>
      <c r="H150" s="56"/>
      <c r="I150" s="44">
        <v>150</v>
      </c>
      <c r="J150" s="44"/>
      <c r="K150" s="56"/>
      <c r="L150" s="56"/>
      <c r="M150" s="56"/>
      <c r="N150" s="56"/>
      <c r="O150" s="57"/>
      <c r="P150" s="56"/>
      <c r="Q150" s="56"/>
      <c r="R150" s="58"/>
      <c r="S150" s="39"/>
      <c r="T150" s="39"/>
      <c r="U150" s="39"/>
      <c r="V150" s="41"/>
      <c r="W150" s="39"/>
      <c r="X150" s="39"/>
      <c r="Y150" s="39"/>
      <c r="Z150" s="41"/>
      <c r="AA150" s="56"/>
      <c r="AB150" s="56"/>
      <c r="AC150" s="56"/>
      <c r="AD150" s="58"/>
      <c r="AE150" s="58"/>
      <c r="AF150" s="42"/>
      <c r="AG150" s="42"/>
      <c r="AH150" s="42"/>
      <c r="AI150" s="42"/>
      <c r="AJ150" s="42"/>
      <c r="AK150" s="42"/>
      <c r="AL150" s="39"/>
      <c r="AM150" s="39"/>
      <c r="AN150" s="143">
        <f t="shared" si="13"/>
        <v>0</v>
      </c>
      <c r="AO150" s="58"/>
      <c r="AP150" s="58"/>
      <c r="AQ150" s="149">
        <f t="shared" si="14"/>
        <v>0</v>
      </c>
      <c r="AR150" s="145">
        <f t="shared" si="15"/>
        <v>0</v>
      </c>
      <c r="AS150" s="49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</row>
    <row r="151" spans="1:58" ht="37.5" customHeight="1" x14ac:dyDescent="0.25">
      <c r="A151" s="27"/>
      <c r="B151" s="1"/>
      <c r="C151" s="9"/>
      <c r="D151" s="9"/>
      <c r="E151" s="9"/>
      <c r="F151" s="9"/>
      <c r="G151" s="56"/>
      <c r="H151" s="56"/>
      <c r="I151" s="44">
        <v>151</v>
      </c>
      <c r="J151" s="44"/>
      <c r="K151" s="56"/>
      <c r="L151" s="56"/>
      <c r="M151" s="56"/>
      <c r="N151" s="44"/>
      <c r="O151" s="57"/>
      <c r="P151" s="56"/>
      <c r="Q151" s="56"/>
      <c r="R151" s="58"/>
      <c r="S151" s="39"/>
      <c r="T151" s="39"/>
      <c r="U151" s="39"/>
      <c r="V151" s="41"/>
      <c r="W151" s="39"/>
      <c r="X151" s="39"/>
      <c r="Y151" s="39"/>
      <c r="Z151" s="41"/>
      <c r="AA151" s="56"/>
      <c r="AB151" s="56"/>
      <c r="AC151" s="56"/>
      <c r="AD151" s="58"/>
      <c r="AE151" s="58"/>
      <c r="AF151" s="42"/>
      <c r="AG151" s="42"/>
      <c r="AH151" s="42"/>
      <c r="AI151" s="42"/>
      <c r="AJ151" s="42"/>
      <c r="AK151" s="42"/>
      <c r="AL151" s="39"/>
      <c r="AM151" s="39"/>
      <c r="AN151" s="143">
        <f t="shared" si="13"/>
        <v>0</v>
      </c>
      <c r="AO151" s="58"/>
      <c r="AP151" s="58"/>
      <c r="AQ151" s="149">
        <f t="shared" si="14"/>
        <v>0</v>
      </c>
      <c r="AR151" s="145">
        <f t="shared" si="15"/>
        <v>0</v>
      </c>
      <c r="AS151" s="49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</row>
    <row r="152" spans="1:58" ht="37.5" customHeight="1" x14ac:dyDescent="0.25">
      <c r="A152" s="27"/>
      <c r="B152" s="1"/>
      <c r="C152" s="9"/>
      <c r="D152" s="9"/>
      <c r="E152" s="9"/>
      <c r="F152" s="9"/>
      <c r="G152" s="56"/>
      <c r="H152" s="56"/>
      <c r="I152" s="44">
        <v>152</v>
      </c>
      <c r="J152" s="44"/>
      <c r="K152" s="56"/>
      <c r="L152" s="56"/>
      <c r="M152" s="56"/>
      <c r="N152" s="44"/>
      <c r="O152" s="57"/>
      <c r="P152" s="56"/>
      <c r="Q152" s="56"/>
      <c r="R152" s="58"/>
      <c r="S152" s="39"/>
      <c r="T152" s="39"/>
      <c r="U152" s="39"/>
      <c r="V152" s="41"/>
      <c r="W152" s="39"/>
      <c r="X152" s="39"/>
      <c r="Y152" s="39"/>
      <c r="Z152" s="41"/>
      <c r="AA152" s="56"/>
      <c r="AB152" s="56"/>
      <c r="AC152" s="56"/>
      <c r="AD152" s="58"/>
      <c r="AE152" s="58"/>
      <c r="AF152" s="42"/>
      <c r="AG152" s="42"/>
      <c r="AH152" s="42"/>
      <c r="AI152" s="42"/>
      <c r="AJ152" s="42"/>
      <c r="AK152" s="42"/>
      <c r="AL152" s="39"/>
      <c r="AM152" s="39"/>
      <c r="AN152" s="143">
        <f t="shared" si="13"/>
        <v>0</v>
      </c>
      <c r="AO152" s="58"/>
      <c r="AP152" s="58"/>
      <c r="AQ152" s="149">
        <f t="shared" si="14"/>
        <v>0</v>
      </c>
      <c r="AR152" s="145">
        <f t="shared" si="15"/>
        <v>0</v>
      </c>
      <c r="AS152" s="49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</row>
    <row r="153" spans="1:58" ht="29.25" customHeight="1" x14ac:dyDescent="0.25">
      <c r="A153" s="27"/>
      <c r="B153" s="1"/>
      <c r="C153" s="9"/>
      <c r="D153" s="9"/>
      <c r="E153" s="9"/>
      <c r="F153" s="9"/>
      <c r="G153" s="56"/>
      <c r="H153" s="56"/>
      <c r="I153" s="44">
        <v>153</v>
      </c>
      <c r="J153" s="44"/>
      <c r="K153" s="56"/>
      <c r="L153" s="56"/>
      <c r="M153" s="56"/>
      <c r="N153" s="56"/>
      <c r="O153" s="57"/>
      <c r="P153" s="56"/>
      <c r="Q153" s="56"/>
      <c r="R153" s="58"/>
      <c r="S153" s="39"/>
      <c r="T153" s="39"/>
      <c r="U153" s="39"/>
      <c r="V153" s="41"/>
      <c r="W153" s="39"/>
      <c r="X153" s="39"/>
      <c r="Y153" s="39"/>
      <c r="Z153" s="41"/>
      <c r="AA153" s="56"/>
      <c r="AB153" s="56"/>
      <c r="AC153" s="56"/>
      <c r="AD153" s="58"/>
      <c r="AE153" s="58"/>
      <c r="AF153" s="42"/>
      <c r="AG153" s="42"/>
      <c r="AH153" s="42"/>
      <c r="AI153" s="42"/>
      <c r="AJ153" s="42"/>
      <c r="AK153" s="42"/>
      <c r="AL153" s="39"/>
      <c r="AM153" s="39"/>
      <c r="AN153" s="143">
        <f t="shared" si="13"/>
        <v>0</v>
      </c>
      <c r="AO153" s="58"/>
      <c r="AP153" s="58"/>
      <c r="AQ153" s="149">
        <f t="shared" si="14"/>
        <v>0</v>
      </c>
      <c r="AR153" s="145">
        <f t="shared" si="15"/>
        <v>0</v>
      </c>
      <c r="AS153" s="49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</row>
    <row r="154" spans="1:58" ht="37.5" customHeight="1" x14ac:dyDescent="0.25">
      <c r="A154" s="27"/>
      <c r="B154" s="20"/>
      <c r="C154" s="34"/>
      <c r="D154" s="34"/>
      <c r="E154" s="9"/>
      <c r="F154" s="9"/>
      <c r="G154" s="56"/>
      <c r="H154" s="90"/>
      <c r="I154" s="44">
        <v>154</v>
      </c>
      <c r="J154" s="177"/>
      <c r="K154" s="90"/>
      <c r="L154" s="90"/>
      <c r="M154" s="90"/>
      <c r="N154" s="44"/>
      <c r="O154" s="91"/>
      <c r="P154" s="90"/>
      <c r="Q154" s="90"/>
      <c r="R154" s="105"/>
      <c r="S154" s="39"/>
      <c r="T154" s="155"/>
      <c r="U154" s="155"/>
      <c r="V154" s="189"/>
      <c r="W154" s="155"/>
      <c r="X154" s="155"/>
      <c r="Y154" s="155"/>
      <c r="Z154" s="189"/>
      <c r="AA154" s="90"/>
      <c r="AB154" s="90"/>
      <c r="AC154" s="90"/>
      <c r="AD154" s="56"/>
      <c r="AE154" s="56"/>
      <c r="AF154" s="78"/>
      <c r="AG154" s="70"/>
      <c r="AH154" s="70"/>
      <c r="AI154" s="70"/>
      <c r="AJ154" s="70"/>
      <c r="AK154" s="70"/>
      <c r="AL154" s="155"/>
      <c r="AM154" s="155"/>
      <c r="AN154" s="150">
        <f t="shared" si="13"/>
        <v>0</v>
      </c>
      <c r="AO154" s="105"/>
      <c r="AP154" s="105"/>
      <c r="AQ154" s="149">
        <f t="shared" si="14"/>
        <v>0</v>
      </c>
      <c r="AR154" s="145">
        <f t="shared" si="15"/>
        <v>0</v>
      </c>
      <c r="AS154" s="49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</row>
    <row r="155" spans="1:58" s="1" customFormat="1" ht="47.25" customHeight="1" x14ac:dyDescent="0.25">
      <c r="A155" s="27"/>
      <c r="C155" s="9"/>
      <c r="D155" s="9"/>
      <c r="E155" s="9"/>
      <c r="F155" s="9"/>
      <c r="G155" s="56"/>
      <c r="H155" s="56"/>
      <c r="I155" s="44">
        <v>155</v>
      </c>
      <c r="J155" s="44"/>
      <c r="K155" s="56"/>
      <c r="L155" s="56"/>
      <c r="M155" s="56"/>
      <c r="N155" s="92"/>
      <c r="O155" s="57"/>
      <c r="P155" s="56"/>
      <c r="Q155" s="56"/>
      <c r="R155" s="58"/>
      <c r="S155" s="39"/>
      <c r="T155" s="39"/>
      <c r="U155" s="39"/>
      <c r="V155" s="41"/>
      <c r="W155" s="39"/>
      <c r="X155" s="39"/>
      <c r="Y155" s="39"/>
      <c r="Z155" s="41"/>
      <c r="AA155" s="56"/>
      <c r="AB155" s="56"/>
      <c r="AC155" s="56"/>
      <c r="AD155" s="58"/>
      <c r="AE155" s="58"/>
      <c r="AF155" s="42"/>
      <c r="AG155" s="42"/>
      <c r="AH155" s="42"/>
      <c r="AI155" s="42"/>
      <c r="AJ155" s="42"/>
      <c r="AK155" s="42"/>
      <c r="AL155" s="39"/>
      <c r="AM155" s="39"/>
      <c r="AN155" s="143">
        <f>AA155-AB155-AD155-AF155-AH155-AJ155-AL155</f>
        <v>0</v>
      </c>
      <c r="AO155" s="58"/>
      <c r="AP155" s="58"/>
      <c r="AQ155" s="149">
        <f>+AB155+AD155+AF155+AH155+AJ155+AL155</f>
        <v>0</v>
      </c>
      <c r="AR155" s="145">
        <f t="shared" si="15"/>
        <v>0</v>
      </c>
      <c r="AS155" s="4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</row>
    <row r="156" spans="1:58" ht="37.5" customHeight="1" x14ac:dyDescent="0.25">
      <c r="A156" s="27"/>
      <c r="B156" s="21"/>
      <c r="C156" s="35"/>
      <c r="D156" s="35"/>
      <c r="E156" s="9"/>
      <c r="F156" s="9"/>
      <c r="G156" s="56"/>
      <c r="H156" s="92"/>
      <c r="I156" s="44">
        <v>156</v>
      </c>
      <c r="J156" s="178"/>
      <c r="K156" s="92"/>
      <c r="L156" s="92"/>
      <c r="M156" s="92"/>
      <c r="N156" s="92"/>
      <c r="O156" s="93"/>
      <c r="P156" s="92"/>
      <c r="Q156" s="92"/>
      <c r="R156" s="106"/>
      <c r="S156" s="39"/>
      <c r="T156" s="156"/>
      <c r="U156" s="156"/>
      <c r="V156" s="190"/>
      <c r="W156" s="156"/>
      <c r="X156" s="156"/>
      <c r="Y156" s="156"/>
      <c r="Z156" s="190"/>
      <c r="AA156" s="92"/>
      <c r="AB156" s="92"/>
      <c r="AC156" s="92"/>
      <c r="AD156" s="39"/>
      <c r="AE156" s="39"/>
      <c r="AF156" s="71"/>
      <c r="AG156" s="71"/>
      <c r="AH156" s="71"/>
      <c r="AI156" s="71"/>
      <c r="AJ156" s="71"/>
      <c r="AK156" s="71"/>
      <c r="AL156" s="156"/>
      <c r="AM156" s="156"/>
      <c r="AN156" s="144">
        <f>AA156-AB156-AD156-AF156-AH156-AJ156-AL156</f>
        <v>0</v>
      </c>
      <c r="AO156" s="106"/>
      <c r="AP156" s="106"/>
      <c r="AQ156" s="149">
        <f>+AB156+AD156+AF156+AH156+AJ156+AL156</f>
        <v>0</v>
      </c>
      <c r="AR156" s="145">
        <f t="shared" si="15"/>
        <v>0</v>
      </c>
      <c r="AS156" s="49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</row>
    <row r="157" spans="1:58" ht="37.5" customHeight="1" x14ac:dyDescent="0.25">
      <c r="A157" s="27"/>
      <c r="B157" s="1"/>
      <c r="C157" s="9"/>
      <c r="D157" s="9"/>
      <c r="E157" s="9"/>
      <c r="F157" s="9"/>
      <c r="G157" s="56"/>
      <c r="H157" s="56"/>
      <c r="I157" s="44">
        <v>157</v>
      </c>
      <c r="J157" s="44"/>
      <c r="K157" s="56"/>
      <c r="L157" s="56"/>
      <c r="M157" s="56"/>
      <c r="N157" s="92"/>
      <c r="O157" s="57"/>
      <c r="P157" s="56"/>
      <c r="Q157" s="56"/>
      <c r="R157" s="58"/>
      <c r="S157" s="39"/>
      <c r="T157" s="39"/>
      <c r="U157" s="39"/>
      <c r="V157" s="41"/>
      <c r="W157" s="39"/>
      <c r="X157" s="39"/>
      <c r="Y157" s="39"/>
      <c r="Z157" s="41"/>
      <c r="AA157" s="56"/>
      <c r="AB157" s="56"/>
      <c r="AC157" s="56"/>
      <c r="AD157" s="58"/>
      <c r="AE157" s="58"/>
      <c r="AF157" s="42"/>
      <c r="AG157" s="42"/>
      <c r="AH157" s="42"/>
      <c r="AI157" s="42"/>
      <c r="AJ157" s="42"/>
      <c r="AK157" s="42"/>
      <c r="AL157" s="39"/>
      <c r="AM157" s="39"/>
      <c r="AN157" s="143">
        <f>AA157-AB157-AD157-AF157-AH157-AJ157-AL157</f>
        <v>0</v>
      </c>
      <c r="AO157" s="58"/>
      <c r="AP157" s="58"/>
      <c r="AQ157" s="149">
        <f>+AB157+AD157+AF157+AH157+AJ157+AL157</f>
        <v>0</v>
      </c>
      <c r="AR157" s="145">
        <f t="shared" si="15"/>
        <v>0</v>
      </c>
      <c r="AS157" s="49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</row>
    <row r="158" spans="1:58" ht="36" customHeight="1" x14ac:dyDescent="0.25">
      <c r="A158" s="27"/>
      <c r="B158" s="1"/>
      <c r="C158" s="9"/>
      <c r="D158" s="9"/>
      <c r="E158" s="9"/>
      <c r="F158" s="9"/>
      <c r="G158" s="56"/>
      <c r="H158" s="56"/>
      <c r="I158" s="44">
        <v>158</v>
      </c>
      <c r="J158" s="44"/>
      <c r="K158" s="56"/>
      <c r="L158" s="56"/>
      <c r="M158" s="56"/>
      <c r="N158" s="56"/>
      <c r="O158" s="57"/>
      <c r="P158" s="56"/>
      <c r="Q158" s="56"/>
      <c r="R158" s="58"/>
      <c r="S158" s="39"/>
      <c r="T158" s="39"/>
      <c r="U158" s="39"/>
      <c r="V158" s="41"/>
      <c r="W158" s="39"/>
      <c r="X158" s="39"/>
      <c r="Y158" s="39"/>
      <c r="Z158" s="41"/>
      <c r="AA158" s="59"/>
      <c r="AB158" s="56"/>
      <c r="AC158" s="56"/>
      <c r="AD158" s="58"/>
      <c r="AE158" s="58"/>
      <c r="AF158" s="42"/>
      <c r="AG158" s="42"/>
      <c r="AH158" s="42"/>
      <c r="AI158" s="42"/>
      <c r="AJ158" s="42"/>
      <c r="AK158" s="42"/>
      <c r="AL158" s="39"/>
      <c r="AM158" s="39"/>
      <c r="AN158" s="143">
        <f t="shared" ref="AN158:AN173" si="16">AA158-AB158-AD158-AF158-AH158-AJ158</f>
        <v>0</v>
      </c>
      <c r="AO158" s="58"/>
      <c r="AP158" s="58"/>
      <c r="AQ158" s="149">
        <f t="shared" ref="AQ158:AQ221" si="17">+AB158+AD158+AF158+AH158+AJ158</f>
        <v>0</v>
      </c>
      <c r="AR158" s="145">
        <f t="shared" si="15"/>
        <v>0</v>
      </c>
      <c r="AS158" s="49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</row>
    <row r="159" spans="1:58" ht="37.5" customHeight="1" x14ac:dyDescent="0.25">
      <c r="A159" s="27"/>
      <c r="B159" s="1"/>
      <c r="C159" s="9"/>
      <c r="D159" s="9"/>
      <c r="E159" s="9"/>
      <c r="F159" s="9"/>
      <c r="G159" s="56"/>
      <c r="H159" s="56"/>
      <c r="I159" s="44">
        <v>159</v>
      </c>
      <c r="J159" s="44"/>
      <c r="K159" s="56"/>
      <c r="L159" s="56"/>
      <c r="M159" s="56"/>
      <c r="N159" s="56"/>
      <c r="O159" s="57"/>
      <c r="P159" s="56"/>
      <c r="Q159" s="56"/>
      <c r="R159" s="58"/>
      <c r="S159" s="39"/>
      <c r="T159" s="39"/>
      <c r="U159" s="39"/>
      <c r="V159" s="41"/>
      <c r="W159" s="39"/>
      <c r="X159" s="39"/>
      <c r="Y159" s="39"/>
      <c r="Z159" s="41"/>
      <c r="AA159" s="56"/>
      <c r="AB159" s="56"/>
      <c r="AC159" s="56"/>
      <c r="AD159" s="58"/>
      <c r="AE159" s="58"/>
      <c r="AF159" s="42"/>
      <c r="AG159" s="42"/>
      <c r="AH159" s="42"/>
      <c r="AI159" s="42"/>
      <c r="AJ159" s="42"/>
      <c r="AK159" s="42"/>
      <c r="AL159" s="39"/>
      <c r="AM159" s="39"/>
      <c r="AN159" s="143">
        <f>AA159-AB159-AD159-AF159-AH159-AJ159-AL159</f>
        <v>0</v>
      </c>
      <c r="AO159" s="58"/>
      <c r="AP159" s="58"/>
      <c r="AQ159" s="149">
        <f>+AB159+AD159+AF159+AH159+AJ159+AL159</f>
        <v>0</v>
      </c>
      <c r="AR159" s="145">
        <f t="shared" si="15"/>
        <v>0</v>
      </c>
      <c r="AS159" s="49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</row>
    <row r="160" spans="1:58" ht="43.5" customHeight="1" x14ac:dyDescent="0.25">
      <c r="A160" s="27"/>
      <c r="B160" s="1"/>
      <c r="C160" s="9"/>
      <c r="D160" s="9"/>
      <c r="E160" s="9"/>
      <c r="F160" s="9"/>
      <c r="G160" s="56"/>
      <c r="H160" s="56"/>
      <c r="I160" s="44">
        <v>160</v>
      </c>
      <c r="J160" s="44"/>
      <c r="K160" s="56"/>
      <c r="L160" s="56"/>
      <c r="M160" s="56"/>
      <c r="N160" s="56"/>
      <c r="O160" s="57"/>
      <c r="P160" s="56"/>
      <c r="Q160" s="56"/>
      <c r="R160" s="58"/>
      <c r="S160" s="39"/>
      <c r="T160" s="39"/>
      <c r="U160" s="39"/>
      <c r="V160" s="41"/>
      <c r="W160" s="39"/>
      <c r="X160" s="39"/>
      <c r="Y160" s="39"/>
      <c r="Z160" s="41"/>
      <c r="AA160" s="56"/>
      <c r="AB160" s="56"/>
      <c r="AC160" s="56"/>
      <c r="AD160" s="58"/>
      <c r="AE160" s="58"/>
      <c r="AF160" s="42"/>
      <c r="AG160" s="42"/>
      <c r="AH160" s="42"/>
      <c r="AI160" s="42"/>
      <c r="AJ160" s="42"/>
      <c r="AK160" s="42"/>
      <c r="AL160" s="39"/>
      <c r="AM160" s="39"/>
      <c r="AN160" s="143">
        <f t="shared" si="16"/>
        <v>0</v>
      </c>
      <c r="AO160" s="58"/>
      <c r="AP160" s="58"/>
      <c r="AQ160" s="149">
        <f t="shared" si="17"/>
        <v>0</v>
      </c>
      <c r="AR160" s="145">
        <f t="shared" si="15"/>
        <v>0</v>
      </c>
      <c r="AS160" s="49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</row>
    <row r="161" spans="1:58" ht="37.5" customHeight="1" x14ac:dyDescent="0.25">
      <c r="A161" s="27"/>
      <c r="B161" s="1"/>
      <c r="C161" s="9"/>
      <c r="D161" s="9"/>
      <c r="E161" s="9"/>
      <c r="F161" s="9"/>
      <c r="G161" s="56"/>
      <c r="H161" s="56"/>
      <c r="I161" s="44">
        <v>161</v>
      </c>
      <c r="J161" s="44"/>
      <c r="K161" s="56"/>
      <c r="L161" s="56"/>
      <c r="M161" s="56"/>
      <c r="N161" s="56"/>
      <c r="O161" s="57"/>
      <c r="P161" s="56"/>
      <c r="Q161" s="56"/>
      <c r="R161" s="58"/>
      <c r="S161" s="39"/>
      <c r="T161" s="39"/>
      <c r="U161" s="39"/>
      <c r="V161" s="41"/>
      <c r="W161" s="39"/>
      <c r="X161" s="39"/>
      <c r="Y161" s="39"/>
      <c r="Z161" s="41"/>
      <c r="AA161" s="56"/>
      <c r="AB161" s="56"/>
      <c r="AC161" s="56"/>
      <c r="AD161" s="58"/>
      <c r="AE161" s="58"/>
      <c r="AF161" s="42"/>
      <c r="AG161" s="42"/>
      <c r="AH161" s="42"/>
      <c r="AI161" s="42"/>
      <c r="AJ161" s="42"/>
      <c r="AK161" s="42"/>
      <c r="AL161" s="39"/>
      <c r="AM161" s="39"/>
      <c r="AN161" s="143">
        <f t="shared" si="16"/>
        <v>0</v>
      </c>
      <c r="AO161" s="58"/>
      <c r="AP161" s="58"/>
      <c r="AQ161" s="149">
        <f t="shared" si="17"/>
        <v>0</v>
      </c>
      <c r="AR161" s="145">
        <f t="shared" si="15"/>
        <v>0</v>
      </c>
      <c r="AS161" s="49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</row>
    <row r="162" spans="1:58" ht="39" customHeight="1" x14ac:dyDescent="0.25">
      <c r="A162" s="27"/>
      <c r="B162" s="1"/>
      <c r="C162" s="9"/>
      <c r="D162" s="9"/>
      <c r="E162" s="9"/>
      <c r="F162" s="9"/>
      <c r="G162" s="56"/>
      <c r="H162" s="56"/>
      <c r="I162" s="44">
        <v>162</v>
      </c>
      <c r="J162" s="44"/>
      <c r="K162" s="56"/>
      <c r="L162" s="56"/>
      <c r="M162" s="56"/>
      <c r="N162" s="56"/>
      <c r="O162" s="57"/>
      <c r="P162" s="56"/>
      <c r="Q162" s="56"/>
      <c r="R162" s="58"/>
      <c r="S162" s="143"/>
      <c r="T162" s="58"/>
      <c r="U162" s="58"/>
      <c r="V162" s="58"/>
      <c r="W162" s="143"/>
      <c r="X162" s="143"/>
      <c r="Y162" s="143"/>
      <c r="Z162" s="56"/>
      <c r="AA162" s="59"/>
      <c r="AB162" s="56"/>
      <c r="AC162" s="56"/>
      <c r="AD162" s="58"/>
      <c r="AE162" s="58"/>
      <c r="AF162" s="79"/>
      <c r="AG162" s="68"/>
      <c r="AH162" s="42"/>
      <c r="AI162" s="42"/>
      <c r="AJ162" s="42"/>
      <c r="AK162" s="42"/>
      <c r="AL162" s="39"/>
      <c r="AM162" s="39"/>
      <c r="AN162" s="143">
        <f t="shared" si="16"/>
        <v>0</v>
      </c>
      <c r="AO162" s="58"/>
      <c r="AP162" s="58"/>
      <c r="AQ162" s="149">
        <f t="shared" si="17"/>
        <v>0</v>
      </c>
      <c r="AR162" s="145">
        <f t="shared" si="15"/>
        <v>0</v>
      </c>
      <c r="AS162" s="49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</row>
    <row r="163" spans="1:58" ht="41.25" customHeight="1" x14ac:dyDescent="0.25">
      <c r="A163" s="27"/>
      <c r="B163" s="1"/>
      <c r="C163" s="9"/>
      <c r="D163" s="9"/>
      <c r="E163" s="9"/>
      <c r="F163" s="9"/>
      <c r="G163" s="56"/>
      <c r="H163" s="56"/>
      <c r="I163" s="44">
        <v>163</v>
      </c>
      <c r="J163" s="44"/>
      <c r="K163" s="56"/>
      <c r="L163" s="56"/>
      <c r="M163" s="56"/>
      <c r="N163" s="44"/>
      <c r="O163" s="57"/>
      <c r="P163" s="56"/>
      <c r="Q163" s="56"/>
      <c r="R163" s="58"/>
      <c r="S163" s="39"/>
      <c r="T163" s="39"/>
      <c r="U163" s="39"/>
      <c r="V163" s="41"/>
      <c r="W163" s="39"/>
      <c r="X163" s="39"/>
      <c r="Y163" s="39"/>
      <c r="Z163" s="41"/>
      <c r="AA163" s="59"/>
      <c r="AB163" s="56"/>
      <c r="AC163" s="56"/>
      <c r="AD163" s="58"/>
      <c r="AE163" s="58"/>
      <c r="AF163" s="42"/>
      <c r="AG163" s="42"/>
      <c r="AH163" s="42"/>
      <c r="AI163" s="42"/>
      <c r="AJ163" s="42"/>
      <c r="AK163" s="42"/>
      <c r="AL163" s="39"/>
      <c r="AM163" s="39"/>
      <c r="AN163" s="143">
        <f t="shared" si="16"/>
        <v>0</v>
      </c>
      <c r="AO163" s="58"/>
      <c r="AP163" s="58"/>
      <c r="AQ163" s="149">
        <f t="shared" si="17"/>
        <v>0</v>
      </c>
      <c r="AR163" s="145">
        <f t="shared" si="15"/>
        <v>0</v>
      </c>
      <c r="AS163" s="49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</row>
    <row r="164" spans="1:58" ht="37.5" customHeight="1" x14ac:dyDescent="0.25">
      <c r="A164" s="27"/>
      <c r="B164" s="1"/>
      <c r="C164" s="9"/>
      <c r="D164" s="9"/>
      <c r="E164" s="9"/>
      <c r="F164" s="9"/>
      <c r="G164" s="56"/>
      <c r="H164" s="56"/>
      <c r="I164" s="44">
        <v>164</v>
      </c>
      <c r="J164" s="44"/>
      <c r="K164" s="56"/>
      <c r="L164" s="56"/>
      <c r="M164" s="56"/>
      <c r="N164" s="56"/>
      <c r="O164" s="57"/>
      <c r="P164" s="56"/>
      <c r="Q164" s="56"/>
      <c r="R164" s="58"/>
      <c r="S164" s="39"/>
      <c r="T164" s="39"/>
      <c r="U164" s="39"/>
      <c r="V164" s="41"/>
      <c r="W164" s="39"/>
      <c r="X164" s="39"/>
      <c r="Y164" s="39"/>
      <c r="Z164" s="41"/>
      <c r="AA164" s="56"/>
      <c r="AB164" s="56"/>
      <c r="AC164" s="56"/>
      <c r="AD164" s="58"/>
      <c r="AE164" s="58"/>
      <c r="AF164" s="42"/>
      <c r="AG164" s="42"/>
      <c r="AH164" s="42"/>
      <c r="AI164" s="42"/>
      <c r="AJ164" s="42"/>
      <c r="AK164" s="42"/>
      <c r="AL164" s="39"/>
      <c r="AM164" s="39"/>
      <c r="AN164" s="143">
        <f t="shared" si="16"/>
        <v>0</v>
      </c>
      <c r="AO164" s="58"/>
      <c r="AP164" s="58"/>
      <c r="AQ164" s="149">
        <f t="shared" si="17"/>
        <v>0</v>
      </c>
      <c r="AR164" s="145">
        <f t="shared" si="15"/>
        <v>0</v>
      </c>
      <c r="AS164" s="49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</row>
    <row r="165" spans="1:58" ht="32.25" customHeight="1" x14ac:dyDescent="0.25">
      <c r="A165" s="27"/>
      <c r="B165" s="1"/>
      <c r="C165" s="9"/>
      <c r="D165" s="9"/>
      <c r="E165" s="9"/>
      <c r="F165" s="9"/>
      <c r="G165" s="56"/>
      <c r="H165" s="56"/>
      <c r="I165" s="44">
        <v>165</v>
      </c>
      <c r="J165" s="44"/>
      <c r="K165" s="56"/>
      <c r="L165" s="56"/>
      <c r="M165" s="56"/>
      <c r="N165" s="44"/>
      <c r="O165" s="57"/>
      <c r="P165" s="56"/>
      <c r="Q165" s="56"/>
      <c r="R165" s="58"/>
      <c r="S165" s="39"/>
      <c r="T165" s="39"/>
      <c r="U165" s="39"/>
      <c r="V165" s="41"/>
      <c r="W165" s="39"/>
      <c r="X165" s="39"/>
      <c r="Y165" s="39"/>
      <c r="Z165" s="41"/>
      <c r="AA165" s="59"/>
      <c r="AB165" s="56"/>
      <c r="AC165" s="9"/>
      <c r="AD165" s="9"/>
      <c r="AE165" s="58"/>
      <c r="AF165" s="42"/>
      <c r="AG165" s="42"/>
      <c r="AH165" s="42"/>
      <c r="AI165" s="42"/>
      <c r="AJ165" s="42"/>
      <c r="AK165" s="42"/>
      <c r="AL165" s="39"/>
      <c r="AM165" s="39"/>
      <c r="AN165" s="143">
        <f t="shared" si="16"/>
        <v>0</v>
      </c>
      <c r="AO165" s="58"/>
      <c r="AP165" s="58"/>
      <c r="AQ165" s="149">
        <f t="shared" si="17"/>
        <v>0</v>
      </c>
      <c r="AR165" s="145">
        <f t="shared" si="15"/>
        <v>0</v>
      </c>
      <c r="AS165" s="49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</row>
    <row r="166" spans="1:58" ht="37.5" customHeight="1" x14ac:dyDescent="0.25">
      <c r="A166" s="27"/>
      <c r="B166" s="1"/>
      <c r="C166" s="9"/>
      <c r="D166" s="9"/>
      <c r="E166" s="9"/>
      <c r="F166" s="9"/>
      <c r="G166" s="56"/>
      <c r="H166" s="56"/>
      <c r="I166" s="44">
        <v>166</v>
      </c>
      <c r="J166" s="44"/>
      <c r="K166" s="56"/>
      <c r="L166" s="56"/>
      <c r="M166" s="56"/>
      <c r="N166" s="56"/>
      <c r="O166" s="57"/>
      <c r="P166" s="56"/>
      <c r="Q166" s="56"/>
      <c r="R166" s="58"/>
      <c r="S166" s="39"/>
      <c r="T166" s="39"/>
      <c r="U166" s="39"/>
      <c r="V166" s="41"/>
      <c r="W166" s="39"/>
      <c r="X166" s="39"/>
      <c r="Y166" s="39"/>
      <c r="Z166" s="41"/>
      <c r="AA166" s="56"/>
      <c r="AB166" s="56"/>
      <c r="AC166" s="56"/>
      <c r="AD166" s="58"/>
      <c r="AE166" s="58"/>
      <c r="AF166" s="42"/>
      <c r="AG166" s="42"/>
      <c r="AH166" s="42"/>
      <c r="AI166" s="42"/>
      <c r="AJ166" s="42"/>
      <c r="AK166" s="42"/>
      <c r="AL166" s="39"/>
      <c r="AM166" s="39"/>
      <c r="AN166" s="143">
        <f t="shared" si="16"/>
        <v>0</v>
      </c>
      <c r="AO166" s="58"/>
      <c r="AP166" s="58"/>
      <c r="AQ166" s="149">
        <f t="shared" si="17"/>
        <v>0</v>
      </c>
      <c r="AR166" s="145">
        <f t="shared" si="15"/>
        <v>0</v>
      </c>
      <c r="AS166" s="49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</row>
    <row r="167" spans="1:58" ht="37.5" customHeight="1" x14ac:dyDescent="0.25">
      <c r="A167" s="27"/>
      <c r="B167" s="1"/>
      <c r="C167" s="9"/>
      <c r="D167" s="9"/>
      <c r="E167" s="9"/>
      <c r="F167" s="9"/>
      <c r="G167" s="56"/>
      <c r="H167" s="56"/>
      <c r="I167" s="44">
        <v>167</v>
      </c>
      <c r="J167" s="44"/>
      <c r="K167" s="56"/>
      <c r="L167" s="56"/>
      <c r="M167" s="56"/>
      <c r="N167" s="56"/>
      <c r="O167" s="57"/>
      <c r="P167" s="56"/>
      <c r="Q167" s="56"/>
      <c r="R167" s="58"/>
      <c r="S167" s="39"/>
      <c r="T167" s="39"/>
      <c r="U167" s="39"/>
      <c r="V167" s="41"/>
      <c r="W167" s="39"/>
      <c r="X167" s="39"/>
      <c r="Y167" s="39"/>
      <c r="Z167" s="41"/>
      <c r="AA167" s="56"/>
      <c r="AB167" s="56"/>
      <c r="AC167" s="56"/>
      <c r="AD167" s="58"/>
      <c r="AE167" s="58"/>
      <c r="AF167" s="42"/>
      <c r="AG167" s="42"/>
      <c r="AH167" s="42"/>
      <c r="AI167" s="42"/>
      <c r="AJ167" s="42"/>
      <c r="AK167" s="42"/>
      <c r="AL167" s="39"/>
      <c r="AM167" s="39"/>
      <c r="AN167" s="143">
        <f t="shared" si="16"/>
        <v>0</v>
      </c>
      <c r="AO167" s="58"/>
      <c r="AP167" s="58"/>
      <c r="AQ167" s="149">
        <f t="shared" si="17"/>
        <v>0</v>
      </c>
      <c r="AR167" s="145">
        <f t="shared" si="15"/>
        <v>0</v>
      </c>
      <c r="AS167" s="49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</row>
    <row r="168" spans="1:58" ht="36.75" customHeight="1" x14ac:dyDescent="0.25">
      <c r="A168" s="27"/>
      <c r="B168" s="1"/>
      <c r="C168" s="9"/>
      <c r="D168" s="9"/>
      <c r="E168" s="9"/>
      <c r="F168" s="9"/>
      <c r="G168" s="56"/>
      <c r="H168" s="56"/>
      <c r="I168" s="44">
        <v>168</v>
      </c>
      <c r="J168" s="44"/>
      <c r="K168" s="56"/>
      <c r="L168" s="56"/>
      <c r="M168" s="56"/>
      <c r="N168" s="44"/>
      <c r="O168" s="57"/>
      <c r="P168" s="56"/>
      <c r="Q168" s="56"/>
      <c r="R168" s="58"/>
      <c r="S168" s="39"/>
      <c r="T168" s="39"/>
      <c r="U168" s="39"/>
      <c r="V168" s="41"/>
      <c r="W168" s="39"/>
      <c r="X168" s="39"/>
      <c r="Y168" s="39"/>
      <c r="Z168" s="41"/>
      <c r="AA168" s="56"/>
      <c r="AB168" s="56"/>
      <c r="AC168" s="56"/>
      <c r="AD168" s="58"/>
      <c r="AE168" s="58"/>
      <c r="AF168" s="42"/>
      <c r="AG168" s="42"/>
      <c r="AH168" s="42"/>
      <c r="AI168" s="42"/>
      <c r="AJ168" s="42"/>
      <c r="AK168" s="42"/>
      <c r="AL168" s="39"/>
      <c r="AM168" s="39"/>
      <c r="AN168" s="143">
        <f>AA168-AB168-AD168-AF168-AH168-AJ168-AL168</f>
        <v>0</v>
      </c>
      <c r="AO168" s="58"/>
      <c r="AP168" s="58"/>
      <c r="AQ168" s="149">
        <f>+AB168+AD168+AF168+AH168+AJ168+AL168</f>
        <v>0</v>
      </c>
      <c r="AR168" s="145">
        <f t="shared" si="15"/>
        <v>0</v>
      </c>
      <c r="AS168" s="49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</row>
    <row r="169" spans="1:58" s="8" customFormat="1" ht="46.5" customHeight="1" x14ac:dyDescent="0.25">
      <c r="A169" s="27"/>
      <c r="B169" s="3"/>
      <c r="C169" s="9"/>
      <c r="D169" s="9"/>
      <c r="E169" s="9"/>
      <c r="F169" s="9"/>
      <c r="G169" s="56"/>
      <c r="H169" s="56"/>
      <c r="I169" s="44">
        <v>170</v>
      </c>
      <c r="J169" s="44"/>
      <c r="K169" s="56"/>
      <c r="L169" s="56"/>
      <c r="M169" s="56"/>
      <c r="N169" s="56"/>
      <c r="O169" s="57"/>
      <c r="P169" s="56"/>
      <c r="Q169" s="56"/>
      <c r="R169" s="58"/>
      <c r="S169" s="39"/>
      <c r="T169" s="39"/>
      <c r="U169" s="39"/>
      <c r="V169" s="41"/>
      <c r="W169" s="39"/>
      <c r="X169" s="39"/>
      <c r="Y169" s="39"/>
      <c r="Z169" s="41"/>
      <c r="AA169" s="56"/>
      <c r="AB169" s="56"/>
      <c r="AC169" s="56"/>
      <c r="AD169" s="58"/>
      <c r="AE169" s="58"/>
      <c r="AF169" s="42"/>
      <c r="AG169" s="42"/>
      <c r="AH169" s="42"/>
      <c r="AI169" s="42"/>
      <c r="AJ169" s="42"/>
      <c r="AK169" s="42"/>
      <c r="AL169" s="39"/>
      <c r="AM169" s="39"/>
      <c r="AN169" s="143">
        <f t="shared" si="16"/>
        <v>0</v>
      </c>
      <c r="AO169" s="58"/>
      <c r="AP169" s="58"/>
      <c r="AQ169" s="149">
        <f t="shared" si="17"/>
        <v>0</v>
      </c>
      <c r="AR169" s="145">
        <f t="shared" si="15"/>
        <v>0</v>
      </c>
      <c r="AS169" s="49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</row>
    <row r="170" spans="1:58" ht="37.5" customHeight="1" x14ac:dyDescent="0.25">
      <c r="A170" s="27"/>
      <c r="B170" s="1"/>
      <c r="C170" s="9"/>
      <c r="D170" s="9"/>
      <c r="E170" s="9"/>
      <c r="F170" s="9"/>
      <c r="G170" s="56"/>
      <c r="H170" s="56"/>
      <c r="I170" s="44">
        <v>171</v>
      </c>
      <c r="J170" s="44"/>
      <c r="K170" s="56"/>
      <c r="L170" s="56"/>
      <c r="M170" s="56"/>
      <c r="N170" s="56"/>
      <c r="O170" s="57"/>
      <c r="P170" s="56"/>
      <c r="Q170" s="56"/>
      <c r="R170" s="58"/>
      <c r="S170" s="39"/>
      <c r="T170" s="39"/>
      <c r="U170" s="39"/>
      <c r="V170" s="41"/>
      <c r="W170" s="39"/>
      <c r="X170" s="39"/>
      <c r="Y170" s="39"/>
      <c r="Z170" s="41"/>
      <c r="AA170" s="56"/>
      <c r="AB170" s="56"/>
      <c r="AC170" s="56"/>
      <c r="AD170" s="58"/>
      <c r="AE170" s="194"/>
      <c r="AF170" s="42"/>
      <c r="AG170" s="42"/>
      <c r="AH170" s="42"/>
      <c r="AI170" s="42"/>
      <c r="AJ170" s="42"/>
      <c r="AK170" s="42"/>
      <c r="AL170" s="39"/>
      <c r="AM170" s="39"/>
      <c r="AN170" s="143">
        <f>AA170-AB170-AD170-AF170-AH170-AJ170-AL170</f>
        <v>0</v>
      </c>
      <c r="AO170" s="58"/>
      <c r="AP170" s="58"/>
      <c r="AQ170" s="149">
        <f>+AB170+AD170+AF170+AH170+AJ170+AL170</f>
        <v>0</v>
      </c>
      <c r="AR170" s="145">
        <f t="shared" si="15"/>
        <v>0</v>
      </c>
      <c r="AS170" s="49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</row>
    <row r="171" spans="1:58" ht="37.5" customHeight="1" x14ac:dyDescent="0.25">
      <c r="A171" s="27"/>
      <c r="B171" s="1"/>
      <c r="C171" s="9"/>
      <c r="D171" s="9"/>
      <c r="E171" s="9"/>
      <c r="F171" s="9"/>
      <c r="G171" s="56"/>
      <c r="H171" s="56"/>
      <c r="I171" s="44">
        <v>172</v>
      </c>
      <c r="J171" s="44"/>
      <c r="K171" s="56"/>
      <c r="L171" s="56"/>
      <c r="M171" s="56"/>
      <c r="N171" s="56"/>
      <c r="O171" s="57"/>
      <c r="P171" s="56"/>
      <c r="Q171" s="56"/>
      <c r="R171" s="58"/>
      <c r="S171" s="39"/>
      <c r="T171" s="39"/>
      <c r="U171" s="39"/>
      <c r="V171" s="41"/>
      <c r="W171" s="39"/>
      <c r="X171" s="39"/>
      <c r="Y171" s="39"/>
      <c r="Z171" s="41"/>
      <c r="AA171" s="56"/>
      <c r="AB171" s="56"/>
      <c r="AC171" s="56"/>
      <c r="AD171" s="58"/>
      <c r="AE171" s="58"/>
      <c r="AF171" s="42"/>
      <c r="AG171" s="42"/>
      <c r="AH171" s="42"/>
      <c r="AI171" s="42"/>
      <c r="AJ171" s="42"/>
      <c r="AK171" s="42"/>
      <c r="AL171" s="39"/>
      <c r="AM171" s="39"/>
      <c r="AN171" s="143">
        <f t="shared" si="16"/>
        <v>0</v>
      </c>
      <c r="AO171" s="58"/>
      <c r="AP171" s="58"/>
      <c r="AQ171" s="149">
        <f t="shared" si="17"/>
        <v>0</v>
      </c>
      <c r="AR171" s="145">
        <f t="shared" si="15"/>
        <v>0</v>
      </c>
      <c r="AS171" s="49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</row>
    <row r="172" spans="1:58" ht="37.5" customHeight="1" x14ac:dyDescent="0.25">
      <c r="A172" s="27"/>
      <c r="B172" s="1"/>
      <c r="C172" s="9"/>
      <c r="D172" s="9"/>
      <c r="E172" s="9"/>
      <c r="F172" s="9"/>
      <c r="G172" s="56"/>
      <c r="H172" s="56"/>
      <c r="I172" s="44">
        <v>173</v>
      </c>
      <c r="J172" s="44"/>
      <c r="K172" s="56"/>
      <c r="L172" s="56"/>
      <c r="M172" s="56"/>
      <c r="N172" s="56"/>
      <c r="O172" s="57"/>
      <c r="P172" s="56"/>
      <c r="Q172" s="56"/>
      <c r="R172" s="58"/>
      <c r="S172" s="39"/>
      <c r="T172" s="39"/>
      <c r="U172" s="39"/>
      <c r="V172" s="41"/>
      <c r="W172" s="39"/>
      <c r="X172" s="39"/>
      <c r="Y172" s="39"/>
      <c r="Z172" s="41"/>
      <c r="AA172" s="56"/>
      <c r="AB172" s="56"/>
      <c r="AC172" s="56"/>
      <c r="AD172" s="58"/>
      <c r="AE172" s="58"/>
      <c r="AF172" s="42"/>
      <c r="AG172" s="42"/>
      <c r="AH172" s="42"/>
      <c r="AI172" s="42"/>
      <c r="AJ172" s="42"/>
      <c r="AK172" s="42"/>
      <c r="AL172" s="39"/>
      <c r="AM172" s="39"/>
      <c r="AN172" s="143">
        <f t="shared" si="16"/>
        <v>0</v>
      </c>
      <c r="AO172" s="58"/>
      <c r="AP172" s="58"/>
      <c r="AQ172" s="149">
        <f t="shared" si="17"/>
        <v>0</v>
      </c>
      <c r="AR172" s="145">
        <f t="shared" si="15"/>
        <v>0</v>
      </c>
      <c r="AS172" s="49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</row>
    <row r="173" spans="1:58" ht="36.75" customHeight="1" x14ac:dyDescent="0.25">
      <c r="A173" s="27"/>
      <c r="B173" s="1"/>
      <c r="C173" s="9"/>
      <c r="D173" s="9"/>
      <c r="E173" s="9"/>
      <c r="F173" s="9"/>
      <c r="G173" s="56"/>
      <c r="H173" s="56"/>
      <c r="I173" s="44">
        <v>174</v>
      </c>
      <c r="J173" s="44"/>
      <c r="K173" s="56"/>
      <c r="L173" s="56"/>
      <c r="M173" s="56"/>
      <c r="N173" s="56"/>
      <c r="O173" s="57"/>
      <c r="P173" s="56"/>
      <c r="Q173" s="56"/>
      <c r="R173" s="58"/>
      <c r="S173" s="39"/>
      <c r="T173" s="39"/>
      <c r="U173" s="39"/>
      <c r="V173" s="41"/>
      <c r="W173" s="39"/>
      <c r="X173" s="39"/>
      <c r="Y173" s="39"/>
      <c r="Z173" s="41"/>
      <c r="AA173" s="56"/>
      <c r="AB173" s="56"/>
      <c r="AC173" s="56"/>
      <c r="AD173" s="58"/>
      <c r="AE173" s="58"/>
      <c r="AF173" s="42"/>
      <c r="AG173" s="42"/>
      <c r="AH173" s="42"/>
      <c r="AI173" s="42"/>
      <c r="AJ173" s="42"/>
      <c r="AK173" s="42"/>
      <c r="AL173" s="39"/>
      <c r="AM173" s="39"/>
      <c r="AN173" s="143">
        <f t="shared" si="16"/>
        <v>0</v>
      </c>
      <c r="AO173" s="58"/>
      <c r="AP173" s="58"/>
      <c r="AQ173" s="149">
        <f t="shared" si="17"/>
        <v>0</v>
      </c>
      <c r="AR173" s="145">
        <f t="shared" si="15"/>
        <v>0</v>
      </c>
      <c r="AS173" s="49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</row>
    <row r="174" spans="1:58" s="10" customFormat="1" ht="37.5" customHeight="1" x14ac:dyDescent="0.25">
      <c r="A174" s="75"/>
      <c r="B174" s="2"/>
      <c r="C174" s="2"/>
      <c r="D174" s="2"/>
      <c r="E174" s="2"/>
      <c r="F174" s="2"/>
      <c r="G174" s="135"/>
      <c r="H174" s="135"/>
      <c r="I174" s="44">
        <v>175</v>
      </c>
      <c r="J174" s="44"/>
      <c r="K174" s="56"/>
      <c r="L174" s="56"/>
      <c r="M174" s="56"/>
      <c r="N174" s="56"/>
      <c r="O174" s="57"/>
      <c r="P174" s="56"/>
      <c r="Q174" s="56"/>
      <c r="R174" s="58"/>
      <c r="S174" s="39"/>
      <c r="T174" s="39"/>
      <c r="U174" s="39"/>
      <c r="V174" s="41"/>
      <c r="W174" s="39"/>
      <c r="X174" s="39"/>
      <c r="Y174" s="39"/>
      <c r="Z174" s="41"/>
      <c r="AA174" s="56"/>
      <c r="AB174" s="56"/>
      <c r="AC174" s="161"/>
      <c r="AD174" s="58"/>
      <c r="AE174" s="58"/>
      <c r="AF174" s="39"/>
      <c r="AG174" s="162"/>
      <c r="AH174" s="39"/>
      <c r="AI174" s="39"/>
      <c r="AJ174" s="39"/>
      <c r="AK174" s="162"/>
      <c r="AL174" s="39"/>
      <c r="AM174" s="39"/>
      <c r="AN174" s="143">
        <f>AA174-AB174-AD174-AF174-AH174-AJ174-AL174</f>
        <v>0</v>
      </c>
      <c r="AO174" s="58"/>
      <c r="AP174" s="58"/>
      <c r="AQ174" s="149">
        <f t="shared" si="17"/>
        <v>0</v>
      </c>
      <c r="AR174" s="145">
        <f t="shared" si="15"/>
        <v>0</v>
      </c>
      <c r="AS174" s="49"/>
    </row>
    <row r="175" spans="1:58" ht="37.5" customHeight="1" x14ac:dyDescent="0.25">
      <c r="A175" s="27"/>
      <c r="B175" s="1"/>
      <c r="C175" s="9"/>
      <c r="D175" s="9"/>
      <c r="E175" s="9"/>
      <c r="F175" s="9"/>
      <c r="G175" s="56"/>
      <c r="H175" s="56"/>
      <c r="I175" s="44">
        <v>177</v>
      </c>
      <c r="J175" s="44"/>
      <c r="K175" s="56"/>
      <c r="L175" s="56"/>
      <c r="M175" s="56"/>
      <c r="N175" s="56"/>
      <c r="O175" s="57"/>
      <c r="P175" s="56"/>
      <c r="Q175" s="56"/>
      <c r="R175" s="58"/>
      <c r="S175" s="39"/>
      <c r="T175" s="39"/>
      <c r="U175" s="39"/>
      <c r="V175" s="41"/>
      <c r="W175" s="39"/>
      <c r="X175" s="39"/>
      <c r="Y175" s="39"/>
      <c r="Z175" s="41"/>
      <c r="AA175" s="56"/>
      <c r="AB175" s="56"/>
      <c r="AC175" s="56"/>
      <c r="AD175" s="58"/>
      <c r="AE175" s="58"/>
      <c r="AF175" s="42"/>
      <c r="AG175" s="42"/>
      <c r="AH175" s="42"/>
      <c r="AI175" s="42"/>
      <c r="AJ175" s="42"/>
      <c r="AK175" s="42"/>
      <c r="AL175" s="39"/>
      <c r="AM175" s="39"/>
      <c r="AN175" s="143">
        <f t="shared" ref="AN175:AN237" si="18">AA175-AB175-AD175-AF175-AH175-AJ175</f>
        <v>0</v>
      </c>
      <c r="AO175" s="58"/>
      <c r="AP175" s="58"/>
      <c r="AQ175" s="149">
        <f t="shared" si="17"/>
        <v>0</v>
      </c>
      <c r="AR175" s="145">
        <f t="shared" si="15"/>
        <v>0</v>
      </c>
      <c r="AS175" s="49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</row>
    <row r="176" spans="1:58" ht="37.5" customHeight="1" x14ac:dyDescent="0.25">
      <c r="A176" s="27"/>
      <c r="B176" s="1"/>
      <c r="C176" s="9"/>
      <c r="D176" s="9"/>
      <c r="E176" s="9"/>
      <c r="F176" s="9"/>
      <c r="G176" s="56"/>
      <c r="H176" s="56"/>
      <c r="I176" s="44">
        <v>178</v>
      </c>
      <c r="J176" s="44"/>
      <c r="K176" s="56"/>
      <c r="L176" s="56"/>
      <c r="M176" s="56"/>
      <c r="N176" s="56"/>
      <c r="O176" s="57"/>
      <c r="P176" s="56"/>
      <c r="Q176" s="56"/>
      <c r="R176" s="58"/>
      <c r="S176" s="39"/>
      <c r="T176" s="39"/>
      <c r="U176" s="39"/>
      <c r="V176" s="41"/>
      <c r="W176" s="39"/>
      <c r="X176" s="39"/>
      <c r="Y176" s="39"/>
      <c r="Z176" s="41"/>
      <c r="AA176" s="56"/>
      <c r="AB176" s="56"/>
      <c r="AC176" s="56"/>
      <c r="AD176" s="58"/>
      <c r="AE176" s="58"/>
      <c r="AF176" s="42"/>
      <c r="AG176" s="42"/>
      <c r="AH176" s="42"/>
      <c r="AI176" s="42"/>
      <c r="AJ176" s="42"/>
      <c r="AK176" s="42"/>
      <c r="AL176" s="39"/>
      <c r="AM176" s="39"/>
      <c r="AN176" s="143">
        <f t="shared" si="18"/>
        <v>0</v>
      </c>
      <c r="AO176" s="58"/>
      <c r="AP176" s="58"/>
      <c r="AQ176" s="149">
        <f t="shared" si="17"/>
        <v>0</v>
      </c>
      <c r="AR176" s="145">
        <f t="shared" si="15"/>
        <v>0</v>
      </c>
      <c r="AS176" s="49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</row>
    <row r="177" spans="1:58" ht="48" customHeight="1" x14ac:dyDescent="0.25">
      <c r="A177" s="27"/>
      <c r="B177" s="1"/>
      <c r="C177" s="9"/>
      <c r="D177" s="9"/>
      <c r="E177" s="9"/>
      <c r="F177" s="9"/>
      <c r="G177" s="56"/>
      <c r="H177" s="56"/>
      <c r="I177" s="44">
        <v>179</v>
      </c>
      <c r="J177" s="44"/>
      <c r="K177" s="56"/>
      <c r="L177" s="56"/>
      <c r="M177" s="56"/>
      <c r="N177" s="56"/>
      <c r="O177" s="57"/>
      <c r="P177" s="56"/>
      <c r="Q177" s="56"/>
      <c r="R177" s="58"/>
      <c r="S177" s="39"/>
      <c r="T177" s="39"/>
      <c r="U177" s="39"/>
      <c r="V177" s="41"/>
      <c r="W177" s="39"/>
      <c r="X177" s="39"/>
      <c r="Y177" s="39"/>
      <c r="Z177" s="41"/>
      <c r="AA177" s="56"/>
      <c r="AB177" s="56"/>
      <c r="AC177" s="56"/>
      <c r="AD177" s="58"/>
      <c r="AE177" s="58"/>
      <c r="AF177" s="42"/>
      <c r="AG177" s="42"/>
      <c r="AH177" s="42"/>
      <c r="AI177" s="42"/>
      <c r="AJ177" s="42"/>
      <c r="AK177" s="42"/>
      <c r="AL177" s="39"/>
      <c r="AM177" s="39"/>
      <c r="AN177" s="143">
        <f>AA177-AB177-AD177-AF177-AH177-AJ177-AL177</f>
        <v>0</v>
      </c>
      <c r="AO177" s="58"/>
      <c r="AP177" s="58"/>
      <c r="AQ177" s="149">
        <f>+AB177+AD177+AF177+AH177+AJ177+AL177</f>
        <v>0</v>
      </c>
      <c r="AR177" s="145">
        <f t="shared" si="15"/>
        <v>0</v>
      </c>
      <c r="AS177" s="49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</row>
    <row r="178" spans="1:58" ht="37.5" customHeight="1" x14ac:dyDescent="0.25">
      <c r="A178" s="27"/>
      <c r="B178" s="1"/>
      <c r="C178" s="9"/>
      <c r="D178" s="9"/>
      <c r="E178" s="9"/>
      <c r="F178" s="9"/>
      <c r="G178" s="56"/>
      <c r="H178" s="56"/>
      <c r="I178" s="44">
        <v>180</v>
      </c>
      <c r="J178" s="44"/>
      <c r="K178" s="56"/>
      <c r="L178" s="56"/>
      <c r="M178" s="56"/>
      <c r="N178" s="56"/>
      <c r="O178" s="57"/>
      <c r="P178" s="56"/>
      <c r="Q178" s="56"/>
      <c r="R178" s="58"/>
      <c r="S178" s="39"/>
      <c r="T178" s="39"/>
      <c r="U178" s="39"/>
      <c r="V178" s="41"/>
      <c r="W178" s="39"/>
      <c r="X178" s="39"/>
      <c r="Y178" s="39"/>
      <c r="Z178" s="41"/>
      <c r="AA178" s="56"/>
      <c r="AB178" s="56"/>
      <c r="AC178" s="56"/>
      <c r="AD178" s="58"/>
      <c r="AE178" s="58"/>
      <c r="AF178" s="42"/>
      <c r="AG178" s="116"/>
      <c r="AH178" s="42"/>
      <c r="AI178" s="42"/>
      <c r="AJ178" s="42"/>
      <c r="AK178" s="42"/>
      <c r="AL178" s="39"/>
      <c r="AM178" s="39"/>
      <c r="AN178" s="143">
        <f t="shared" si="18"/>
        <v>0</v>
      </c>
      <c r="AO178" s="58"/>
      <c r="AP178" s="58"/>
      <c r="AQ178" s="149">
        <f t="shared" si="17"/>
        <v>0</v>
      </c>
      <c r="AR178" s="145">
        <f t="shared" si="15"/>
        <v>0</v>
      </c>
      <c r="AS178" s="49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</row>
    <row r="179" spans="1:58" ht="43.5" customHeight="1" x14ac:dyDescent="0.25">
      <c r="A179" s="27"/>
      <c r="B179" s="1"/>
      <c r="C179" s="9"/>
      <c r="D179" s="9"/>
      <c r="E179" s="9"/>
      <c r="F179" s="9"/>
      <c r="G179" s="56"/>
      <c r="H179" s="56"/>
      <c r="I179" s="44">
        <v>181</v>
      </c>
      <c r="J179" s="44"/>
      <c r="K179" s="56"/>
      <c r="L179" s="56"/>
      <c r="M179" s="56"/>
      <c r="N179" s="56"/>
      <c r="O179" s="57"/>
      <c r="P179" s="56"/>
      <c r="Q179" s="56"/>
      <c r="R179" s="58"/>
      <c r="S179" s="39"/>
      <c r="T179" s="39"/>
      <c r="U179" s="39"/>
      <c r="V179" s="41"/>
      <c r="W179" s="39"/>
      <c r="X179" s="39"/>
      <c r="Y179" s="39"/>
      <c r="Z179" s="41"/>
      <c r="AA179" s="56"/>
      <c r="AB179" s="56"/>
      <c r="AC179" s="56"/>
      <c r="AD179" s="58"/>
      <c r="AE179" s="58"/>
      <c r="AF179" s="42"/>
      <c r="AG179" s="42"/>
      <c r="AH179" s="42"/>
      <c r="AI179" s="42"/>
      <c r="AJ179" s="42"/>
      <c r="AK179" s="42"/>
      <c r="AL179" s="39"/>
      <c r="AM179" s="39"/>
      <c r="AN179" s="143">
        <f>AA179-AB179-AD179-AF179-AH179-AJ179-AL179</f>
        <v>0</v>
      </c>
      <c r="AO179" s="58"/>
      <c r="AP179" s="58"/>
      <c r="AQ179" s="149">
        <f>+AB179+AD179+AF179+AH179+AJ179+AL179</f>
        <v>0</v>
      </c>
      <c r="AR179" s="145">
        <f t="shared" si="15"/>
        <v>0</v>
      </c>
      <c r="AS179" s="49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</row>
    <row r="180" spans="1:58" ht="43.5" customHeight="1" x14ac:dyDescent="0.25">
      <c r="A180" s="27"/>
      <c r="B180" s="1"/>
      <c r="C180" s="9"/>
      <c r="D180" s="9"/>
      <c r="E180" s="9"/>
      <c r="F180" s="9"/>
      <c r="G180" s="56"/>
      <c r="H180" s="56"/>
      <c r="I180" s="44">
        <v>182</v>
      </c>
      <c r="J180" s="44"/>
      <c r="K180" s="56"/>
      <c r="L180" s="56"/>
      <c r="M180" s="56"/>
      <c r="N180" s="56"/>
      <c r="O180" s="57"/>
      <c r="P180" s="56"/>
      <c r="Q180" s="56"/>
      <c r="R180" s="58"/>
      <c r="S180" s="39"/>
      <c r="T180" s="39"/>
      <c r="U180" s="39"/>
      <c r="V180" s="41"/>
      <c r="W180" s="39"/>
      <c r="X180" s="39"/>
      <c r="Y180" s="39"/>
      <c r="Z180" s="41"/>
      <c r="AA180" s="56"/>
      <c r="AB180" s="56"/>
      <c r="AC180" s="56"/>
      <c r="AD180" s="58"/>
      <c r="AE180" s="58"/>
      <c r="AF180" s="42"/>
      <c r="AG180" s="42"/>
      <c r="AH180" s="42"/>
      <c r="AI180" s="42"/>
      <c r="AJ180" s="42"/>
      <c r="AK180" s="42"/>
      <c r="AL180" s="39"/>
      <c r="AM180" s="39"/>
      <c r="AN180" s="143">
        <f t="shared" si="18"/>
        <v>0</v>
      </c>
      <c r="AO180" s="58"/>
      <c r="AP180" s="58"/>
      <c r="AQ180" s="149">
        <f t="shared" si="17"/>
        <v>0</v>
      </c>
      <c r="AR180" s="145">
        <f t="shared" si="15"/>
        <v>0</v>
      </c>
      <c r="AS180" s="49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</row>
    <row r="181" spans="1:58" s="10" customFormat="1" ht="38.25" customHeight="1" x14ac:dyDescent="0.25">
      <c r="A181" s="27"/>
      <c r="B181" s="2"/>
      <c r="C181" s="9"/>
      <c r="D181" s="9"/>
      <c r="E181" s="9"/>
      <c r="F181" s="9"/>
      <c r="G181" s="56"/>
      <c r="H181" s="56"/>
      <c r="I181" s="44">
        <v>183</v>
      </c>
      <c r="J181" s="44"/>
      <c r="K181" s="56"/>
      <c r="L181" s="56"/>
      <c r="M181" s="56"/>
      <c r="N181" s="56"/>
      <c r="O181" s="57"/>
      <c r="P181" s="56"/>
      <c r="Q181" s="56"/>
      <c r="R181" s="58"/>
      <c r="S181" s="39"/>
      <c r="T181" s="39"/>
      <c r="U181" s="39"/>
      <c r="V181" s="41"/>
      <c r="W181" s="39"/>
      <c r="X181" s="39"/>
      <c r="Y181" s="39"/>
      <c r="Z181" s="41"/>
      <c r="AA181" s="56"/>
      <c r="AB181" s="56"/>
      <c r="AC181" s="56"/>
      <c r="AD181" s="58"/>
      <c r="AE181" s="58"/>
      <c r="AF181" s="42"/>
      <c r="AG181" s="42"/>
      <c r="AH181" s="42"/>
      <c r="AI181" s="42"/>
      <c r="AJ181" s="42"/>
      <c r="AK181" s="42"/>
      <c r="AL181" s="39"/>
      <c r="AM181" s="39"/>
      <c r="AN181" s="143">
        <f t="shared" si="18"/>
        <v>0</v>
      </c>
      <c r="AO181" s="58"/>
      <c r="AP181" s="58"/>
      <c r="AQ181" s="149">
        <f t="shared" si="17"/>
        <v>0</v>
      </c>
      <c r="AR181" s="145">
        <f t="shared" si="15"/>
        <v>0</v>
      </c>
      <c r="AS181" s="49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</row>
    <row r="182" spans="1:58" ht="37.5" customHeight="1" x14ac:dyDescent="0.25">
      <c r="A182" s="27" t="s">
        <v>56</v>
      </c>
      <c r="B182" s="1"/>
      <c r="C182" s="9"/>
      <c r="D182" s="9"/>
      <c r="E182" s="9"/>
      <c r="F182" s="9"/>
      <c r="G182" s="56"/>
      <c r="H182" s="56"/>
      <c r="I182" s="44">
        <v>184</v>
      </c>
      <c r="J182" s="44"/>
      <c r="K182" s="56"/>
      <c r="L182" s="56"/>
      <c r="M182" s="56"/>
      <c r="N182" s="56"/>
      <c r="O182" s="57"/>
      <c r="P182" s="56"/>
      <c r="Q182" s="56"/>
      <c r="R182" s="58"/>
      <c r="S182" s="39"/>
      <c r="T182" s="39"/>
      <c r="U182" s="39"/>
      <c r="V182" s="41"/>
      <c r="W182" s="39"/>
      <c r="X182" s="39"/>
      <c r="Y182" s="39"/>
      <c r="Z182" s="41"/>
      <c r="AA182" s="56"/>
      <c r="AB182" s="56"/>
      <c r="AC182" s="56"/>
      <c r="AD182" s="58"/>
      <c r="AE182" s="58"/>
      <c r="AF182" s="42"/>
      <c r="AG182" s="42"/>
      <c r="AH182" s="42"/>
      <c r="AI182" s="42"/>
      <c r="AJ182" s="42"/>
      <c r="AK182" s="42"/>
      <c r="AL182" s="39"/>
      <c r="AM182" s="39"/>
      <c r="AN182" s="143">
        <f t="shared" si="18"/>
        <v>0</v>
      </c>
      <c r="AO182" s="58"/>
      <c r="AP182" s="58"/>
      <c r="AQ182" s="149">
        <f t="shared" si="17"/>
        <v>0</v>
      </c>
      <c r="AR182" s="145">
        <f t="shared" si="15"/>
        <v>0</v>
      </c>
      <c r="AS182" s="49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</row>
    <row r="183" spans="1:58" ht="37.5" customHeight="1" x14ac:dyDescent="0.25">
      <c r="A183" s="27"/>
      <c r="B183" s="1"/>
      <c r="C183" s="9"/>
      <c r="D183" s="9"/>
      <c r="E183" s="9"/>
      <c r="F183" s="9"/>
      <c r="G183" s="56"/>
      <c r="H183" s="56"/>
      <c r="I183" s="44">
        <v>185</v>
      </c>
      <c r="J183" s="44"/>
      <c r="K183" s="56"/>
      <c r="L183" s="56"/>
      <c r="M183" s="56"/>
      <c r="N183" s="56"/>
      <c r="O183" s="57"/>
      <c r="P183" s="56"/>
      <c r="Q183" s="56"/>
      <c r="R183" s="58"/>
      <c r="S183" s="39"/>
      <c r="T183" s="39"/>
      <c r="U183" s="39"/>
      <c r="V183" s="41"/>
      <c r="W183" s="39"/>
      <c r="X183" s="39"/>
      <c r="Y183" s="39"/>
      <c r="Z183" s="41"/>
      <c r="AA183" s="56"/>
      <c r="AB183" s="56"/>
      <c r="AC183" s="56"/>
      <c r="AD183" s="58"/>
      <c r="AE183" s="58"/>
      <c r="AF183" s="42"/>
      <c r="AG183" s="42"/>
      <c r="AH183" s="42"/>
      <c r="AI183" s="42"/>
      <c r="AJ183" s="42"/>
      <c r="AK183" s="42"/>
      <c r="AL183" s="39"/>
      <c r="AM183" s="39"/>
      <c r="AN183" s="143">
        <f t="shared" si="18"/>
        <v>0</v>
      </c>
      <c r="AO183" s="58"/>
      <c r="AP183" s="58"/>
      <c r="AQ183" s="149">
        <f t="shared" si="17"/>
        <v>0</v>
      </c>
      <c r="AR183" s="145">
        <f t="shared" si="15"/>
        <v>0</v>
      </c>
      <c r="AS183" s="49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</row>
    <row r="184" spans="1:58" ht="37.5" customHeight="1" x14ac:dyDescent="0.25">
      <c r="A184" s="27"/>
      <c r="B184" s="1"/>
      <c r="C184" s="9"/>
      <c r="D184" s="9"/>
      <c r="E184" s="9"/>
      <c r="F184" s="9"/>
      <c r="G184" s="56"/>
      <c r="H184" s="56"/>
      <c r="I184" s="44">
        <v>186</v>
      </c>
      <c r="J184" s="44"/>
      <c r="K184" s="56"/>
      <c r="L184" s="56"/>
      <c r="M184" s="56"/>
      <c r="N184" s="56"/>
      <c r="O184" s="57"/>
      <c r="P184" s="56"/>
      <c r="Q184" s="56"/>
      <c r="R184" s="58"/>
      <c r="S184" s="39"/>
      <c r="T184" s="39"/>
      <c r="U184" s="39"/>
      <c r="V184" s="41"/>
      <c r="W184" s="39"/>
      <c r="X184" s="39"/>
      <c r="Y184" s="39"/>
      <c r="Z184" s="41"/>
      <c r="AA184" s="56"/>
      <c r="AB184" s="56"/>
      <c r="AC184" s="56"/>
      <c r="AD184" s="58"/>
      <c r="AE184" s="58"/>
      <c r="AF184" s="42"/>
      <c r="AG184" s="42"/>
      <c r="AH184" s="42"/>
      <c r="AI184" s="42"/>
      <c r="AJ184" s="42"/>
      <c r="AK184" s="42"/>
      <c r="AL184" s="39"/>
      <c r="AM184" s="39"/>
      <c r="AN184" s="143">
        <f t="shared" si="18"/>
        <v>0</v>
      </c>
      <c r="AO184" s="58"/>
      <c r="AP184" s="58"/>
      <c r="AQ184" s="149">
        <f t="shared" si="17"/>
        <v>0</v>
      </c>
      <c r="AR184" s="145">
        <f t="shared" si="15"/>
        <v>0</v>
      </c>
      <c r="AS184" s="49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</row>
    <row r="185" spans="1:58" ht="37.5" customHeight="1" x14ac:dyDescent="0.25">
      <c r="A185" s="27">
        <v>0</v>
      </c>
      <c r="B185" s="1"/>
      <c r="C185" s="9"/>
      <c r="D185" s="9"/>
      <c r="E185" s="9"/>
      <c r="F185" s="9"/>
      <c r="G185" s="56"/>
      <c r="H185" s="56"/>
      <c r="I185" s="44">
        <v>187</v>
      </c>
      <c r="J185" s="44"/>
      <c r="K185" s="56"/>
      <c r="L185" s="56"/>
      <c r="M185" s="56"/>
      <c r="N185" s="56"/>
      <c r="O185" s="57"/>
      <c r="P185" s="56"/>
      <c r="Q185" s="56"/>
      <c r="R185" s="58"/>
      <c r="S185" s="39"/>
      <c r="T185" s="39"/>
      <c r="U185" s="39"/>
      <c r="V185" s="41"/>
      <c r="W185" s="39"/>
      <c r="X185" s="39"/>
      <c r="Y185" s="39"/>
      <c r="Z185" s="41"/>
      <c r="AA185" s="56"/>
      <c r="AB185" s="56"/>
      <c r="AC185" s="56"/>
      <c r="AD185" s="58"/>
      <c r="AE185" s="58"/>
      <c r="AF185" s="42"/>
      <c r="AG185" s="42"/>
      <c r="AH185" s="42"/>
      <c r="AI185" s="42"/>
      <c r="AJ185" s="42"/>
      <c r="AK185" s="42"/>
      <c r="AL185" s="39"/>
      <c r="AM185" s="39"/>
      <c r="AN185" s="143">
        <f t="shared" si="18"/>
        <v>0</v>
      </c>
      <c r="AO185" s="58"/>
      <c r="AP185" s="58"/>
      <c r="AQ185" s="149">
        <f t="shared" si="17"/>
        <v>0</v>
      </c>
      <c r="AR185" s="145">
        <f t="shared" si="15"/>
        <v>0</v>
      </c>
      <c r="AS185" s="49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</row>
    <row r="186" spans="1:58" ht="45" customHeight="1" x14ac:dyDescent="0.25">
      <c r="A186" s="27"/>
      <c r="B186" s="1"/>
      <c r="C186" s="9"/>
      <c r="D186" s="9"/>
      <c r="E186" s="9"/>
      <c r="F186" s="9"/>
      <c r="G186" s="56"/>
      <c r="H186" s="56"/>
      <c r="I186" s="44">
        <v>188</v>
      </c>
      <c r="J186" s="44"/>
      <c r="K186" s="56"/>
      <c r="L186" s="56"/>
      <c r="M186" s="56"/>
      <c r="N186" s="56"/>
      <c r="O186" s="57"/>
      <c r="P186" s="56"/>
      <c r="Q186" s="56"/>
      <c r="R186" s="58"/>
      <c r="S186" s="39"/>
      <c r="T186" s="39"/>
      <c r="U186" s="39"/>
      <c r="V186" s="41"/>
      <c r="W186" s="39"/>
      <c r="X186" s="39"/>
      <c r="Y186" s="39"/>
      <c r="Z186" s="41"/>
      <c r="AA186" s="56"/>
      <c r="AB186" s="56"/>
      <c r="AC186" s="56"/>
      <c r="AD186" s="58"/>
      <c r="AE186" s="58"/>
      <c r="AF186" s="42"/>
      <c r="AG186" s="116"/>
      <c r="AH186" s="42"/>
      <c r="AI186" s="42"/>
      <c r="AJ186" s="42"/>
      <c r="AK186" s="42"/>
      <c r="AL186" s="39"/>
      <c r="AM186" s="39"/>
      <c r="AN186" s="143">
        <f t="shared" si="18"/>
        <v>0</v>
      </c>
      <c r="AO186" s="58"/>
      <c r="AP186" s="58"/>
      <c r="AQ186" s="149">
        <f t="shared" si="17"/>
        <v>0</v>
      </c>
      <c r="AR186" s="145">
        <f t="shared" si="15"/>
        <v>0</v>
      </c>
      <c r="AS186" s="49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</row>
    <row r="187" spans="1:58" ht="49.5" customHeight="1" x14ac:dyDescent="0.25">
      <c r="A187" s="27"/>
      <c r="B187" s="1"/>
      <c r="C187" s="9"/>
      <c r="D187" s="9"/>
      <c r="E187" s="9"/>
      <c r="F187" s="9"/>
      <c r="G187" s="56"/>
      <c r="H187" s="56"/>
      <c r="I187" s="44">
        <v>189</v>
      </c>
      <c r="J187" s="44"/>
      <c r="K187" s="56"/>
      <c r="L187" s="56"/>
      <c r="M187" s="56"/>
      <c r="N187" s="56"/>
      <c r="O187" s="57"/>
      <c r="P187" s="56"/>
      <c r="Q187" s="56"/>
      <c r="R187" s="58"/>
      <c r="S187" s="39"/>
      <c r="T187" s="39"/>
      <c r="U187" s="39"/>
      <c r="V187" s="41"/>
      <c r="W187" s="39"/>
      <c r="X187" s="39"/>
      <c r="Y187" s="39"/>
      <c r="Z187" s="41"/>
      <c r="AA187" s="56"/>
      <c r="AB187" s="56"/>
      <c r="AC187" s="56"/>
      <c r="AD187" s="58"/>
      <c r="AE187" s="58"/>
      <c r="AF187" s="42"/>
      <c r="AG187" s="42"/>
      <c r="AH187" s="42"/>
      <c r="AI187" s="42"/>
      <c r="AJ187" s="42"/>
      <c r="AK187" s="42"/>
      <c r="AL187" s="39"/>
      <c r="AM187" s="39"/>
      <c r="AN187" s="143">
        <f t="shared" si="18"/>
        <v>0</v>
      </c>
      <c r="AO187" s="58"/>
      <c r="AP187" s="58"/>
      <c r="AQ187" s="149">
        <f t="shared" si="17"/>
        <v>0</v>
      </c>
      <c r="AR187" s="145">
        <f t="shared" si="15"/>
        <v>0</v>
      </c>
      <c r="AS187" s="49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</row>
    <row r="188" spans="1:58" ht="37.5" customHeight="1" x14ac:dyDescent="0.25">
      <c r="A188" s="27"/>
      <c r="B188" s="1"/>
      <c r="C188" s="9"/>
      <c r="D188" s="9"/>
      <c r="E188" s="9"/>
      <c r="F188" s="9"/>
      <c r="G188" s="56"/>
      <c r="H188" s="56"/>
      <c r="I188" s="44">
        <v>190</v>
      </c>
      <c r="J188" s="44"/>
      <c r="K188" s="56"/>
      <c r="L188" s="56"/>
      <c r="M188" s="56"/>
      <c r="N188" s="56"/>
      <c r="O188" s="57"/>
      <c r="P188" s="56"/>
      <c r="Q188" s="56"/>
      <c r="R188" s="58"/>
      <c r="S188" s="39"/>
      <c r="T188" s="39"/>
      <c r="U188" s="39"/>
      <c r="V188" s="41"/>
      <c r="W188" s="39"/>
      <c r="X188" s="39"/>
      <c r="Y188" s="39"/>
      <c r="Z188" s="41"/>
      <c r="AA188" s="56"/>
      <c r="AB188" s="56"/>
      <c r="AC188" s="56"/>
      <c r="AD188" s="58"/>
      <c r="AE188" s="58"/>
      <c r="AF188" s="42"/>
      <c r="AG188" s="42"/>
      <c r="AH188" s="42"/>
      <c r="AI188" s="42"/>
      <c r="AJ188" s="42"/>
      <c r="AK188" s="42"/>
      <c r="AL188" s="39"/>
      <c r="AM188" s="39"/>
      <c r="AN188" s="143">
        <f>AA188-AB188-AD188-AF188-AH188-AJ188-AL188</f>
        <v>0</v>
      </c>
      <c r="AO188" s="58"/>
      <c r="AP188" s="58"/>
      <c r="AQ188" s="149">
        <f>+AB188+AD188+AF188+AH188+AJ188+AL188</f>
        <v>0</v>
      </c>
      <c r="AR188" s="145">
        <f t="shared" si="15"/>
        <v>0</v>
      </c>
      <c r="AS188" s="49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</row>
    <row r="189" spans="1:58" ht="42" customHeight="1" x14ac:dyDescent="0.25">
      <c r="A189" s="27"/>
      <c r="B189" s="1"/>
      <c r="C189" s="9"/>
      <c r="D189" s="9"/>
      <c r="E189" s="9"/>
      <c r="F189" s="9"/>
      <c r="G189" s="56"/>
      <c r="H189" s="56"/>
      <c r="I189" s="44">
        <v>191</v>
      </c>
      <c r="J189" s="44"/>
      <c r="K189" s="56"/>
      <c r="L189" s="56"/>
      <c r="M189" s="56"/>
      <c r="N189" s="56"/>
      <c r="O189" s="57"/>
      <c r="P189" s="56"/>
      <c r="Q189" s="56"/>
      <c r="R189" s="58"/>
      <c r="S189" s="39"/>
      <c r="T189" s="39"/>
      <c r="U189" s="39"/>
      <c r="V189" s="41"/>
      <c r="W189" s="39"/>
      <c r="X189" s="39"/>
      <c r="Y189" s="39"/>
      <c r="Z189" s="41"/>
      <c r="AA189" s="56"/>
      <c r="AB189" s="56"/>
      <c r="AC189" s="56"/>
      <c r="AD189" s="58"/>
      <c r="AE189" s="58"/>
      <c r="AF189" s="42"/>
      <c r="AG189" s="42"/>
      <c r="AH189" s="42"/>
      <c r="AI189" s="42"/>
      <c r="AJ189" s="42"/>
      <c r="AK189" s="42"/>
      <c r="AL189" s="39"/>
      <c r="AM189" s="39"/>
      <c r="AN189" s="143">
        <f t="shared" si="18"/>
        <v>0</v>
      </c>
      <c r="AO189" s="58"/>
      <c r="AP189" s="58"/>
      <c r="AQ189" s="149">
        <f t="shared" si="17"/>
        <v>0</v>
      </c>
      <c r="AR189" s="145">
        <f t="shared" si="15"/>
        <v>0</v>
      </c>
      <c r="AS189" s="49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</row>
    <row r="190" spans="1:58" ht="45.75" customHeight="1" x14ac:dyDescent="0.25">
      <c r="A190" s="27"/>
      <c r="B190" s="1"/>
      <c r="C190" s="9"/>
      <c r="D190" s="9"/>
      <c r="E190" s="9"/>
      <c r="F190" s="9"/>
      <c r="G190" s="56"/>
      <c r="H190" s="56"/>
      <c r="I190" s="44">
        <v>192</v>
      </c>
      <c r="J190" s="44"/>
      <c r="K190" s="56"/>
      <c r="L190" s="56"/>
      <c r="M190" s="56"/>
      <c r="N190" s="56"/>
      <c r="O190" s="57"/>
      <c r="P190" s="56"/>
      <c r="Q190" s="56"/>
      <c r="R190" s="58"/>
      <c r="S190" s="39"/>
      <c r="T190" s="39"/>
      <c r="U190" s="39"/>
      <c r="V190" s="41"/>
      <c r="W190" s="39"/>
      <c r="X190" s="39"/>
      <c r="Y190" s="39"/>
      <c r="Z190" s="41"/>
      <c r="AA190" s="40"/>
      <c r="AB190" s="158"/>
      <c r="AC190" s="158"/>
      <c r="AD190" s="39"/>
      <c r="AE190" s="39"/>
      <c r="AF190" s="42"/>
      <c r="AG190" s="42"/>
      <c r="AH190" s="42"/>
      <c r="AI190" s="42"/>
      <c r="AJ190" s="42"/>
      <c r="AK190" s="42"/>
      <c r="AL190" s="39"/>
      <c r="AM190" s="39"/>
      <c r="AN190" s="143">
        <f t="shared" si="18"/>
        <v>0</v>
      </c>
      <c r="AO190" s="58"/>
      <c r="AP190" s="58"/>
      <c r="AQ190" s="149">
        <f t="shared" si="17"/>
        <v>0</v>
      </c>
      <c r="AR190" s="145">
        <f t="shared" si="15"/>
        <v>0</v>
      </c>
      <c r="AS190" s="49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</row>
    <row r="191" spans="1:58" ht="37.5" customHeight="1" x14ac:dyDescent="0.25">
      <c r="A191" s="27"/>
      <c r="B191" s="1"/>
      <c r="C191" s="9"/>
      <c r="D191" s="9"/>
      <c r="E191" s="9"/>
      <c r="F191" s="9"/>
      <c r="G191" s="56"/>
      <c r="H191" s="56"/>
      <c r="I191" s="44">
        <v>193</v>
      </c>
      <c r="J191" s="44"/>
      <c r="K191" s="56"/>
      <c r="L191" s="56"/>
      <c r="M191" s="56"/>
      <c r="N191" s="56"/>
      <c r="O191" s="57"/>
      <c r="P191" s="56"/>
      <c r="Q191" s="56"/>
      <c r="R191" s="58"/>
      <c r="S191" s="39"/>
      <c r="T191" s="39"/>
      <c r="U191" s="39"/>
      <c r="V191" s="41"/>
      <c r="W191" s="39"/>
      <c r="X191" s="39"/>
      <c r="Y191" s="39"/>
      <c r="Z191" s="41"/>
      <c r="AA191" s="56"/>
      <c r="AB191" s="56"/>
      <c r="AC191" s="56"/>
      <c r="AD191" s="58"/>
      <c r="AE191" s="58"/>
      <c r="AF191" s="42"/>
      <c r="AG191" s="42"/>
      <c r="AH191" s="42"/>
      <c r="AI191" s="42"/>
      <c r="AJ191" s="42"/>
      <c r="AK191" s="37"/>
      <c r="AL191" s="39"/>
      <c r="AM191" s="39"/>
      <c r="AN191" s="143">
        <f t="shared" si="18"/>
        <v>0</v>
      </c>
      <c r="AO191" s="58"/>
      <c r="AP191" s="58"/>
      <c r="AQ191" s="149">
        <f t="shared" si="17"/>
        <v>0</v>
      </c>
      <c r="AR191" s="145">
        <f t="shared" si="15"/>
        <v>0</v>
      </c>
      <c r="AS191" s="49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</row>
    <row r="192" spans="1:58" ht="37.5" customHeight="1" x14ac:dyDescent="0.25">
      <c r="A192" s="27"/>
      <c r="B192" s="1"/>
      <c r="C192" s="9"/>
      <c r="D192" s="9"/>
      <c r="E192" s="9"/>
      <c r="F192" s="9"/>
      <c r="G192" s="56"/>
      <c r="H192" s="56"/>
      <c r="I192" s="44">
        <v>194</v>
      </c>
      <c r="J192" s="44"/>
      <c r="K192" s="56"/>
      <c r="L192" s="56"/>
      <c r="M192" s="56"/>
      <c r="N192" s="56"/>
      <c r="O192" s="57"/>
      <c r="P192" s="56"/>
      <c r="Q192" s="56"/>
      <c r="R192" s="58"/>
      <c r="S192" s="39"/>
      <c r="T192" s="39"/>
      <c r="U192" s="39"/>
      <c r="V192" s="41"/>
      <c r="W192" s="39"/>
      <c r="X192" s="39"/>
      <c r="Y192" s="39"/>
      <c r="Z192" s="41"/>
      <c r="AA192" s="56"/>
      <c r="AB192" s="56"/>
      <c r="AC192" s="56"/>
      <c r="AD192" s="58"/>
      <c r="AE192" s="58"/>
      <c r="AF192" s="42"/>
      <c r="AG192" s="42"/>
      <c r="AH192" s="42"/>
      <c r="AI192" s="42"/>
      <c r="AJ192" s="129"/>
      <c r="AK192" s="129"/>
      <c r="AL192" s="115"/>
      <c r="AM192" s="39"/>
      <c r="AN192" s="143">
        <f t="shared" si="18"/>
        <v>0</v>
      </c>
      <c r="AO192" s="58"/>
      <c r="AP192" s="58"/>
      <c r="AQ192" s="149">
        <f t="shared" si="17"/>
        <v>0</v>
      </c>
      <c r="AR192" s="145">
        <f t="shared" si="15"/>
        <v>0</v>
      </c>
      <c r="AS192" s="49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</row>
    <row r="193" spans="1:58" ht="37.5" customHeight="1" x14ac:dyDescent="0.25">
      <c r="A193" s="27"/>
      <c r="B193" s="1"/>
      <c r="C193" s="9"/>
      <c r="D193" s="9"/>
      <c r="E193" s="9"/>
      <c r="F193" s="9"/>
      <c r="G193" s="56"/>
      <c r="H193" s="56"/>
      <c r="I193" s="44">
        <v>195</v>
      </c>
      <c r="J193" s="44"/>
      <c r="K193" s="56"/>
      <c r="L193" s="56"/>
      <c r="M193" s="56"/>
      <c r="N193" s="56"/>
      <c r="O193" s="57"/>
      <c r="P193" s="56"/>
      <c r="Q193" s="56"/>
      <c r="R193" s="58"/>
      <c r="S193" s="39"/>
      <c r="T193" s="39"/>
      <c r="U193" s="39"/>
      <c r="V193" s="41"/>
      <c r="W193" s="39"/>
      <c r="X193" s="39"/>
      <c r="Y193" s="39"/>
      <c r="Z193" s="41"/>
      <c r="AA193" s="56"/>
      <c r="AB193" s="56"/>
      <c r="AC193" s="56"/>
      <c r="AD193" s="58"/>
      <c r="AE193" s="58"/>
      <c r="AF193" s="42"/>
      <c r="AG193" s="42"/>
      <c r="AH193" s="42"/>
      <c r="AI193" s="42"/>
      <c r="AJ193" s="42"/>
      <c r="AK193" s="42"/>
      <c r="AL193" s="39"/>
      <c r="AM193" s="39"/>
      <c r="AN193" s="143">
        <f t="shared" si="18"/>
        <v>0</v>
      </c>
      <c r="AO193" s="58"/>
      <c r="AP193" s="58"/>
      <c r="AQ193" s="58">
        <f t="shared" si="17"/>
        <v>0</v>
      </c>
      <c r="AR193" s="145">
        <f t="shared" si="15"/>
        <v>0</v>
      </c>
      <c r="AS193" s="49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</row>
    <row r="194" spans="1:58" ht="37.5" customHeight="1" x14ac:dyDescent="0.25">
      <c r="A194" s="27"/>
      <c r="B194" s="1"/>
      <c r="C194" s="9"/>
      <c r="D194" s="9"/>
      <c r="E194" s="9"/>
      <c r="F194" s="9"/>
      <c r="G194" s="56"/>
      <c r="H194" s="56"/>
      <c r="I194" s="44">
        <v>196</v>
      </c>
      <c r="J194" s="44"/>
      <c r="K194" s="56"/>
      <c r="L194" s="56"/>
      <c r="M194" s="56"/>
      <c r="N194" s="56"/>
      <c r="O194" s="57"/>
      <c r="P194" s="56"/>
      <c r="Q194" s="56"/>
      <c r="R194" s="58"/>
      <c r="S194" s="39"/>
      <c r="T194" s="39"/>
      <c r="U194" s="39"/>
      <c r="V194" s="41"/>
      <c r="W194" s="39"/>
      <c r="X194" s="39"/>
      <c r="Y194" s="39"/>
      <c r="Z194" s="41"/>
      <c r="AA194" s="56"/>
      <c r="AB194" s="56"/>
      <c r="AC194" s="56"/>
      <c r="AD194" s="58"/>
      <c r="AE194" s="58"/>
      <c r="AF194" s="42"/>
      <c r="AG194" s="42"/>
      <c r="AH194" s="42"/>
      <c r="AI194" s="42"/>
      <c r="AJ194" s="42"/>
      <c r="AK194" s="116"/>
      <c r="AL194" s="39"/>
      <c r="AM194" s="39"/>
      <c r="AN194" s="143">
        <f t="shared" si="18"/>
        <v>0</v>
      </c>
      <c r="AO194" s="58"/>
      <c r="AP194" s="58"/>
      <c r="AQ194" s="58">
        <f t="shared" si="17"/>
        <v>0</v>
      </c>
      <c r="AR194" s="145">
        <f t="shared" ref="AR194:AR257" si="19">AN194+Z194+V194-AO194+AP194</f>
        <v>0</v>
      </c>
      <c r="AS194" s="49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</row>
    <row r="195" spans="1:58" ht="37.5" customHeight="1" x14ac:dyDescent="0.25">
      <c r="A195" s="27"/>
      <c r="B195" s="1"/>
      <c r="C195" s="9"/>
      <c r="D195" s="9"/>
      <c r="E195" s="9"/>
      <c r="F195" s="9"/>
      <c r="G195" s="56"/>
      <c r="H195" s="56"/>
      <c r="I195" s="44">
        <v>197</v>
      </c>
      <c r="J195" s="44"/>
      <c r="K195" s="56"/>
      <c r="L195" s="56"/>
      <c r="M195" s="56"/>
      <c r="N195" s="56"/>
      <c r="O195" s="57"/>
      <c r="P195" s="56"/>
      <c r="Q195" s="56"/>
      <c r="R195" s="58"/>
      <c r="S195" s="39"/>
      <c r="T195" s="39"/>
      <c r="U195" s="39"/>
      <c r="V195" s="41"/>
      <c r="W195" s="39"/>
      <c r="X195" s="39"/>
      <c r="Y195" s="39"/>
      <c r="Z195" s="41"/>
      <c r="AA195" s="56"/>
      <c r="AB195" s="56"/>
      <c r="AC195" s="56"/>
      <c r="AD195" s="58"/>
      <c r="AE195" s="58"/>
      <c r="AF195" s="42"/>
      <c r="AG195" s="42"/>
      <c r="AH195" s="42"/>
      <c r="AI195" s="42"/>
      <c r="AJ195" s="42"/>
      <c r="AK195" s="42"/>
      <c r="AL195" s="39"/>
      <c r="AM195" s="39"/>
      <c r="AN195" s="143">
        <f>AA195-AB195-AD195-AF195-AH195-AJ195</f>
        <v>0</v>
      </c>
      <c r="AO195" s="58"/>
      <c r="AP195" s="58"/>
      <c r="AQ195" s="58">
        <f t="shared" si="17"/>
        <v>0</v>
      </c>
      <c r="AR195" s="145">
        <f t="shared" si="19"/>
        <v>0</v>
      </c>
      <c r="AS195" s="49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</row>
    <row r="196" spans="1:58" ht="37.5" customHeight="1" x14ac:dyDescent="0.25">
      <c r="A196" s="27"/>
      <c r="B196" s="1"/>
      <c r="C196" s="9"/>
      <c r="D196" s="9"/>
      <c r="E196" s="9"/>
      <c r="F196" s="9"/>
      <c r="G196" s="56"/>
      <c r="H196" s="56"/>
      <c r="I196" s="44">
        <v>145</v>
      </c>
      <c r="J196" s="44"/>
      <c r="K196" s="56"/>
      <c r="L196" s="56"/>
      <c r="M196" s="56"/>
      <c r="N196" s="56"/>
      <c r="O196" s="57"/>
      <c r="P196" s="56"/>
      <c r="Q196" s="56"/>
      <c r="R196" s="58"/>
      <c r="S196" s="39"/>
      <c r="T196" s="39"/>
      <c r="U196" s="39"/>
      <c r="V196" s="41"/>
      <c r="W196" s="39"/>
      <c r="X196" s="39"/>
      <c r="Y196" s="39"/>
      <c r="Z196" s="41"/>
      <c r="AA196" s="56"/>
      <c r="AB196" s="56"/>
      <c r="AC196" s="56"/>
      <c r="AD196" s="58"/>
      <c r="AE196" s="58"/>
      <c r="AF196" s="42"/>
      <c r="AG196" s="42"/>
      <c r="AH196" s="42"/>
      <c r="AI196" s="42"/>
      <c r="AJ196" s="42"/>
      <c r="AK196" s="42"/>
      <c r="AL196" s="39"/>
      <c r="AM196" s="39"/>
      <c r="AN196" s="143">
        <f>AA196-AB196-AD196-AF196-AH196-AJ196-AL196</f>
        <v>0</v>
      </c>
      <c r="AO196" s="58"/>
      <c r="AP196" s="58"/>
      <c r="AQ196" s="58">
        <f>+AB196+AD196+AF196+AH196+AJ196+AL196</f>
        <v>0</v>
      </c>
      <c r="AR196" s="145">
        <f t="shared" si="19"/>
        <v>0</v>
      </c>
      <c r="AS196" s="49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</row>
    <row r="197" spans="1:58" ht="37.5" customHeight="1" x14ac:dyDescent="0.25">
      <c r="A197" s="27"/>
      <c r="B197" s="1"/>
      <c r="C197" s="9"/>
      <c r="D197" s="9"/>
      <c r="E197" s="9"/>
      <c r="F197" s="9"/>
      <c r="G197" s="56"/>
      <c r="H197" s="56"/>
      <c r="I197" s="44">
        <v>145</v>
      </c>
      <c r="J197" s="44"/>
      <c r="K197" s="14"/>
      <c r="L197" s="14"/>
      <c r="M197" s="14"/>
      <c r="N197" s="14"/>
      <c r="O197" s="32"/>
      <c r="P197" s="14"/>
      <c r="Q197" s="14"/>
      <c r="R197" s="9"/>
      <c r="S197" s="11"/>
      <c r="T197" s="9"/>
      <c r="U197" s="9"/>
      <c r="V197" s="9"/>
      <c r="W197" s="11"/>
      <c r="X197" s="11"/>
      <c r="Y197" s="65"/>
      <c r="Z197" s="65"/>
      <c r="AA197" s="56"/>
      <c r="AB197" s="14"/>
      <c r="AC197" s="14"/>
      <c r="AD197" s="58"/>
      <c r="AE197" s="58"/>
      <c r="AF197" s="42"/>
      <c r="AG197" s="42"/>
      <c r="AH197" s="42"/>
      <c r="AI197" s="42"/>
      <c r="AJ197" s="42"/>
      <c r="AK197" s="42"/>
      <c r="AL197" s="39"/>
      <c r="AM197" s="39"/>
      <c r="AN197" s="143">
        <f t="shared" si="18"/>
        <v>0</v>
      </c>
      <c r="AO197" s="58"/>
      <c r="AP197" s="58"/>
      <c r="AQ197" s="58">
        <f t="shared" si="17"/>
        <v>0</v>
      </c>
      <c r="AR197" s="145">
        <f t="shared" si="19"/>
        <v>0</v>
      </c>
      <c r="AS197" s="49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</row>
    <row r="198" spans="1:58" ht="37.5" customHeight="1" x14ac:dyDescent="0.25">
      <c r="A198" s="27"/>
      <c r="B198" s="1"/>
      <c r="C198" s="9"/>
      <c r="D198" s="9"/>
      <c r="E198" s="9"/>
      <c r="F198" s="9"/>
      <c r="G198" s="56"/>
      <c r="H198" s="56"/>
      <c r="I198" s="44">
        <v>145</v>
      </c>
      <c r="J198" s="44"/>
      <c r="K198" s="56"/>
      <c r="L198" s="56"/>
      <c r="M198" s="56"/>
      <c r="N198" s="56"/>
      <c r="O198" s="57"/>
      <c r="P198" s="56"/>
      <c r="Q198" s="56"/>
      <c r="R198" s="58"/>
      <c r="S198" s="39"/>
      <c r="T198" s="39"/>
      <c r="U198" s="39"/>
      <c r="V198" s="41"/>
      <c r="W198" s="39"/>
      <c r="X198" s="39"/>
      <c r="Y198" s="39"/>
      <c r="Z198" s="41"/>
      <c r="AA198" s="56"/>
      <c r="AB198" s="56"/>
      <c r="AC198" s="56"/>
      <c r="AD198" s="58"/>
      <c r="AE198" s="58"/>
      <c r="AF198" s="42"/>
      <c r="AG198" s="42"/>
      <c r="AH198" s="42"/>
      <c r="AI198" s="42"/>
      <c r="AJ198" s="42"/>
      <c r="AK198" s="42"/>
      <c r="AL198" s="39"/>
      <c r="AM198" s="39"/>
      <c r="AN198" s="143">
        <f>AA198-AB198-AD198-AF198-AH198-AJ198-AL198</f>
        <v>0</v>
      </c>
      <c r="AO198" s="58"/>
      <c r="AP198" s="58"/>
      <c r="AQ198" s="58">
        <f>+AB198+AD198+AF198+AH198+AJ198+AL198</f>
        <v>0</v>
      </c>
      <c r="AR198" s="145">
        <f t="shared" si="19"/>
        <v>0</v>
      </c>
      <c r="AS198" s="49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</row>
    <row r="199" spans="1:58" ht="37.5" customHeight="1" x14ac:dyDescent="0.25">
      <c r="A199" s="27"/>
      <c r="B199" s="1"/>
      <c r="C199" s="9"/>
      <c r="D199" s="9"/>
      <c r="E199" s="108"/>
      <c r="F199" s="9"/>
      <c r="G199" s="56"/>
      <c r="H199" s="56"/>
      <c r="I199" s="44">
        <v>145</v>
      </c>
      <c r="J199" s="44"/>
      <c r="K199" s="56"/>
      <c r="L199" s="56"/>
      <c r="M199" s="56"/>
      <c r="N199" s="56"/>
      <c r="O199" s="57"/>
      <c r="P199" s="56"/>
      <c r="Q199" s="56"/>
      <c r="R199" s="58"/>
      <c r="S199" s="39"/>
      <c r="T199" s="39"/>
      <c r="U199" s="39"/>
      <c r="V199" s="41"/>
      <c r="W199" s="39"/>
      <c r="X199" s="39"/>
      <c r="Y199" s="39"/>
      <c r="Z199" s="41"/>
      <c r="AA199" s="56"/>
      <c r="AB199" s="56"/>
      <c r="AC199" s="56"/>
      <c r="AD199" s="58"/>
      <c r="AE199" s="58"/>
      <c r="AF199" s="42"/>
      <c r="AG199" s="42"/>
      <c r="AH199" s="42"/>
      <c r="AI199" s="42"/>
      <c r="AJ199" s="42"/>
      <c r="AK199" s="42"/>
      <c r="AL199" s="39"/>
      <c r="AM199" s="39"/>
      <c r="AN199" s="143">
        <f t="shared" si="18"/>
        <v>0</v>
      </c>
      <c r="AO199" s="58"/>
      <c r="AP199" s="58"/>
      <c r="AQ199" s="58">
        <f t="shared" si="17"/>
        <v>0</v>
      </c>
      <c r="AR199" s="145">
        <f t="shared" si="19"/>
        <v>0</v>
      </c>
      <c r="AS199" s="49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</row>
    <row r="200" spans="1:58" ht="37.5" customHeight="1" x14ac:dyDescent="0.25">
      <c r="A200" s="27"/>
      <c r="B200" s="1"/>
      <c r="C200" s="9"/>
      <c r="D200" s="9"/>
      <c r="E200" s="108"/>
      <c r="F200" s="9"/>
      <c r="G200" s="56"/>
      <c r="H200" s="56"/>
      <c r="I200" s="44"/>
      <c r="J200" s="44"/>
      <c r="K200" s="56"/>
      <c r="L200" s="56"/>
      <c r="M200" s="56"/>
      <c r="N200" s="56"/>
      <c r="O200" s="57"/>
      <c r="P200" s="56"/>
      <c r="Q200" s="56"/>
      <c r="R200" s="58"/>
      <c r="S200" s="58"/>
      <c r="T200" s="58"/>
      <c r="U200" s="58"/>
      <c r="V200" s="143"/>
      <c r="W200" s="58"/>
      <c r="X200" s="58"/>
      <c r="Y200" s="58"/>
      <c r="Z200" s="143"/>
      <c r="AA200" s="56"/>
      <c r="AB200" s="56"/>
      <c r="AC200" s="56"/>
      <c r="AD200" s="58"/>
      <c r="AE200" s="58"/>
      <c r="AF200" s="42"/>
      <c r="AG200" s="42"/>
      <c r="AH200" s="42"/>
      <c r="AI200" s="42"/>
      <c r="AJ200" s="42"/>
      <c r="AK200" s="42"/>
      <c r="AL200" s="39"/>
      <c r="AM200" s="39"/>
      <c r="AN200" s="143">
        <f t="shared" si="18"/>
        <v>0</v>
      </c>
      <c r="AO200" s="58"/>
      <c r="AP200" s="58"/>
      <c r="AQ200" s="58">
        <f t="shared" si="17"/>
        <v>0</v>
      </c>
      <c r="AR200" s="145">
        <f t="shared" si="19"/>
        <v>0</v>
      </c>
      <c r="AS200" s="183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</row>
    <row r="201" spans="1:58" ht="37.5" customHeight="1" x14ac:dyDescent="0.25">
      <c r="A201" s="27"/>
      <c r="B201" s="1"/>
      <c r="C201" s="9"/>
      <c r="D201" s="9"/>
      <c r="E201" s="108"/>
      <c r="F201" s="9"/>
      <c r="G201" s="56"/>
      <c r="H201" s="56"/>
      <c r="I201" s="44">
        <v>205</v>
      </c>
      <c r="J201" s="44"/>
      <c r="K201" s="56"/>
      <c r="L201" s="56"/>
      <c r="M201" s="56"/>
      <c r="N201" s="56"/>
      <c r="O201" s="57"/>
      <c r="P201" s="56"/>
      <c r="Q201" s="56"/>
      <c r="R201" s="58"/>
      <c r="S201" s="9"/>
      <c r="T201" s="9"/>
      <c r="U201" s="9"/>
      <c r="V201" s="11"/>
      <c r="W201" s="9"/>
      <c r="X201" s="9"/>
      <c r="Y201" s="9"/>
      <c r="Z201" s="11"/>
      <c r="AA201" s="56"/>
      <c r="AB201" s="56"/>
      <c r="AC201" s="56"/>
      <c r="AD201" s="58"/>
      <c r="AE201" s="58"/>
      <c r="AF201" s="7"/>
      <c r="AG201" s="7"/>
      <c r="AH201" s="7"/>
      <c r="AI201" s="7"/>
      <c r="AJ201" s="7"/>
      <c r="AK201" s="7"/>
      <c r="AL201" s="9"/>
      <c r="AM201" s="9"/>
      <c r="AN201" s="143">
        <f t="shared" si="18"/>
        <v>0</v>
      </c>
      <c r="AO201" s="58"/>
      <c r="AP201" s="58"/>
      <c r="AQ201" s="58">
        <f t="shared" si="17"/>
        <v>0</v>
      </c>
      <c r="AR201" s="145">
        <f t="shared" si="19"/>
        <v>0</v>
      </c>
      <c r="AS201" s="183"/>
    </row>
    <row r="202" spans="1:58" ht="37.5" customHeight="1" x14ac:dyDescent="0.25">
      <c r="A202" s="27"/>
      <c r="B202" s="1"/>
      <c r="C202" s="9"/>
      <c r="D202" s="9"/>
      <c r="E202" s="108"/>
      <c r="F202" s="9"/>
      <c r="G202" s="56"/>
      <c r="H202" s="56"/>
      <c r="I202" s="44">
        <v>206</v>
      </c>
      <c r="J202" s="44"/>
      <c r="K202" s="56"/>
      <c r="L202" s="56"/>
      <c r="M202" s="56"/>
      <c r="N202" s="56"/>
      <c r="O202" s="57"/>
      <c r="P202" s="56"/>
      <c r="Q202" s="56"/>
      <c r="R202" s="58"/>
      <c r="S202" s="9"/>
      <c r="T202" s="9"/>
      <c r="U202" s="9"/>
      <c r="V202" s="11"/>
      <c r="W202" s="9"/>
      <c r="X202" s="9"/>
      <c r="Y202" s="9"/>
      <c r="Z202" s="11"/>
      <c r="AA202" s="56"/>
      <c r="AB202" s="56"/>
      <c r="AC202" s="56"/>
      <c r="AD202" s="58"/>
      <c r="AE202" s="58"/>
      <c r="AF202" s="7"/>
      <c r="AG202" s="7"/>
      <c r="AH202" s="7"/>
      <c r="AI202" s="7"/>
      <c r="AJ202" s="7"/>
      <c r="AK202" s="7"/>
      <c r="AL202" s="9"/>
      <c r="AM202" s="9"/>
      <c r="AN202" s="143">
        <f t="shared" si="18"/>
        <v>0</v>
      </c>
      <c r="AO202" s="58"/>
      <c r="AP202" s="58"/>
      <c r="AQ202" s="58">
        <f t="shared" si="17"/>
        <v>0</v>
      </c>
      <c r="AR202" s="145">
        <f t="shared" si="19"/>
        <v>0</v>
      </c>
      <c r="AS202" s="183"/>
    </row>
    <row r="203" spans="1:58" ht="47.25" customHeight="1" x14ac:dyDescent="0.25">
      <c r="A203" s="27"/>
      <c r="B203" s="1"/>
      <c r="C203" s="9"/>
      <c r="D203" s="9"/>
      <c r="E203" s="108"/>
      <c r="F203" s="9"/>
      <c r="G203" s="56"/>
      <c r="H203" s="56"/>
      <c r="I203" s="44">
        <v>207</v>
      </c>
      <c r="J203" s="44"/>
      <c r="K203" s="56"/>
      <c r="L203" s="56"/>
      <c r="M203" s="56"/>
      <c r="N203" s="56"/>
      <c r="O203" s="57"/>
      <c r="P203" s="56"/>
      <c r="Q203" s="56"/>
      <c r="R203" s="58"/>
      <c r="S203" s="9"/>
      <c r="T203" s="9"/>
      <c r="U203" s="9"/>
      <c r="V203" s="11"/>
      <c r="W203" s="9"/>
      <c r="X203" s="9"/>
      <c r="Y203" s="9"/>
      <c r="Z203" s="11"/>
      <c r="AA203" s="56"/>
      <c r="AB203" s="56"/>
      <c r="AC203" s="56"/>
      <c r="AD203" s="58"/>
      <c r="AE203" s="58"/>
      <c r="AF203" s="7"/>
      <c r="AG203" s="7"/>
      <c r="AH203" s="7"/>
      <c r="AI203" s="7"/>
      <c r="AJ203" s="7"/>
      <c r="AK203" s="7"/>
      <c r="AL203" s="9"/>
      <c r="AM203" s="9"/>
      <c r="AN203" s="143">
        <f t="shared" si="18"/>
        <v>0</v>
      </c>
      <c r="AO203" s="58"/>
      <c r="AP203" s="58"/>
      <c r="AQ203" s="58">
        <f t="shared" si="17"/>
        <v>0</v>
      </c>
      <c r="AR203" s="145">
        <f t="shared" si="19"/>
        <v>0</v>
      </c>
      <c r="AS203" s="183"/>
    </row>
    <row r="204" spans="1:58" ht="37.5" customHeight="1" x14ac:dyDescent="0.25">
      <c r="A204" s="27"/>
      <c r="B204" s="1"/>
      <c r="C204" s="9"/>
      <c r="D204" s="9"/>
      <c r="E204" s="108"/>
      <c r="F204" s="9"/>
      <c r="G204" s="56"/>
      <c r="H204" s="56"/>
      <c r="I204" s="44">
        <v>208</v>
      </c>
      <c r="J204" s="44"/>
      <c r="K204" s="56"/>
      <c r="L204" s="56"/>
      <c r="M204" s="56"/>
      <c r="N204" s="56"/>
      <c r="O204" s="57"/>
      <c r="P204" s="56"/>
      <c r="Q204" s="56"/>
      <c r="R204" s="58"/>
      <c r="S204" s="9"/>
      <c r="T204" s="9"/>
      <c r="U204" s="9"/>
      <c r="V204" s="11"/>
      <c r="W204" s="9"/>
      <c r="X204" s="9"/>
      <c r="Y204" s="9"/>
      <c r="Z204" s="11"/>
      <c r="AA204" s="56"/>
      <c r="AB204" s="56"/>
      <c r="AC204" s="56"/>
      <c r="AD204" s="58"/>
      <c r="AE204" s="58"/>
      <c r="AF204" s="7"/>
      <c r="AG204" s="7"/>
      <c r="AH204" s="7"/>
      <c r="AI204" s="7"/>
      <c r="AJ204" s="7"/>
      <c r="AK204" s="7"/>
      <c r="AL204" s="9"/>
      <c r="AM204" s="9"/>
      <c r="AN204" s="143">
        <f t="shared" si="18"/>
        <v>0</v>
      </c>
      <c r="AO204" s="58"/>
      <c r="AP204" s="58"/>
      <c r="AQ204" s="58">
        <f t="shared" si="17"/>
        <v>0</v>
      </c>
      <c r="AR204" s="145">
        <f t="shared" si="19"/>
        <v>0</v>
      </c>
      <c r="AS204" s="183"/>
    </row>
    <row r="205" spans="1:58" ht="48.75" customHeight="1" x14ac:dyDescent="0.25">
      <c r="A205" s="27"/>
      <c r="B205" s="1"/>
      <c r="C205" s="9"/>
      <c r="D205" s="9"/>
      <c r="E205" s="108"/>
      <c r="F205" s="9"/>
      <c r="G205" s="56"/>
      <c r="H205" s="56"/>
      <c r="I205" s="44">
        <v>209</v>
      </c>
      <c r="J205" s="44"/>
      <c r="K205" s="107"/>
      <c r="L205" s="56"/>
      <c r="M205" s="56"/>
      <c r="N205" s="56"/>
      <c r="O205" s="57"/>
      <c r="P205" s="56"/>
      <c r="Q205" s="56"/>
      <c r="R205" s="58"/>
      <c r="S205" s="9"/>
      <c r="T205" s="9"/>
      <c r="U205" s="9"/>
      <c r="V205" s="11"/>
      <c r="W205" s="9"/>
      <c r="X205" s="9"/>
      <c r="Y205" s="9"/>
      <c r="Z205" s="11"/>
      <c r="AA205" s="56"/>
      <c r="AB205" s="56"/>
      <c r="AC205" s="56"/>
      <c r="AD205" s="58"/>
      <c r="AE205" s="58"/>
      <c r="AF205" s="7"/>
      <c r="AG205" s="7"/>
      <c r="AH205" s="7"/>
      <c r="AI205" s="7"/>
      <c r="AJ205" s="7"/>
      <c r="AK205" s="7"/>
      <c r="AL205" s="9"/>
      <c r="AM205" s="9"/>
      <c r="AN205" s="143">
        <f t="shared" si="18"/>
        <v>0</v>
      </c>
      <c r="AO205" s="58"/>
      <c r="AP205" s="58"/>
      <c r="AQ205" s="58">
        <f t="shared" si="17"/>
        <v>0</v>
      </c>
      <c r="AR205" s="145">
        <f t="shared" si="19"/>
        <v>0</v>
      </c>
      <c r="AS205" s="183"/>
    </row>
    <row r="206" spans="1:58" ht="37.5" customHeight="1" x14ac:dyDescent="0.25">
      <c r="A206" s="27"/>
      <c r="B206" s="1"/>
      <c r="C206" s="9"/>
      <c r="D206" s="9"/>
      <c r="E206" s="108"/>
      <c r="F206" s="9"/>
      <c r="G206" s="56"/>
      <c r="H206" s="56"/>
      <c r="I206" s="44">
        <v>210</v>
      </c>
      <c r="J206" s="44"/>
      <c r="K206" s="56"/>
      <c r="L206" s="56"/>
      <c r="M206" s="56"/>
      <c r="N206" s="56"/>
      <c r="O206" s="57"/>
      <c r="P206" s="56"/>
      <c r="Q206" s="56"/>
      <c r="R206" s="58"/>
      <c r="S206" s="9"/>
      <c r="T206" s="9"/>
      <c r="U206" s="9"/>
      <c r="V206" s="11"/>
      <c r="W206" s="9"/>
      <c r="X206" s="9"/>
      <c r="Y206" s="9"/>
      <c r="Z206" s="11"/>
      <c r="AA206" s="56"/>
      <c r="AB206" s="56"/>
      <c r="AC206" s="56"/>
      <c r="AD206" s="58"/>
      <c r="AE206" s="58"/>
      <c r="AF206" s="7"/>
      <c r="AG206" s="7"/>
      <c r="AH206" s="7"/>
      <c r="AI206" s="7"/>
      <c r="AJ206" s="7"/>
      <c r="AK206" s="7"/>
      <c r="AL206" s="9"/>
      <c r="AM206" s="9"/>
      <c r="AN206" s="143">
        <f>AA206-AB206-AD206-AF206-AH206-AJ206-AL206</f>
        <v>0</v>
      </c>
      <c r="AO206" s="58"/>
      <c r="AP206" s="58"/>
      <c r="AQ206" s="58">
        <f>+AB206+AD206+AF206+AH206+AJ206+AL206</f>
        <v>0</v>
      </c>
      <c r="AR206" s="145">
        <f t="shared" si="19"/>
        <v>0</v>
      </c>
      <c r="AS206" s="183"/>
    </row>
    <row r="207" spans="1:58" ht="37.5" customHeight="1" x14ac:dyDescent="0.25">
      <c r="A207" s="27"/>
      <c r="B207" s="27"/>
      <c r="C207" s="58"/>
      <c r="D207" s="58"/>
      <c r="E207" s="108"/>
      <c r="F207" s="9"/>
      <c r="G207" s="56"/>
      <c r="H207" s="56"/>
      <c r="I207" s="44">
        <v>211</v>
      </c>
      <c r="J207" s="44"/>
      <c r="K207" s="56"/>
      <c r="L207" s="56"/>
      <c r="M207" s="56"/>
      <c r="N207" s="56"/>
      <c r="O207" s="57"/>
      <c r="P207" s="56"/>
      <c r="Q207" s="107"/>
      <c r="R207" s="58"/>
      <c r="S207" s="58"/>
      <c r="T207" s="58"/>
      <c r="U207" s="58"/>
      <c r="V207" s="143"/>
      <c r="W207" s="58"/>
      <c r="X207" s="58"/>
      <c r="Y207" s="58"/>
      <c r="Z207" s="143"/>
      <c r="AA207" s="56"/>
      <c r="AB207" s="56"/>
      <c r="AC207" s="56"/>
      <c r="AD207" s="58"/>
      <c r="AE207" s="58"/>
      <c r="AF207" s="7"/>
      <c r="AG207" s="13"/>
      <c r="AH207" s="7"/>
      <c r="AI207" s="7"/>
      <c r="AJ207" s="7"/>
      <c r="AK207" s="7"/>
      <c r="AL207" s="9"/>
      <c r="AM207" s="9"/>
      <c r="AN207" s="143">
        <f t="shared" si="18"/>
        <v>0</v>
      </c>
      <c r="AO207" s="58"/>
      <c r="AP207" s="58"/>
      <c r="AQ207" s="58">
        <f t="shared" si="17"/>
        <v>0</v>
      </c>
      <c r="AR207" s="145">
        <f t="shared" si="19"/>
        <v>0</v>
      </c>
      <c r="AS207" s="183"/>
    </row>
    <row r="208" spans="1:58" ht="37.5" customHeight="1" x14ac:dyDescent="0.25">
      <c r="A208" s="27"/>
      <c r="B208" s="27"/>
      <c r="C208" s="58"/>
      <c r="D208" s="58"/>
      <c r="E208" s="9"/>
      <c r="F208" s="9"/>
      <c r="G208" s="56"/>
      <c r="H208" s="56"/>
      <c r="I208" s="44">
        <v>212</v>
      </c>
      <c r="J208" s="44"/>
      <c r="K208" s="56"/>
      <c r="L208" s="56"/>
      <c r="M208" s="56"/>
      <c r="N208" s="56"/>
      <c r="O208" s="57"/>
      <c r="P208" s="56"/>
      <c r="Q208" s="56"/>
      <c r="R208" s="58"/>
      <c r="S208" s="58"/>
      <c r="T208" s="58"/>
      <c r="U208" s="58"/>
      <c r="V208" s="143"/>
      <c r="W208" s="58"/>
      <c r="X208" s="58"/>
      <c r="Y208" s="58"/>
      <c r="Z208" s="143"/>
      <c r="AA208" s="56"/>
      <c r="AB208" s="56"/>
      <c r="AC208" s="56"/>
      <c r="AD208" s="58"/>
      <c r="AE208" s="58"/>
      <c r="AF208" s="7"/>
      <c r="AG208" s="7"/>
      <c r="AH208" s="7"/>
      <c r="AI208" s="13"/>
      <c r="AJ208" s="7"/>
      <c r="AK208" s="7"/>
      <c r="AL208" s="9"/>
      <c r="AM208" s="9"/>
      <c r="AN208" s="143">
        <f t="shared" si="18"/>
        <v>0</v>
      </c>
      <c r="AO208" s="58"/>
      <c r="AP208" s="58"/>
      <c r="AQ208" s="58">
        <f t="shared" si="17"/>
        <v>0</v>
      </c>
      <c r="AR208" s="145">
        <f t="shared" si="19"/>
        <v>0</v>
      </c>
      <c r="AS208" s="183"/>
    </row>
    <row r="209" spans="1:45" ht="37.5" customHeight="1" x14ac:dyDescent="0.25">
      <c r="A209" s="27"/>
      <c r="B209" s="27"/>
      <c r="C209" s="58"/>
      <c r="D209" s="58"/>
      <c r="E209" s="108"/>
      <c r="F209" s="9"/>
      <c r="G209" s="56"/>
      <c r="H209" s="56"/>
      <c r="I209" s="44">
        <v>213</v>
      </c>
      <c r="J209" s="44"/>
      <c r="K209" s="56"/>
      <c r="L209" s="56"/>
      <c r="M209" s="56"/>
      <c r="N209" s="56"/>
      <c r="O209" s="57"/>
      <c r="P209" s="56"/>
      <c r="Q209" s="56"/>
      <c r="R209" s="58"/>
      <c r="S209" s="58"/>
      <c r="T209" s="58"/>
      <c r="U209" s="58"/>
      <c r="V209" s="143"/>
      <c r="W209" s="58"/>
      <c r="X209" s="58"/>
      <c r="Y209" s="58"/>
      <c r="Z209" s="143"/>
      <c r="AA209" s="56"/>
      <c r="AB209" s="56"/>
      <c r="AC209" s="56"/>
      <c r="AD209" s="58"/>
      <c r="AE209" s="58"/>
      <c r="AF209" s="7"/>
      <c r="AG209" s="13"/>
      <c r="AH209" s="7"/>
      <c r="AI209" s="7"/>
      <c r="AJ209" s="7"/>
      <c r="AK209" s="7"/>
      <c r="AL209" s="9"/>
      <c r="AM209" s="9"/>
      <c r="AN209" s="143">
        <f t="shared" si="18"/>
        <v>0</v>
      </c>
      <c r="AO209" s="58"/>
      <c r="AP209" s="58"/>
      <c r="AQ209" s="58">
        <f t="shared" si="17"/>
        <v>0</v>
      </c>
      <c r="AR209" s="145">
        <f t="shared" si="19"/>
        <v>0</v>
      </c>
      <c r="AS209" s="183"/>
    </row>
    <row r="210" spans="1:45" ht="37.5" customHeight="1" x14ac:dyDescent="0.25">
      <c r="A210" s="27"/>
      <c r="B210" s="27"/>
      <c r="C210" s="58"/>
      <c r="D210" s="58"/>
      <c r="E210" s="108"/>
      <c r="F210" s="9"/>
      <c r="G210" s="56"/>
      <c r="H210" s="56"/>
      <c r="I210" s="44">
        <v>214</v>
      </c>
      <c r="J210" s="44"/>
      <c r="K210" s="56"/>
      <c r="L210" s="56"/>
      <c r="M210" s="56"/>
      <c r="N210" s="56"/>
      <c r="O210" s="57"/>
      <c r="P210" s="56"/>
      <c r="Q210" s="56"/>
      <c r="R210" s="58"/>
      <c r="S210" s="58"/>
      <c r="T210" s="58"/>
      <c r="U210" s="58"/>
      <c r="V210" s="143"/>
      <c r="W210" s="58"/>
      <c r="X210" s="58"/>
      <c r="Y210" s="58"/>
      <c r="Z210" s="143"/>
      <c r="AA210" s="56"/>
      <c r="AB210" s="56"/>
      <c r="AC210" s="56"/>
      <c r="AD210" s="58"/>
      <c r="AE210" s="58"/>
      <c r="AF210" s="7"/>
      <c r="AG210" s="7"/>
      <c r="AH210" s="7"/>
      <c r="AI210" s="7"/>
      <c r="AJ210" s="7"/>
      <c r="AK210" s="7"/>
      <c r="AL210" s="9"/>
      <c r="AM210" s="9"/>
      <c r="AN210" s="143">
        <f t="shared" si="18"/>
        <v>0</v>
      </c>
      <c r="AO210" s="58"/>
      <c r="AP210" s="58"/>
      <c r="AQ210" s="58">
        <f t="shared" si="17"/>
        <v>0</v>
      </c>
      <c r="AR210" s="145">
        <f t="shared" si="19"/>
        <v>0</v>
      </c>
      <c r="AS210" s="183"/>
    </row>
    <row r="211" spans="1:45" ht="36.75" customHeight="1" x14ac:dyDescent="0.25">
      <c r="A211" s="27"/>
      <c r="B211" s="27"/>
      <c r="C211" s="58"/>
      <c r="D211" s="58"/>
      <c r="E211" s="9"/>
      <c r="F211" s="9"/>
      <c r="G211" s="56"/>
      <c r="H211" s="56"/>
      <c r="I211" s="44">
        <v>215</v>
      </c>
      <c r="J211" s="44"/>
      <c r="K211" s="56"/>
      <c r="L211" s="56"/>
      <c r="M211" s="56"/>
      <c r="N211" s="56"/>
      <c r="O211" s="57"/>
      <c r="P211" s="56"/>
      <c r="Q211" s="56"/>
      <c r="R211" s="58"/>
      <c r="S211" s="58"/>
      <c r="T211" s="58"/>
      <c r="U211" s="58"/>
      <c r="V211" s="143"/>
      <c r="W211" s="58"/>
      <c r="X211" s="58"/>
      <c r="Y211" s="58"/>
      <c r="Z211" s="143"/>
      <c r="AA211" s="56"/>
      <c r="AB211" s="56"/>
      <c r="AC211" s="56"/>
      <c r="AD211" s="58"/>
      <c r="AE211" s="58"/>
      <c r="AF211" s="7"/>
      <c r="AG211" s="7"/>
      <c r="AH211" s="7"/>
      <c r="AI211" s="7"/>
      <c r="AJ211" s="7"/>
      <c r="AK211" s="7"/>
      <c r="AL211" s="9"/>
      <c r="AM211" s="9"/>
      <c r="AN211" s="143">
        <f t="shared" si="18"/>
        <v>0</v>
      </c>
      <c r="AO211" s="58"/>
      <c r="AP211" s="58"/>
      <c r="AQ211" s="58">
        <f t="shared" si="17"/>
        <v>0</v>
      </c>
      <c r="AR211" s="145">
        <f t="shared" si="19"/>
        <v>0</v>
      </c>
      <c r="AS211" s="183"/>
    </row>
    <row r="212" spans="1:45" ht="48" customHeight="1" x14ac:dyDescent="0.25">
      <c r="A212" s="27"/>
      <c r="B212" s="27"/>
      <c r="C212" s="58"/>
      <c r="D212" s="58"/>
      <c r="E212" s="108"/>
      <c r="F212" s="9"/>
      <c r="G212" s="56"/>
      <c r="H212" s="56"/>
      <c r="I212" s="44">
        <v>216</v>
      </c>
      <c r="J212" s="44"/>
      <c r="K212" s="56"/>
      <c r="L212" s="56"/>
      <c r="M212" s="56"/>
      <c r="N212" s="56"/>
      <c r="O212" s="57"/>
      <c r="P212" s="56"/>
      <c r="Q212" s="56"/>
      <c r="R212" s="58"/>
      <c r="S212" s="58"/>
      <c r="T212" s="58"/>
      <c r="U212" s="58"/>
      <c r="V212" s="143"/>
      <c r="W212" s="58"/>
      <c r="X212" s="58"/>
      <c r="Y212" s="58"/>
      <c r="Z212" s="143"/>
      <c r="AA212" s="56"/>
      <c r="AB212" s="56"/>
      <c r="AC212" s="56"/>
      <c r="AD212" s="58"/>
      <c r="AE212" s="58"/>
      <c r="AF212" s="7"/>
      <c r="AG212" s="7"/>
      <c r="AH212" s="7"/>
      <c r="AI212" s="7"/>
      <c r="AJ212" s="7"/>
      <c r="AK212" s="7"/>
      <c r="AL212" s="9"/>
      <c r="AM212" s="9"/>
      <c r="AN212" s="143">
        <f t="shared" si="18"/>
        <v>0</v>
      </c>
      <c r="AO212" s="58"/>
      <c r="AP212" s="58"/>
      <c r="AQ212" s="58">
        <f t="shared" si="17"/>
        <v>0</v>
      </c>
      <c r="AR212" s="145">
        <f t="shared" si="19"/>
        <v>0</v>
      </c>
      <c r="AS212" s="183"/>
    </row>
    <row r="213" spans="1:45" ht="43.5" customHeight="1" x14ac:dyDescent="0.25">
      <c r="A213" s="27"/>
      <c r="B213" s="27"/>
      <c r="C213" s="58"/>
      <c r="D213" s="58"/>
      <c r="E213" s="108"/>
      <c r="F213" s="9"/>
      <c r="G213" s="56"/>
      <c r="H213" s="56"/>
      <c r="I213" s="44">
        <v>217</v>
      </c>
      <c r="J213" s="44"/>
      <c r="K213" s="56"/>
      <c r="L213" s="56"/>
      <c r="M213" s="56"/>
      <c r="N213" s="56"/>
      <c r="O213" s="57"/>
      <c r="P213" s="56"/>
      <c r="Q213" s="56"/>
      <c r="R213" s="58"/>
      <c r="S213" s="58"/>
      <c r="T213" s="58"/>
      <c r="U213" s="58"/>
      <c r="V213" s="143"/>
      <c r="W213" s="58"/>
      <c r="X213" s="58"/>
      <c r="Y213" s="58"/>
      <c r="Z213" s="143"/>
      <c r="AA213" s="56"/>
      <c r="AB213" s="56"/>
      <c r="AC213" s="56"/>
      <c r="AD213" s="58"/>
      <c r="AE213" s="58"/>
      <c r="AF213" s="7"/>
      <c r="AG213" s="7"/>
      <c r="AH213" s="7"/>
      <c r="AI213" s="7"/>
      <c r="AJ213" s="7"/>
      <c r="AK213" s="7"/>
      <c r="AL213" s="9"/>
      <c r="AM213" s="9"/>
      <c r="AN213" s="143">
        <f t="shared" si="18"/>
        <v>0</v>
      </c>
      <c r="AO213" s="58"/>
      <c r="AP213" s="58"/>
      <c r="AQ213" s="58">
        <f t="shared" si="17"/>
        <v>0</v>
      </c>
      <c r="AR213" s="145">
        <f t="shared" si="19"/>
        <v>0</v>
      </c>
      <c r="AS213" s="183"/>
    </row>
    <row r="214" spans="1:45" ht="37.5" customHeight="1" x14ac:dyDescent="0.25">
      <c r="A214" s="27"/>
      <c r="B214" s="27"/>
      <c r="C214" s="58"/>
      <c r="D214" s="58"/>
      <c r="E214" s="9"/>
      <c r="F214" s="9"/>
      <c r="G214" s="56"/>
      <c r="H214" s="56"/>
      <c r="I214" s="44">
        <v>218</v>
      </c>
      <c r="J214" s="44"/>
      <c r="K214" s="56"/>
      <c r="L214" s="56"/>
      <c r="M214" s="56"/>
      <c r="N214" s="56"/>
      <c r="O214" s="57"/>
      <c r="P214" s="56"/>
      <c r="Q214" s="56"/>
      <c r="R214" s="58"/>
      <c r="S214" s="58"/>
      <c r="T214" s="58"/>
      <c r="U214" s="58"/>
      <c r="V214" s="143"/>
      <c r="W214" s="58"/>
      <c r="X214" s="58"/>
      <c r="Y214" s="58"/>
      <c r="Z214" s="143"/>
      <c r="AA214" s="56"/>
      <c r="AB214" s="56"/>
      <c r="AC214" s="56"/>
      <c r="AD214" s="58"/>
      <c r="AE214" s="58"/>
      <c r="AF214" s="7"/>
      <c r="AG214" s="7"/>
      <c r="AH214" s="7"/>
      <c r="AI214" s="7"/>
      <c r="AJ214" s="7"/>
      <c r="AK214" s="7"/>
      <c r="AL214" s="9"/>
      <c r="AM214" s="9"/>
      <c r="AN214" s="143">
        <f t="shared" si="18"/>
        <v>0</v>
      </c>
      <c r="AO214" s="58"/>
      <c r="AP214" s="58"/>
      <c r="AQ214" s="58">
        <f t="shared" si="17"/>
        <v>0</v>
      </c>
      <c r="AR214" s="145">
        <f t="shared" si="19"/>
        <v>0</v>
      </c>
      <c r="AS214" s="183"/>
    </row>
    <row r="215" spans="1:45" ht="37.5" customHeight="1" x14ac:dyDescent="0.25">
      <c r="A215" s="27"/>
      <c r="B215" s="27"/>
      <c r="C215" s="58"/>
      <c r="D215" s="58"/>
      <c r="E215" s="108"/>
      <c r="F215" s="9"/>
      <c r="G215" s="56"/>
      <c r="H215" s="56"/>
      <c r="I215" s="44">
        <v>219</v>
      </c>
      <c r="J215" s="44"/>
      <c r="K215" s="56"/>
      <c r="L215" s="56"/>
      <c r="M215" s="56"/>
      <c r="N215" s="56"/>
      <c r="O215" s="57"/>
      <c r="P215" s="56"/>
      <c r="Q215" s="56"/>
      <c r="R215" s="58"/>
      <c r="S215" s="58"/>
      <c r="T215" s="58"/>
      <c r="U215" s="58"/>
      <c r="V215" s="143"/>
      <c r="W215" s="58"/>
      <c r="X215" s="58"/>
      <c r="Y215" s="58"/>
      <c r="Z215" s="143"/>
      <c r="AA215" s="56"/>
      <c r="AB215" s="56"/>
      <c r="AC215" s="56"/>
      <c r="AD215" s="58"/>
      <c r="AE215" s="163"/>
      <c r="AF215" s="7"/>
      <c r="AG215" s="7"/>
      <c r="AH215" s="7"/>
      <c r="AI215" s="7"/>
      <c r="AJ215" s="7"/>
      <c r="AK215" s="7"/>
      <c r="AL215" s="9"/>
      <c r="AM215" s="9"/>
      <c r="AN215" s="143">
        <f t="shared" si="18"/>
        <v>0</v>
      </c>
      <c r="AO215" s="58"/>
      <c r="AP215" s="58"/>
      <c r="AQ215" s="58">
        <f t="shared" si="17"/>
        <v>0</v>
      </c>
      <c r="AR215" s="145">
        <f t="shared" si="19"/>
        <v>0</v>
      </c>
      <c r="AS215" s="183"/>
    </row>
    <row r="216" spans="1:45" ht="37.5" customHeight="1" x14ac:dyDescent="0.25">
      <c r="A216" s="27"/>
      <c r="B216" s="27"/>
      <c r="C216" s="58"/>
      <c r="D216" s="58"/>
      <c r="E216" s="108"/>
      <c r="F216" s="9"/>
      <c r="G216" s="56"/>
      <c r="H216" s="56"/>
      <c r="I216" s="44">
        <v>220</v>
      </c>
      <c r="J216" s="44"/>
      <c r="K216" s="56"/>
      <c r="L216" s="56"/>
      <c r="M216" s="56"/>
      <c r="N216" s="56"/>
      <c r="O216" s="57"/>
      <c r="P216" s="56"/>
      <c r="Q216" s="56"/>
      <c r="R216" s="58"/>
      <c r="S216" s="58"/>
      <c r="T216" s="58"/>
      <c r="U216" s="58"/>
      <c r="V216" s="143"/>
      <c r="W216" s="58"/>
      <c r="X216" s="58"/>
      <c r="Y216" s="58"/>
      <c r="Z216" s="143"/>
      <c r="AA216" s="56"/>
      <c r="AB216" s="56"/>
      <c r="AC216" s="56"/>
      <c r="AD216" s="58"/>
      <c r="AE216" s="58"/>
      <c r="AF216" s="7"/>
      <c r="AG216" s="13"/>
      <c r="AH216" s="7"/>
      <c r="AI216" s="7"/>
      <c r="AJ216" s="7"/>
      <c r="AK216" s="7"/>
      <c r="AL216" s="9"/>
      <c r="AM216" s="9"/>
      <c r="AN216" s="143">
        <f t="shared" si="18"/>
        <v>0</v>
      </c>
      <c r="AO216" s="58"/>
      <c r="AP216" s="58"/>
      <c r="AQ216" s="58">
        <f t="shared" si="17"/>
        <v>0</v>
      </c>
      <c r="AR216" s="145">
        <f t="shared" si="19"/>
        <v>0</v>
      </c>
      <c r="AS216" s="183"/>
    </row>
    <row r="217" spans="1:45" ht="37.5" customHeight="1" x14ac:dyDescent="0.25">
      <c r="A217" s="27"/>
      <c r="B217" s="27"/>
      <c r="C217" s="58"/>
      <c r="D217" s="58"/>
      <c r="E217" s="9"/>
      <c r="F217" s="9"/>
      <c r="G217" s="56"/>
      <c r="H217" s="56"/>
      <c r="I217" s="44">
        <v>221</v>
      </c>
      <c r="J217" s="44"/>
      <c r="K217" s="56"/>
      <c r="L217" s="56"/>
      <c r="M217" s="56"/>
      <c r="N217" s="56"/>
      <c r="O217" s="57"/>
      <c r="P217" s="56"/>
      <c r="Q217" s="56"/>
      <c r="R217" s="58"/>
      <c r="S217" s="58"/>
      <c r="T217" s="58"/>
      <c r="U217" s="58"/>
      <c r="V217" s="143"/>
      <c r="W217" s="58"/>
      <c r="X217" s="58"/>
      <c r="Y217" s="58"/>
      <c r="Z217" s="143"/>
      <c r="AA217" s="56"/>
      <c r="AB217" s="56"/>
      <c r="AC217" s="56"/>
      <c r="AD217" s="58"/>
      <c r="AE217" s="58"/>
      <c r="AF217" s="7"/>
      <c r="AG217" s="7"/>
      <c r="AH217" s="7"/>
      <c r="AI217" s="7"/>
      <c r="AJ217" s="7"/>
      <c r="AK217" s="7"/>
      <c r="AL217" s="9"/>
      <c r="AM217" s="9"/>
      <c r="AN217" s="143">
        <f t="shared" si="18"/>
        <v>0</v>
      </c>
      <c r="AO217" s="58"/>
      <c r="AP217" s="58"/>
      <c r="AQ217" s="58">
        <f t="shared" si="17"/>
        <v>0</v>
      </c>
      <c r="AR217" s="145">
        <f t="shared" si="19"/>
        <v>0</v>
      </c>
      <c r="AS217" s="183"/>
    </row>
    <row r="218" spans="1:45" ht="37.5" customHeight="1" x14ac:dyDescent="0.25">
      <c r="A218" s="27"/>
      <c r="B218" s="27"/>
      <c r="C218" s="58"/>
      <c r="D218" s="58"/>
      <c r="E218" s="108"/>
      <c r="F218" s="9"/>
      <c r="G218" s="56"/>
      <c r="H218" s="56"/>
      <c r="I218" s="44">
        <v>222</v>
      </c>
      <c r="J218" s="44"/>
      <c r="K218" s="56"/>
      <c r="L218" s="56"/>
      <c r="M218" s="56"/>
      <c r="N218" s="56"/>
      <c r="O218" s="57"/>
      <c r="P218" s="56"/>
      <c r="Q218" s="56"/>
      <c r="R218" s="58"/>
      <c r="S218" s="58"/>
      <c r="T218" s="58"/>
      <c r="U218" s="58"/>
      <c r="V218" s="143"/>
      <c r="W218" s="58"/>
      <c r="X218" s="58"/>
      <c r="Y218" s="58"/>
      <c r="Z218" s="143"/>
      <c r="AA218" s="56"/>
      <c r="AB218" s="56"/>
      <c r="AC218" s="56"/>
      <c r="AD218" s="58"/>
      <c r="AE218" s="58"/>
      <c r="AF218" s="7"/>
      <c r="AG218" s="7"/>
      <c r="AH218" s="7"/>
      <c r="AI218" s="7"/>
      <c r="AJ218" s="7"/>
      <c r="AK218" s="7"/>
      <c r="AL218" s="9"/>
      <c r="AM218" s="9"/>
      <c r="AN218" s="11">
        <f t="shared" si="18"/>
        <v>0</v>
      </c>
      <c r="AO218" s="9"/>
      <c r="AP218" s="9"/>
      <c r="AQ218" s="39">
        <f t="shared" si="17"/>
        <v>0</v>
      </c>
      <c r="AR218" s="145">
        <f t="shared" si="19"/>
        <v>0</v>
      </c>
      <c r="AS218" s="183"/>
    </row>
    <row r="219" spans="1:45" ht="37.5" customHeight="1" x14ac:dyDescent="0.25">
      <c r="A219" s="27"/>
      <c r="B219" s="27"/>
      <c r="C219" s="58"/>
      <c r="D219" s="58"/>
      <c r="E219" s="108"/>
      <c r="F219" s="9"/>
      <c r="G219" s="56"/>
      <c r="H219" s="56"/>
      <c r="I219" s="44">
        <v>223</v>
      </c>
      <c r="J219" s="44"/>
      <c r="K219" s="56"/>
      <c r="L219" s="56"/>
      <c r="M219" s="56"/>
      <c r="N219" s="56"/>
      <c r="O219" s="57"/>
      <c r="P219" s="56"/>
      <c r="Q219" s="56"/>
      <c r="R219" s="58"/>
      <c r="S219" s="58"/>
      <c r="T219" s="58"/>
      <c r="U219" s="58"/>
      <c r="V219" s="143"/>
      <c r="W219" s="58"/>
      <c r="X219" s="58"/>
      <c r="Y219" s="58"/>
      <c r="Z219" s="143"/>
      <c r="AA219" s="56"/>
      <c r="AB219" s="56"/>
      <c r="AC219" s="56"/>
      <c r="AD219" s="58"/>
      <c r="AE219" s="58"/>
      <c r="AF219" s="7"/>
      <c r="AG219" s="7"/>
      <c r="AH219" s="7"/>
      <c r="AI219" s="7"/>
      <c r="AJ219" s="7"/>
      <c r="AK219" s="7"/>
      <c r="AL219" s="9"/>
      <c r="AM219" s="9"/>
      <c r="AN219" s="11">
        <f t="shared" si="18"/>
        <v>0</v>
      </c>
      <c r="AO219" s="9"/>
      <c r="AP219" s="9"/>
      <c r="AQ219" s="39">
        <f t="shared" si="17"/>
        <v>0</v>
      </c>
      <c r="AR219" s="145">
        <f t="shared" si="19"/>
        <v>0</v>
      </c>
      <c r="AS219" s="183"/>
    </row>
    <row r="220" spans="1:45" ht="37.5" customHeight="1" x14ac:dyDescent="0.25">
      <c r="A220" s="27"/>
      <c r="B220" s="27"/>
      <c r="C220" s="58"/>
      <c r="D220" s="58"/>
      <c r="E220" s="9"/>
      <c r="F220" s="9"/>
      <c r="G220" s="56"/>
      <c r="H220" s="56"/>
      <c r="I220" s="44">
        <v>224</v>
      </c>
      <c r="J220" s="44"/>
      <c r="K220" s="56"/>
      <c r="L220" s="56"/>
      <c r="M220" s="56"/>
      <c r="N220" s="56"/>
      <c r="O220" s="57"/>
      <c r="P220" s="56"/>
      <c r="Q220" s="56"/>
      <c r="R220" s="58"/>
      <c r="S220" s="58"/>
      <c r="T220" s="58"/>
      <c r="U220" s="58"/>
      <c r="V220" s="143"/>
      <c r="W220" s="58"/>
      <c r="X220" s="58"/>
      <c r="Y220" s="58"/>
      <c r="Z220" s="143"/>
      <c r="AA220" s="56"/>
      <c r="AB220" s="56"/>
      <c r="AC220" s="56"/>
      <c r="AD220" s="58"/>
      <c r="AE220" s="58"/>
      <c r="AF220" s="7"/>
      <c r="AG220" s="7"/>
      <c r="AH220" s="7"/>
      <c r="AI220" s="7"/>
      <c r="AJ220" s="7"/>
      <c r="AK220" s="7"/>
      <c r="AL220" s="9"/>
      <c r="AM220" s="9"/>
      <c r="AN220" s="11">
        <f t="shared" si="18"/>
        <v>0</v>
      </c>
      <c r="AO220" s="9"/>
      <c r="AP220" s="9"/>
      <c r="AQ220" s="39">
        <f t="shared" si="17"/>
        <v>0</v>
      </c>
      <c r="AR220" s="145">
        <f t="shared" si="19"/>
        <v>0</v>
      </c>
    </row>
    <row r="221" spans="1:45" ht="37.5" customHeight="1" x14ac:dyDescent="0.25">
      <c r="A221" s="27"/>
      <c r="B221" s="27"/>
      <c r="C221" s="58"/>
      <c r="D221" s="58"/>
      <c r="E221" s="108"/>
      <c r="F221" s="9"/>
      <c r="G221" s="56"/>
      <c r="H221" s="56"/>
      <c r="I221" s="44">
        <v>225</v>
      </c>
      <c r="J221" s="44"/>
      <c r="K221" s="56"/>
      <c r="L221" s="56"/>
      <c r="M221" s="56"/>
      <c r="N221" s="56"/>
      <c r="O221" s="57"/>
      <c r="P221" s="56"/>
      <c r="Q221" s="56"/>
      <c r="R221" s="58"/>
      <c r="S221" s="58"/>
      <c r="T221" s="58"/>
      <c r="U221" s="58"/>
      <c r="V221" s="143"/>
      <c r="W221" s="58"/>
      <c r="X221" s="58"/>
      <c r="Y221" s="58"/>
      <c r="Z221" s="143"/>
      <c r="AA221" s="56"/>
      <c r="AB221" s="56"/>
      <c r="AC221" s="56"/>
      <c r="AD221" s="58"/>
      <c r="AE221" s="58"/>
      <c r="AF221" s="7"/>
      <c r="AG221" s="7"/>
      <c r="AH221" s="7"/>
      <c r="AI221" s="7"/>
      <c r="AJ221" s="7"/>
      <c r="AK221" s="7"/>
      <c r="AL221" s="9"/>
      <c r="AM221" s="9"/>
      <c r="AN221" s="143">
        <f t="shared" si="18"/>
        <v>0</v>
      </c>
      <c r="AO221" s="9"/>
      <c r="AP221" s="9"/>
      <c r="AQ221" s="39">
        <f t="shared" si="17"/>
        <v>0</v>
      </c>
      <c r="AR221" s="145">
        <f t="shared" si="19"/>
        <v>0</v>
      </c>
    </row>
    <row r="222" spans="1:45" ht="37.5" customHeight="1" x14ac:dyDescent="0.25">
      <c r="A222" s="27"/>
      <c r="B222" s="27"/>
      <c r="C222" s="58"/>
      <c r="D222" s="58"/>
      <c r="E222" s="108"/>
      <c r="F222" s="9"/>
      <c r="G222" s="56"/>
      <c r="H222" s="56"/>
      <c r="I222" s="44">
        <v>226</v>
      </c>
      <c r="J222" s="44"/>
      <c r="K222" s="56"/>
      <c r="L222" s="56"/>
      <c r="M222" s="56"/>
      <c r="N222" s="56"/>
      <c r="O222" s="57"/>
      <c r="P222" s="56"/>
      <c r="Q222" s="56"/>
      <c r="R222" s="58"/>
      <c r="S222" s="58"/>
      <c r="T222" s="58"/>
      <c r="U222" s="58"/>
      <c r="V222" s="143"/>
      <c r="W222" s="58"/>
      <c r="X222" s="58"/>
      <c r="Y222" s="58"/>
      <c r="Z222" s="143"/>
      <c r="AA222" s="56"/>
      <c r="AB222" s="56"/>
      <c r="AC222" s="56"/>
      <c r="AD222" s="58"/>
      <c r="AE222" s="58"/>
      <c r="AF222" s="7"/>
      <c r="AG222" s="7"/>
      <c r="AH222" s="7"/>
      <c r="AI222" s="7"/>
      <c r="AJ222" s="7"/>
      <c r="AK222" s="7"/>
      <c r="AL222" s="9"/>
      <c r="AM222" s="9"/>
      <c r="AN222" s="143">
        <f t="shared" si="18"/>
        <v>0</v>
      </c>
      <c r="AO222" s="9"/>
      <c r="AP222" s="9"/>
      <c r="AQ222" s="39">
        <f t="shared" ref="AQ222:AQ239" si="20">+AB222+AD222+AF222+AH222+AJ222</f>
        <v>0</v>
      </c>
      <c r="AR222" s="145">
        <f t="shared" si="19"/>
        <v>0</v>
      </c>
    </row>
    <row r="223" spans="1:45" ht="37.5" customHeight="1" x14ac:dyDescent="0.25">
      <c r="A223" s="27"/>
      <c r="B223" s="27"/>
      <c r="C223" s="58"/>
      <c r="D223" s="58"/>
      <c r="E223" s="9"/>
      <c r="F223" s="9"/>
      <c r="G223" s="56"/>
      <c r="H223" s="56"/>
      <c r="I223" s="44">
        <v>227</v>
      </c>
      <c r="J223" s="44"/>
      <c r="K223" s="56"/>
      <c r="L223" s="56"/>
      <c r="M223" s="56"/>
      <c r="N223" s="56"/>
      <c r="O223" s="57"/>
      <c r="P223" s="56"/>
      <c r="Q223" s="56"/>
      <c r="R223" s="58"/>
      <c r="S223" s="58"/>
      <c r="T223" s="58"/>
      <c r="U223" s="58"/>
      <c r="V223" s="143"/>
      <c r="W223" s="58"/>
      <c r="X223" s="58"/>
      <c r="Y223" s="58"/>
      <c r="Z223" s="143"/>
      <c r="AA223" s="56"/>
      <c r="AB223" s="56"/>
      <c r="AC223" s="56"/>
      <c r="AD223" s="58"/>
      <c r="AE223" s="58"/>
      <c r="AF223" s="7"/>
      <c r="AG223" s="13"/>
      <c r="AH223" s="7"/>
      <c r="AI223" s="13"/>
      <c r="AJ223" s="7"/>
      <c r="AK223" s="7"/>
      <c r="AL223" s="9"/>
      <c r="AM223" s="9"/>
      <c r="AN223" s="143">
        <f t="shared" si="18"/>
        <v>0</v>
      </c>
      <c r="AO223" s="9"/>
      <c r="AP223" s="9"/>
      <c r="AQ223" s="39">
        <f t="shared" si="20"/>
        <v>0</v>
      </c>
      <c r="AR223" s="145">
        <f t="shared" si="19"/>
        <v>0</v>
      </c>
    </row>
    <row r="224" spans="1:45" x14ac:dyDescent="0.25">
      <c r="A224" s="27"/>
      <c r="B224" s="1"/>
      <c r="C224" s="9"/>
      <c r="D224" s="9"/>
      <c r="E224" s="108"/>
      <c r="F224" s="9"/>
      <c r="G224" s="56"/>
      <c r="H224" s="56"/>
      <c r="I224" s="44">
        <v>228</v>
      </c>
      <c r="J224" s="44"/>
      <c r="K224" s="56"/>
      <c r="L224" s="56"/>
      <c r="M224" s="56"/>
      <c r="N224" s="56"/>
      <c r="O224" s="57"/>
      <c r="P224" s="56"/>
      <c r="Q224" s="14"/>
      <c r="R224" s="9"/>
      <c r="S224" s="9"/>
      <c r="T224" s="9"/>
      <c r="U224" s="9"/>
      <c r="V224" s="11"/>
      <c r="W224" s="9"/>
      <c r="X224" s="9"/>
      <c r="Y224" s="9"/>
      <c r="Z224" s="11"/>
      <c r="AA224" s="56"/>
      <c r="AB224" s="56"/>
      <c r="AC224" s="56"/>
      <c r="AD224" s="39"/>
      <c r="AE224" s="39"/>
      <c r="AF224" s="7"/>
      <c r="AG224" s="7"/>
      <c r="AH224" s="7"/>
      <c r="AI224" s="7"/>
      <c r="AJ224" s="7"/>
      <c r="AK224" s="7"/>
      <c r="AL224" s="9"/>
      <c r="AM224" s="9"/>
      <c r="AN224" s="143">
        <f t="shared" si="18"/>
        <v>0</v>
      </c>
      <c r="AO224" s="9"/>
      <c r="AP224" s="9"/>
      <c r="AQ224" s="39">
        <f t="shared" si="20"/>
        <v>0</v>
      </c>
      <c r="AR224" s="145">
        <f t="shared" si="19"/>
        <v>0</v>
      </c>
    </row>
    <row r="225" spans="1:45" ht="37.5" customHeight="1" x14ac:dyDescent="0.25">
      <c r="A225" s="27"/>
      <c r="B225" s="1"/>
      <c r="C225" s="9"/>
      <c r="D225" s="9"/>
      <c r="E225" s="108"/>
      <c r="F225" s="9"/>
      <c r="G225" s="56"/>
      <c r="H225" s="56"/>
      <c r="I225" s="44">
        <v>229</v>
      </c>
      <c r="J225" s="44"/>
      <c r="K225" s="56"/>
      <c r="L225" s="56"/>
      <c r="M225" s="56"/>
      <c r="N225" s="56"/>
      <c r="O225" s="57"/>
      <c r="P225" s="56"/>
      <c r="Q225" s="14"/>
      <c r="R225" s="9"/>
      <c r="S225" s="9"/>
      <c r="T225" s="9"/>
      <c r="U225" s="9"/>
      <c r="V225" s="11"/>
      <c r="W225" s="9"/>
      <c r="X225" s="9"/>
      <c r="Y225" s="9"/>
      <c r="Z225" s="11"/>
      <c r="AA225" s="56"/>
      <c r="AB225" s="56"/>
      <c r="AC225" s="56"/>
      <c r="AD225" s="58"/>
      <c r="AE225" s="58"/>
      <c r="AF225" s="7"/>
      <c r="AG225" s="7"/>
      <c r="AH225" s="7"/>
      <c r="AI225" s="7"/>
      <c r="AJ225" s="7"/>
      <c r="AK225" s="7"/>
      <c r="AL225" s="9"/>
      <c r="AM225" s="9"/>
      <c r="AN225" s="11">
        <f t="shared" si="18"/>
        <v>0</v>
      </c>
      <c r="AO225" s="9"/>
      <c r="AP225" s="9"/>
      <c r="AQ225" s="39">
        <f t="shared" si="20"/>
        <v>0</v>
      </c>
      <c r="AR225" s="145">
        <f t="shared" si="19"/>
        <v>0</v>
      </c>
    </row>
    <row r="226" spans="1:45" s="81" customFormat="1" ht="37.5" customHeight="1" x14ac:dyDescent="0.25">
      <c r="A226" s="27"/>
      <c r="B226" s="27"/>
      <c r="C226" s="58"/>
      <c r="D226" s="58"/>
      <c r="E226" s="9"/>
      <c r="F226" s="9"/>
      <c r="G226" s="56"/>
      <c r="H226" s="56"/>
      <c r="I226" s="44">
        <v>230</v>
      </c>
      <c r="J226" s="44"/>
      <c r="K226" s="56"/>
      <c r="L226" s="56"/>
      <c r="M226" s="56"/>
      <c r="N226" s="56"/>
      <c r="O226" s="57"/>
      <c r="P226" s="56"/>
      <c r="Q226" s="56"/>
      <c r="R226" s="58"/>
      <c r="S226" s="58"/>
      <c r="T226" s="58"/>
      <c r="U226" s="58"/>
      <c r="V226" s="143"/>
      <c r="W226" s="58"/>
      <c r="X226" s="58"/>
      <c r="Y226" s="58"/>
      <c r="Z226" s="143"/>
      <c r="AA226" s="56"/>
      <c r="AB226" s="56"/>
      <c r="AC226" s="56"/>
      <c r="AD226" s="58"/>
      <c r="AE226" s="58"/>
      <c r="AF226" s="79"/>
      <c r="AG226" s="79"/>
      <c r="AH226" s="79"/>
      <c r="AI226" s="79"/>
      <c r="AJ226" s="79"/>
      <c r="AK226" s="79"/>
      <c r="AL226" s="58"/>
      <c r="AM226" s="58"/>
      <c r="AN226" s="11">
        <f t="shared" si="18"/>
        <v>0</v>
      </c>
      <c r="AO226" s="58"/>
      <c r="AP226" s="58"/>
      <c r="AQ226" s="58">
        <f t="shared" si="20"/>
        <v>0</v>
      </c>
      <c r="AR226" s="145">
        <f t="shared" si="19"/>
        <v>0</v>
      </c>
      <c r="AS226" s="185"/>
    </row>
    <row r="227" spans="1:45" ht="37.5" customHeight="1" x14ac:dyDescent="0.25">
      <c r="A227" s="27"/>
      <c r="B227" s="1"/>
      <c r="C227" s="58"/>
      <c r="D227" s="58"/>
      <c r="E227" s="108"/>
      <c r="F227" s="9"/>
      <c r="G227" s="56"/>
      <c r="H227" s="56"/>
      <c r="I227" s="44">
        <v>231</v>
      </c>
      <c r="J227" s="44"/>
      <c r="K227" s="56"/>
      <c r="L227" s="56"/>
      <c r="M227" s="56"/>
      <c r="N227" s="56"/>
      <c r="O227" s="57"/>
      <c r="P227" s="56"/>
      <c r="Q227" s="56"/>
      <c r="R227" s="58"/>
      <c r="S227" s="58"/>
      <c r="T227" s="58"/>
      <c r="U227" s="58"/>
      <c r="V227" s="143"/>
      <c r="W227" s="58"/>
      <c r="X227" s="58"/>
      <c r="Y227" s="58"/>
      <c r="Z227" s="143"/>
      <c r="AA227" s="56"/>
      <c r="AB227" s="56"/>
      <c r="AC227" s="56"/>
      <c r="AD227" s="58"/>
      <c r="AE227" s="58"/>
      <c r="AF227" s="7"/>
      <c r="AG227" s="7"/>
      <c r="AH227" s="7"/>
      <c r="AI227" s="7"/>
      <c r="AJ227" s="7"/>
      <c r="AK227" s="7"/>
      <c r="AL227" s="9"/>
      <c r="AM227" s="9"/>
      <c r="AN227" s="11">
        <f t="shared" si="18"/>
        <v>0</v>
      </c>
      <c r="AO227" s="9"/>
      <c r="AP227" s="9"/>
      <c r="AQ227" s="39">
        <f t="shared" si="20"/>
        <v>0</v>
      </c>
      <c r="AR227" s="145">
        <f t="shared" si="19"/>
        <v>0</v>
      </c>
    </row>
    <row r="228" spans="1:45" ht="45" customHeight="1" x14ac:dyDescent="0.25">
      <c r="A228" s="27"/>
      <c r="B228" s="1"/>
      <c r="C228" s="58"/>
      <c r="D228" s="58"/>
      <c r="E228" s="108"/>
      <c r="F228" s="9"/>
      <c r="G228" s="56"/>
      <c r="H228" s="56"/>
      <c r="I228" s="44">
        <v>232</v>
      </c>
      <c r="J228" s="44"/>
      <c r="K228" s="56"/>
      <c r="L228" s="56"/>
      <c r="M228" s="56"/>
      <c r="N228" s="56"/>
      <c r="O228" s="57"/>
      <c r="P228" s="56"/>
      <c r="Q228" s="56"/>
      <c r="R228" s="58"/>
      <c r="S228" s="58"/>
      <c r="T228" s="58"/>
      <c r="U228" s="58"/>
      <c r="V228" s="143"/>
      <c r="W228" s="58"/>
      <c r="X228" s="58"/>
      <c r="Y228" s="58"/>
      <c r="Z228" s="143"/>
      <c r="AA228" s="56"/>
      <c r="AB228" s="56"/>
      <c r="AC228" s="56"/>
      <c r="AD228" s="58"/>
      <c r="AE228" s="58"/>
      <c r="AF228" s="7"/>
      <c r="AG228" s="7"/>
      <c r="AH228" s="7"/>
      <c r="AI228" s="7"/>
      <c r="AJ228" s="7"/>
      <c r="AK228" s="7"/>
      <c r="AL228" s="9"/>
      <c r="AM228" s="9"/>
      <c r="AN228" s="143">
        <f>AA228-AB228-AD228-AF228-AH228-AJ228-AL228</f>
        <v>0</v>
      </c>
      <c r="AO228" s="9"/>
      <c r="AP228" s="9"/>
      <c r="AQ228" s="39">
        <f>+AB228+AD228+AF228+AH228+AJ228+AL228</f>
        <v>0</v>
      </c>
      <c r="AR228" s="145">
        <f t="shared" si="19"/>
        <v>0</v>
      </c>
    </row>
    <row r="229" spans="1:45" ht="37.5" customHeight="1" x14ac:dyDescent="0.25">
      <c r="A229" s="27"/>
      <c r="B229" s="1"/>
      <c r="C229" s="58"/>
      <c r="D229" s="58"/>
      <c r="E229" s="9"/>
      <c r="F229" s="9"/>
      <c r="G229" s="56"/>
      <c r="H229" s="56"/>
      <c r="I229" s="44">
        <v>233</v>
      </c>
      <c r="J229" s="44"/>
      <c r="K229" s="56"/>
      <c r="L229" s="56"/>
      <c r="M229" s="56"/>
      <c r="N229" s="56"/>
      <c r="O229" s="57"/>
      <c r="P229" s="56"/>
      <c r="Q229" s="56"/>
      <c r="R229" s="58"/>
      <c r="S229" s="58"/>
      <c r="T229" s="58"/>
      <c r="U229" s="58"/>
      <c r="V229" s="143"/>
      <c r="W229" s="58"/>
      <c r="X229" s="58"/>
      <c r="Y229" s="58"/>
      <c r="Z229" s="143"/>
      <c r="AA229" s="56"/>
      <c r="AB229" s="56"/>
      <c r="AC229" s="56"/>
      <c r="AD229" s="58"/>
      <c r="AE229" s="58"/>
      <c r="AF229" s="7"/>
      <c r="AG229" s="7"/>
      <c r="AH229" s="7"/>
      <c r="AI229" s="7"/>
      <c r="AJ229" s="7"/>
      <c r="AK229" s="7"/>
      <c r="AL229" s="9"/>
      <c r="AM229" s="9"/>
      <c r="AN229" s="143">
        <f t="shared" si="18"/>
        <v>0</v>
      </c>
      <c r="AO229" s="9"/>
      <c r="AP229" s="9"/>
      <c r="AQ229" s="39">
        <f t="shared" si="20"/>
        <v>0</v>
      </c>
      <c r="AR229" s="145">
        <f t="shared" si="19"/>
        <v>0</v>
      </c>
    </row>
    <row r="230" spans="1:45" ht="37.5" customHeight="1" x14ac:dyDescent="0.25">
      <c r="A230" s="27"/>
      <c r="B230" s="1"/>
      <c r="C230" s="58"/>
      <c r="D230" s="58"/>
      <c r="E230" s="108"/>
      <c r="F230" s="9"/>
      <c r="G230" s="56"/>
      <c r="H230" s="56"/>
      <c r="I230" s="44">
        <v>234</v>
      </c>
      <c r="J230" s="44"/>
      <c r="K230" s="56"/>
      <c r="L230" s="56"/>
      <c r="M230" s="56"/>
      <c r="N230" s="56"/>
      <c r="O230" s="57"/>
      <c r="P230" s="56"/>
      <c r="Q230" s="56"/>
      <c r="R230" s="58"/>
      <c r="S230" s="58"/>
      <c r="T230" s="58"/>
      <c r="U230" s="58"/>
      <c r="V230" s="143"/>
      <c r="W230" s="58"/>
      <c r="X230" s="58"/>
      <c r="Y230" s="58"/>
      <c r="Z230" s="143"/>
      <c r="AA230" s="56"/>
      <c r="AB230" s="56"/>
      <c r="AC230" s="56"/>
      <c r="AD230" s="58"/>
      <c r="AE230" s="58"/>
      <c r="AF230" s="7"/>
      <c r="AG230" s="7"/>
      <c r="AH230" s="7"/>
      <c r="AI230" s="7"/>
      <c r="AJ230" s="7"/>
      <c r="AK230" s="7"/>
      <c r="AL230" s="9"/>
      <c r="AM230" s="9"/>
      <c r="AN230" s="143">
        <f t="shared" si="18"/>
        <v>0</v>
      </c>
      <c r="AO230" s="9"/>
      <c r="AP230" s="9"/>
      <c r="AQ230" s="39">
        <f t="shared" si="20"/>
        <v>0</v>
      </c>
      <c r="AR230" s="145">
        <f t="shared" si="19"/>
        <v>0</v>
      </c>
    </row>
    <row r="231" spans="1:45" ht="37.5" customHeight="1" x14ac:dyDescent="0.25">
      <c r="A231" s="27"/>
      <c r="B231" s="1"/>
      <c r="C231" s="58"/>
      <c r="D231" s="58"/>
      <c r="E231" s="108"/>
      <c r="F231" s="9"/>
      <c r="G231" s="56"/>
      <c r="H231" s="56"/>
      <c r="I231" s="44">
        <v>235</v>
      </c>
      <c r="J231" s="44"/>
      <c r="K231" s="56"/>
      <c r="L231" s="56"/>
      <c r="M231" s="56"/>
      <c r="N231" s="56"/>
      <c r="O231" s="57"/>
      <c r="P231" s="56"/>
      <c r="Q231" s="56"/>
      <c r="R231" s="58"/>
      <c r="S231" s="58"/>
      <c r="T231" s="58"/>
      <c r="U231" s="58"/>
      <c r="V231" s="143"/>
      <c r="W231" s="58"/>
      <c r="X231" s="58"/>
      <c r="Y231" s="58"/>
      <c r="Z231" s="143"/>
      <c r="AA231" s="56"/>
      <c r="AB231" s="56"/>
      <c r="AC231" s="56"/>
      <c r="AD231" s="58"/>
      <c r="AE231" s="58"/>
      <c r="AF231" s="7"/>
      <c r="AG231" s="7"/>
      <c r="AH231" s="7"/>
      <c r="AI231" s="7"/>
      <c r="AJ231" s="7"/>
      <c r="AK231" s="7"/>
      <c r="AL231" s="9"/>
      <c r="AM231" s="9"/>
      <c r="AN231" s="143">
        <f t="shared" si="18"/>
        <v>0</v>
      </c>
      <c r="AO231" s="9"/>
      <c r="AP231" s="9"/>
      <c r="AQ231" s="39">
        <f t="shared" si="20"/>
        <v>0</v>
      </c>
      <c r="AR231" s="145">
        <f t="shared" si="19"/>
        <v>0</v>
      </c>
    </row>
    <row r="232" spans="1:45" ht="37.5" customHeight="1" x14ac:dyDescent="0.25">
      <c r="A232" s="27"/>
      <c r="B232" s="1"/>
      <c r="C232" s="58"/>
      <c r="D232" s="58"/>
      <c r="E232" s="9"/>
      <c r="F232" s="9"/>
      <c r="G232" s="56"/>
      <c r="H232" s="56"/>
      <c r="I232" s="44">
        <v>236</v>
      </c>
      <c r="J232" s="44"/>
      <c r="K232" s="56"/>
      <c r="L232" s="56"/>
      <c r="M232" s="56"/>
      <c r="N232" s="56"/>
      <c r="O232" s="57"/>
      <c r="P232" s="56"/>
      <c r="Q232" s="56"/>
      <c r="R232" s="58"/>
      <c r="S232" s="58"/>
      <c r="T232" s="58"/>
      <c r="U232" s="58"/>
      <c r="V232" s="143"/>
      <c r="W232" s="58"/>
      <c r="X232" s="58"/>
      <c r="Y232" s="58"/>
      <c r="Z232" s="143"/>
      <c r="AA232" s="56"/>
      <c r="AB232" s="56"/>
      <c r="AC232" s="56"/>
      <c r="AD232" s="58"/>
      <c r="AE232" s="58"/>
      <c r="AF232" s="7"/>
      <c r="AG232" s="7"/>
      <c r="AH232" s="7"/>
      <c r="AI232" s="7"/>
      <c r="AJ232" s="7"/>
      <c r="AK232" s="7"/>
      <c r="AL232" s="9"/>
      <c r="AM232" s="9"/>
      <c r="AN232" s="143">
        <f t="shared" si="18"/>
        <v>0</v>
      </c>
      <c r="AO232" s="9"/>
      <c r="AP232" s="9"/>
      <c r="AQ232" s="39">
        <f t="shared" si="20"/>
        <v>0</v>
      </c>
      <c r="AR232" s="145">
        <f t="shared" si="19"/>
        <v>0</v>
      </c>
    </row>
    <row r="233" spans="1:45" ht="37.5" customHeight="1" x14ac:dyDescent="0.25">
      <c r="A233" s="27"/>
      <c r="B233" s="1"/>
      <c r="C233" s="58"/>
      <c r="D233" s="58"/>
      <c r="E233" s="108"/>
      <c r="F233" s="9"/>
      <c r="G233" s="56"/>
      <c r="H233" s="56"/>
      <c r="I233" s="44">
        <v>237</v>
      </c>
      <c r="J233" s="44"/>
      <c r="K233" s="56"/>
      <c r="L233" s="56"/>
      <c r="M233" s="56"/>
      <c r="N233" s="56"/>
      <c r="O233" s="57"/>
      <c r="P233" s="56"/>
      <c r="Q233" s="56"/>
      <c r="R233" s="58"/>
      <c r="S233" s="58"/>
      <c r="T233" s="58"/>
      <c r="U233" s="58"/>
      <c r="V233" s="143"/>
      <c r="W233" s="58"/>
      <c r="X233" s="58"/>
      <c r="Y233" s="58"/>
      <c r="Z233" s="143"/>
      <c r="AA233" s="56"/>
      <c r="AB233" s="56"/>
      <c r="AC233" s="56"/>
      <c r="AD233" s="58"/>
      <c r="AE233" s="58"/>
      <c r="AF233" s="7"/>
      <c r="AG233" s="7"/>
      <c r="AH233" s="7"/>
      <c r="AI233" s="7"/>
      <c r="AJ233" s="7"/>
      <c r="AK233" s="7"/>
      <c r="AL233" s="9"/>
      <c r="AM233" s="9"/>
      <c r="AN233" s="143">
        <f t="shared" si="18"/>
        <v>0</v>
      </c>
      <c r="AO233" s="9"/>
      <c r="AP233" s="9"/>
      <c r="AQ233" s="39">
        <f t="shared" si="20"/>
        <v>0</v>
      </c>
      <c r="AR233" s="145">
        <f t="shared" si="19"/>
        <v>0</v>
      </c>
    </row>
    <row r="234" spans="1:45" ht="37.5" customHeight="1" x14ac:dyDescent="0.25">
      <c r="A234" s="27"/>
      <c r="B234" s="1"/>
      <c r="C234" s="58"/>
      <c r="D234" s="58"/>
      <c r="E234" s="108"/>
      <c r="F234" s="9"/>
      <c r="G234" s="56"/>
      <c r="H234" s="56"/>
      <c r="I234" s="44">
        <v>245</v>
      </c>
      <c r="J234" s="44"/>
      <c r="K234" s="56"/>
      <c r="L234" s="56"/>
      <c r="M234" s="56"/>
      <c r="N234" s="56"/>
      <c r="O234" s="57"/>
      <c r="P234" s="56"/>
      <c r="Q234" s="56"/>
      <c r="R234" s="58"/>
      <c r="S234" s="58"/>
      <c r="T234" s="58"/>
      <c r="U234" s="58"/>
      <c r="V234" s="143"/>
      <c r="W234" s="58"/>
      <c r="X234" s="58"/>
      <c r="Y234" s="58"/>
      <c r="Z234" s="143"/>
      <c r="AA234" s="56"/>
      <c r="AB234" s="56"/>
      <c r="AC234" s="56"/>
      <c r="AD234" s="58"/>
      <c r="AE234" s="58"/>
      <c r="AF234" s="7"/>
      <c r="AG234" s="7"/>
      <c r="AH234" s="7"/>
      <c r="AI234" s="7"/>
      <c r="AJ234" s="7"/>
      <c r="AK234" s="7"/>
      <c r="AL234" s="9"/>
      <c r="AM234" s="9"/>
      <c r="AN234" s="143">
        <f t="shared" si="18"/>
        <v>0</v>
      </c>
      <c r="AO234" s="9"/>
      <c r="AP234" s="9"/>
      <c r="AQ234" s="39">
        <f t="shared" si="20"/>
        <v>0</v>
      </c>
      <c r="AR234" s="145">
        <f t="shared" si="19"/>
        <v>0</v>
      </c>
    </row>
    <row r="235" spans="1:45" ht="37.5" customHeight="1" x14ac:dyDescent="0.25">
      <c r="A235" s="27"/>
      <c r="B235" s="1"/>
      <c r="C235" s="58"/>
      <c r="D235" s="58"/>
      <c r="E235" s="9"/>
      <c r="F235" s="9"/>
      <c r="G235" s="56"/>
      <c r="H235" s="56"/>
      <c r="I235" s="44">
        <v>246</v>
      </c>
      <c r="J235" s="44"/>
      <c r="K235" s="56"/>
      <c r="L235" s="56"/>
      <c r="M235" s="56"/>
      <c r="N235" s="56"/>
      <c r="O235" s="57"/>
      <c r="P235" s="56"/>
      <c r="Q235" s="56"/>
      <c r="R235" s="58"/>
      <c r="S235" s="58"/>
      <c r="T235" s="58"/>
      <c r="U235" s="58"/>
      <c r="V235" s="143"/>
      <c r="W235" s="58"/>
      <c r="X235" s="58"/>
      <c r="Y235" s="58"/>
      <c r="Z235" s="143"/>
      <c r="AA235" s="56"/>
      <c r="AB235" s="56"/>
      <c r="AC235" s="56"/>
      <c r="AD235" s="58"/>
      <c r="AE235" s="58"/>
      <c r="AF235" s="7"/>
      <c r="AG235" s="7"/>
      <c r="AH235" s="7"/>
      <c r="AI235" s="7"/>
      <c r="AJ235" s="7"/>
      <c r="AK235" s="7"/>
      <c r="AL235" s="9"/>
      <c r="AM235" s="9"/>
      <c r="AN235" s="143">
        <f t="shared" si="18"/>
        <v>0</v>
      </c>
      <c r="AO235" s="9"/>
      <c r="AP235" s="9"/>
      <c r="AQ235" s="39">
        <f t="shared" si="20"/>
        <v>0</v>
      </c>
      <c r="AR235" s="145">
        <f t="shared" si="19"/>
        <v>0</v>
      </c>
    </row>
    <row r="236" spans="1:45" ht="37.5" customHeight="1" x14ac:dyDescent="0.25">
      <c r="A236" s="27"/>
      <c r="B236" s="1"/>
      <c r="C236" s="58"/>
      <c r="D236" s="58"/>
      <c r="E236" s="108"/>
      <c r="F236" s="9"/>
      <c r="G236" s="56"/>
      <c r="H236" s="56"/>
      <c r="I236" s="44">
        <v>247</v>
      </c>
      <c r="J236" s="44"/>
      <c r="K236" s="56"/>
      <c r="L236" s="56"/>
      <c r="M236" s="56"/>
      <c r="N236" s="56"/>
      <c r="O236" s="57"/>
      <c r="P236" s="56"/>
      <c r="Q236" s="56"/>
      <c r="R236" s="58"/>
      <c r="S236" s="58"/>
      <c r="T236" s="58"/>
      <c r="U236" s="58"/>
      <c r="V236" s="143"/>
      <c r="W236" s="58"/>
      <c r="X236" s="58"/>
      <c r="Y236" s="58"/>
      <c r="Z236" s="143"/>
      <c r="AA236" s="56"/>
      <c r="AB236" s="56"/>
      <c r="AC236" s="56"/>
      <c r="AD236" s="58"/>
      <c r="AE236" s="58"/>
      <c r="AF236" s="7"/>
      <c r="AG236" s="7"/>
      <c r="AH236" s="7"/>
      <c r="AI236" s="13"/>
      <c r="AJ236" s="7"/>
      <c r="AK236" s="7"/>
      <c r="AL236" s="9"/>
      <c r="AM236" s="9"/>
      <c r="AN236" s="143">
        <f t="shared" si="18"/>
        <v>0</v>
      </c>
      <c r="AO236" s="9"/>
      <c r="AP236" s="9"/>
      <c r="AQ236" s="39">
        <f t="shared" si="20"/>
        <v>0</v>
      </c>
      <c r="AR236" s="145">
        <f t="shared" si="19"/>
        <v>0</v>
      </c>
    </row>
    <row r="237" spans="1:45" ht="37.5" customHeight="1" x14ac:dyDescent="0.25">
      <c r="A237" s="27"/>
      <c r="B237" s="1"/>
      <c r="C237" s="58"/>
      <c r="D237" s="58"/>
      <c r="E237" s="108"/>
      <c r="F237" s="9"/>
      <c r="G237" s="56"/>
      <c r="H237" s="56"/>
      <c r="I237" s="44">
        <v>248</v>
      </c>
      <c r="J237" s="44"/>
      <c r="K237" s="56"/>
      <c r="L237" s="56"/>
      <c r="M237" s="56"/>
      <c r="N237" s="56"/>
      <c r="O237" s="57"/>
      <c r="P237" s="56"/>
      <c r="Q237" s="56"/>
      <c r="R237" s="58"/>
      <c r="S237" s="58"/>
      <c r="T237" s="58"/>
      <c r="U237" s="58"/>
      <c r="V237" s="143"/>
      <c r="W237" s="58"/>
      <c r="X237" s="58"/>
      <c r="Y237" s="58"/>
      <c r="Z237" s="143"/>
      <c r="AA237" s="56"/>
      <c r="AB237" s="56"/>
      <c r="AC237" s="56"/>
      <c r="AD237" s="58"/>
      <c r="AE237" s="58"/>
      <c r="AF237" s="7"/>
      <c r="AG237" s="7"/>
      <c r="AH237" s="7"/>
      <c r="AI237" s="7"/>
      <c r="AJ237" s="7"/>
      <c r="AK237" s="7"/>
      <c r="AL237" s="9"/>
      <c r="AM237" s="9"/>
      <c r="AN237" s="143">
        <f t="shared" si="18"/>
        <v>0</v>
      </c>
      <c r="AO237" s="9"/>
      <c r="AP237" s="9"/>
      <c r="AQ237" s="39">
        <f t="shared" si="20"/>
        <v>0</v>
      </c>
      <c r="AR237" s="145">
        <f t="shared" si="19"/>
        <v>0</v>
      </c>
    </row>
    <row r="238" spans="1:45" ht="37.5" customHeight="1" x14ac:dyDescent="0.25">
      <c r="A238" s="27"/>
      <c r="B238" s="1"/>
      <c r="C238" s="9"/>
      <c r="D238" s="9"/>
      <c r="E238" s="9"/>
      <c r="F238" s="9"/>
      <c r="G238" s="56"/>
      <c r="H238" s="56"/>
      <c r="I238" s="44">
        <v>249</v>
      </c>
      <c r="J238" s="44"/>
      <c r="K238" s="56"/>
      <c r="L238" s="56"/>
      <c r="M238" s="56"/>
      <c r="N238" s="56"/>
      <c r="O238" s="57"/>
      <c r="P238" s="56"/>
      <c r="Q238" s="56"/>
      <c r="R238" s="58"/>
      <c r="S238" s="58"/>
      <c r="T238" s="58"/>
      <c r="U238" s="58"/>
      <c r="V238" s="143"/>
      <c r="W238" s="58"/>
      <c r="X238" s="58"/>
      <c r="Y238" s="58"/>
      <c r="Z238" s="143"/>
      <c r="AA238" s="56"/>
      <c r="AB238" s="56"/>
      <c r="AC238" s="56"/>
      <c r="AD238" s="58"/>
      <c r="AE238" s="58"/>
      <c r="AF238" s="7"/>
      <c r="AG238" s="7"/>
      <c r="AH238" s="7"/>
      <c r="AI238" s="7"/>
      <c r="AJ238" s="7"/>
      <c r="AK238" s="7"/>
      <c r="AL238" s="9"/>
      <c r="AM238" s="9"/>
      <c r="AN238" s="143">
        <f>AA238-AB238-AD238-AF238-AH238-AJ238-AL238</f>
        <v>0</v>
      </c>
      <c r="AO238" s="9"/>
      <c r="AP238" s="9"/>
      <c r="AQ238" s="39">
        <f>+AB238+AD238+AF238+AH238+AJ238+AL238</f>
        <v>0</v>
      </c>
      <c r="AR238" s="145">
        <f t="shared" si="19"/>
        <v>0</v>
      </c>
    </row>
    <row r="239" spans="1:45" ht="37.5" customHeight="1" x14ac:dyDescent="0.25">
      <c r="A239" s="27"/>
      <c r="B239" s="1"/>
      <c r="C239" s="9"/>
      <c r="D239" s="9"/>
      <c r="E239" s="108"/>
      <c r="F239" s="9"/>
      <c r="G239" s="56"/>
      <c r="H239" s="56"/>
      <c r="I239" s="44">
        <v>250</v>
      </c>
      <c r="J239" s="44"/>
      <c r="K239" s="56"/>
      <c r="L239" s="56"/>
      <c r="M239" s="56"/>
      <c r="N239" s="56"/>
      <c r="O239" s="57"/>
      <c r="P239" s="56"/>
      <c r="Q239" s="56"/>
      <c r="R239" s="58"/>
      <c r="S239" s="58"/>
      <c r="T239" s="58"/>
      <c r="U239" s="58"/>
      <c r="V239" s="143"/>
      <c r="W239" s="58"/>
      <c r="X239" s="58"/>
      <c r="Y239" s="58"/>
      <c r="Z239" s="143"/>
      <c r="AA239" s="56"/>
      <c r="AB239" s="56"/>
      <c r="AC239" s="56"/>
      <c r="AD239" s="58"/>
      <c r="AE239" s="58"/>
      <c r="AF239" s="7"/>
      <c r="AG239" s="7"/>
      <c r="AH239" s="7"/>
      <c r="AI239" s="7"/>
      <c r="AJ239" s="7"/>
      <c r="AK239" s="7"/>
      <c r="AL239" s="9"/>
      <c r="AM239" s="9"/>
      <c r="AN239" s="143">
        <f>AA239-AB239-AD239-AF239-AH239-AJ239</f>
        <v>0</v>
      </c>
      <c r="AO239" s="9"/>
      <c r="AP239" s="9"/>
      <c r="AQ239" s="39">
        <f t="shared" si="20"/>
        <v>0</v>
      </c>
      <c r="AR239" s="145">
        <f t="shared" si="19"/>
        <v>0</v>
      </c>
    </row>
    <row r="240" spans="1:45" ht="37.5" customHeight="1" x14ac:dyDescent="0.25">
      <c r="A240" s="27"/>
      <c r="B240" s="1"/>
      <c r="C240" s="9"/>
      <c r="D240" s="9"/>
      <c r="E240" s="108"/>
      <c r="F240" s="9"/>
      <c r="G240" s="56"/>
      <c r="H240" s="56"/>
      <c r="I240" s="44">
        <v>251</v>
      </c>
      <c r="J240" s="44"/>
      <c r="K240" s="56"/>
      <c r="L240" s="56"/>
      <c r="M240" s="56"/>
      <c r="N240" s="56"/>
      <c r="O240" s="57"/>
      <c r="P240" s="56"/>
      <c r="Q240" s="56"/>
      <c r="R240" s="58"/>
      <c r="S240" s="58"/>
      <c r="T240" s="58"/>
      <c r="U240" s="58"/>
      <c r="V240" s="143"/>
      <c r="W240" s="58"/>
      <c r="X240" s="58"/>
      <c r="Y240" s="58"/>
      <c r="Z240" s="143"/>
      <c r="AA240" s="56"/>
      <c r="AB240" s="56"/>
      <c r="AC240" s="56"/>
      <c r="AD240" s="58"/>
      <c r="AE240" s="58"/>
      <c r="AF240" s="7"/>
      <c r="AG240" s="7"/>
      <c r="AH240" s="7"/>
      <c r="AI240" s="7"/>
      <c r="AJ240" s="7"/>
      <c r="AK240" s="7"/>
      <c r="AL240" s="9"/>
      <c r="AM240" s="9"/>
      <c r="AN240" s="143">
        <f>AA240-AB240-AD240-AF240-AH240-AJ240-AL240</f>
        <v>0</v>
      </c>
      <c r="AO240" s="9"/>
      <c r="AP240" s="9"/>
      <c r="AQ240" s="9">
        <f>+AB240+AD240+AF240+AH240+AJ240+AL240</f>
        <v>0</v>
      </c>
      <c r="AR240" s="145">
        <f t="shared" si="19"/>
        <v>0</v>
      </c>
    </row>
    <row r="241" spans="1:44" ht="37.5" customHeight="1" x14ac:dyDescent="0.25">
      <c r="A241" s="27"/>
      <c r="B241" s="1"/>
      <c r="C241" s="9"/>
      <c r="D241" s="9"/>
      <c r="E241" s="9"/>
      <c r="F241" s="9"/>
      <c r="G241" s="56"/>
      <c r="H241" s="56"/>
      <c r="I241" s="44">
        <v>252</v>
      </c>
      <c r="J241" s="44"/>
      <c r="K241" s="56"/>
      <c r="L241" s="56"/>
      <c r="M241" s="56"/>
      <c r="N241" s="56"/>
      <c r="O241" s="57"/>
      <c r="P241" s="56"/>
      <c r="Q241" s="56"/>
      <c r="R241" s="58"/>
      <c r="S241" s="58"/>
      <c r="T241" s="58"/>
      <c r="U241" s="58"/>
      <c r="V241" s="143"/>
      <c r="W241" s="58"/>
      <c r="X241" s="58"/>
      <c r="Y241" s="58"/>
      <c r="Z241" s="143"/>
      <c r="AA241" s="56"/>
      <c r="AB241" s="56"/>
      <c r="AC241" s="56"/>
      <c r="AD241" s="58"/>
      <c r="AE241" s="58"/>
      <c r="AF241" s="7"/>
      <c r="AG241" s="7"/>
      <c r="AH241" s="7"/>
      <c r="AI241" s="7"/>
      <c r="AJ241" s="7"/>
      <c r="AK241" s="7"/>
      <c r="AL241" s="9"/>
      <c r="AM241" s="9"/>
      <c r="AN241" s="143">
        <f t="shared" ref="AN241:AN284" si="21">AA241-AB241-AD241-AF241-AH241-AJ241</f>
        <v>0</v>
      </c>
      <c r="AO241" s="9"/>
      <c r="AP241" s="9"/>
      <c r="AQ241" s="9">
        <f t="shared" ref="AQ241:AQ284" si="22">+AB241+AD241+AF241+AH241+AJ241</f>
        <v>0</v>
      </c>
      <c r="AR241" s="145">
        <f t="shared" si="19"/>
        <v>0</v>
      </c>
    </row>
    <row r="242" spans="1:44" ht="37.5" customHeight="1" x14ac:dyDescent="0.25">
      <c r="A242" s="27"/>
      <c r="B242" s="1"/>
      <c r="C242" s="9"/>
      <c r="D242" s="9"/>
      <c r="E242" s="108"/>
      <c r="F242" s="9"/>
      <c r="G242" s="56"/>
      <c r="H242" s="56"/>
      <c r="I242" s="44">
        <v>253</v>
      </c>
      <c r="J242" s="44"/>
      <c r="K242" s="56"/>
      <c r="L242" s="56"/>
      <c r="M242" s="56"/>
      <c r="N242" s="56"/>
      <c r="O242" s="57"/>
      <c r="P242" s="56"/>
      <c r="Q242" s="56"/>
      <c r="R242" s="58"/>
      <c r="S242" s="58"/>
      <c r="T242" s="58"/>
      <c r="U242" s="58"/>
      <c r="V242" s="143"/>
      <c r="W242" s="58"/>
      <c r="X242" s="58"/>
      <c r="Y242" s="58"/>
      <c r="Z242" s="143"/>
      <c r="AA242" s="56"/>
      <c r="AB242" s="56"/>
      <c r="AC242" s="56"/>
      <c r="AD242" s="58"/>
      <c r="AE242" s="58"/>
      <c r="AF242" s="7"/>
      <c r="AG242" s="7"/>
      <c r="AH242" s="7"/>
      <c r="AI242" s="7"/>
      <c r="AJ242" s="7"/>
      <c r="AK242" s="7"/>
      <c r="AL242" s="9"/>
      <c r="AM242" s="9"/>
      <c r="AN242" s="143">
        <f t="shared" si="21"/>
        <v>0</v>
      </c>
      <c r="AO242" s="9"/>
      <c r="AP242" s="9"/>
      <c r="AQ242" s="9">
        <f t="shared" si="22"/>
        <v>0</v>
      </c>
      <c r="AR242" s="145">
        <f t="shared" si="19"/>
        <v>0</v>
      </c>
    </row>
    <row r="243" spans="1:44" x14ac:dyDescent="0.25">
      <c r="A243" s="27"/>
      <c r="B243" s="1"/>
      <c r="C243" s="9"/>
      <c r="D243" s="9"/>
      <c r="E243" s="108"/>
      <c r="F243" s="9"/>
      <c r="G243" s="56"/>
      <c r="H243" s="56"/>
      <c r="I243" s="44">
        <v>254</v>
      </c>
      <c r="J243" s="44"/>
      <c r="K243" s="56"/>
      <c r="L243" s="56"/>
      <c r="M243" s="56"/>
      <c r="N243" s="56"/>
      <c r="O243" s="57"/>
      <c r="P243" s="56"/>
      <c r="Q243" s="56"/>
      <c r="R243" s="58"/>
      <c r="S243" s="58"/>
      <c r="T243" s="58"/>
      <c r="U243" s="58"/>
      <c r="V243" s="143"/>
      <c r="W243" s="58"/>
      <c r="X243" s="58"/>
      <c r="Y243" s="58"/>
      <c r="Z243" s="143"/>
      <c r="AA243" s="40"/>
      <c r="AB243" s="40"/>
      <c r="AC243" s="40"/>
      <c r="AD243" s="39"/>
      <c r="AE243" s="39"/>
      <c r="AF243" s="7"/>
      <c r="AG243" s="7"/>
      <c r="AH243" s="7"/>
      <c r="AI243" s="7"/>
      <c r="AJ243" s="7"/>
      <c r="AK243" s="7"/>
      <c r="AL243" s="9"/>
      <c r="AM243" s="58"/>
      <c r="AN243" s="143">
        <f t="shared" si="21"/>
        <v>0</v>
      </c>
      <c r="AO243" s="9"/>
      <c r="AP243" s="9"/>
      <c r="AQ243" s="9">
        <f t="shared" si="22"/>
        <v>0</v>
      </c>
      <c r="AR243" s="145">
        <f t="shared" si="19"/>
        <v>0</v>
      </c>
    </row>
    <row r="244" spans="1:44" ht="43.5" customHeight="1" x14ac:dyDescent="0.25">
      <c r="A244" s="27"/>
      <c r="B244" s="1"/>
      <c r="C244" s="9"/>
      <c r="D244" s="9"/>
      <c r="E244" s="108"/>
      <c r="F244" s="9"/>
      <c r="G244" s="56"/>
      <c r="H244" s="56"/>
      <c r="I244" s="44">
        <v>255</v>
      </c>
      <c r="J244" s="44"/>
      <c r="K244" s="56"/>
      <c r="L244" s="56"/>
      <c r="M244" s="56"/>
      <c r="N244" s="56"/>
      <c r="O244" s="57"/>
      <c r="P244" s="56"/>
      <c r="Q244" s="56"/>
      <c r="R244" s="58"/>
      <c r="S244" s="58"/>
      <c r="T244" s="58"/>
      <c r="U244" s="58"/>
      <c r="V244" s="143"/>
      <c r="W244" s="58"/>
      <c r="X244" s="58"/>
      <c r="Y244" s="58"/>
      <c r="Z244" s="143"/>
      <c r="AA244" s="56"/>
      <c r="AB244" s="56"/>
      <c r="AC244" s="56"/>
      <c r="AD244" s="58"/>
      <c r="AE244" s="58"/>
      <c r="AF244" s="7"/>
      <c r="AG244" s="13"/>
      <c r="AH244" s="7"/>
      <c r="AI244" s="13"/>
      <c r="AJ244" s="7"/>
      <c r="AK244" s="7"/>
      <c r="AL244" s="9"/>
      <c r="AM244" s="9"/>
      <c r="AN244" s="143">
        <f t="shared" si="21"/>
        <v>0</v>
      </c>
      <c r="AO244" s="9"/>
      <c r="AP244" s="9"/>
      <c r="AQ244" s="9">
        <f t="shared" si="22"/>
        <v>0</v>
      </c>
      <c r="AR244" s="145">
        <f t="shared" si="19"/>
        <v>0</v>
      </c>
    </row>
    <row r="245" spans="1:44" ht="45" customHeight="1" x14ac:dyDescent="0.25">
      <c r="A245" s="27"/>
      <c r="B245" s="1"/>
      <c r="C245" s="9"/>
      <c r="D245" s="9"/>
      <c r="E245" s="108"/>
      <c r="F245" s="9"/>
      <c r="G245" s="56"/>
      <c r="H245" s="56"/>
      <c r="I245" s="44">
        <v>256</v>
      </c>
      <c r="J245" s="44"/>
      <c r="K245" s="56"/>
      <c r="L245" s="56"/>
      <c r="M245" s="56"/>
      <c r="N245" s="56"/>
      <c r="O245" s="57"/>
      <c r="P245" s="56"/>
      <c r="Q245" s="56"/>
      <c r="R245" s="58"/>
      <c r="S245" s="58"/>
      <c r="T245" s="58"/>
      <c r="U245" s="58"/>
      <c r="V245" s="143"/>
      <c r="W245" s="58"/>
      <c r="X245" s="58"/>
      <c r="Y245" s="58"/>
      <c r="Z245" s="143"/>
      <c r="AA245" s="56"/>
      <c r="AB245" s="56"/>
      <c r="AC245" s="56"/>
      <c r="AD245" s="58"/>
      <c r="AE245" s="58"/>
      <c r="AF245" s="7"/>
      <c r="AG245" s="7"/>
      <c r="AH245" s="7"/>
      <c r="AI245" s="7"/>
      <c r="AJ245" s="7"/>
      <c r="AK245" s="7"/>
      <c r="AL245" s="9"/>
      <c r="AM245" s="9"/>
      <c r="AN245" s="143">
        <f t="shared" si="21"/>
        <v>0</v>
      </c>
      <c r="AO245" s="9"/>
      <c r="AP245" s="9"/>
      <c r="AQ245" s="9">
        <f t="shared" si="22"/>
        <v>0</v>
      </c>
      <c r="AR245" s="145">
        <f t="shared" si="19"/>
        <v>0</v>
      </c>
    </row>
    <row r="246" spans="1:44" ht="37.5" customHeight="1" x14ac:dyDescent="0.25">
      <c r="A246" s="27"/>
      <c r="B246" s="1"/>
      <c r="C246" s="9"/>
      <c r="D246" s="9"/>
      <c r="E246" s="108"/>
      <c r="F246" s="9"/>
      <c r="G246" s="56"/>
      <c r="H246" s="56"/>
      <c r="I246" s="44">
        <v>257</v>
      </c>
      <c r="J246" s="44"/>
      <c r="K246" s="56"/>
      <c r="L246" s="56"/>
      <c r="M246" s="56"/>
      <c r="N246" s="56"/>
      <c r="O246" s="57"/>
      <c r="P246" s="56"/>
      <c r="Q246" s="56"/>
      <c r="R246" s="58"/>
      <c r="S246" s="58"/>
      <c r="T246" s="58"/>
      <c r="U246" s="58"/>
      <c r="V246" s="143"/>
      <c r="W246" s="58"/>
      <c r="X246" s="58"/>
      <c r="Y246" s="58"/>
      <c r="Z246" s="143"/>
      <c r="AA246" s="56"/>
      <c r="AB246" s="56"/>
      <c r="AC246" s="56"/>
      <c r="AD246" s="58"/>
      <c r="AE246" s="58"/>
      <c r="AF246" s="7"/>
      <c r="AG246" s="7"/>
      <c r="AH246" s="7"/>
      <c r="AI246" s="7"/>
      <c r="AJ246" s="7"/>
      <c r="AK246" s="7"/>
      <c r="AL246" s="9"/>
      <c r="AM246" s="9"/>
      <c r="AN246" s="143">
        <f t="shared" si="21"/>
        <v>0</v>
      </c>
      <c r="AO246" s="9"/>
      <c r="AP246" s="9"/>
      <c r="AQ246" s="9">
        <f t="shared" si="22"/>
        <v>0</v>
      </c>
      <c r="AR246" s="145">
        <f t="shared" si="19"/>
        <v>0</v>
      </c>
    </row>
    <row r="247" spans="1:44" ht="37.5" customHeight="1" x14ac:dyDescent="0.25">
      <c r="A247" s="27"/>
      <c r="B247" s="1"/>
      <c r="C247" s="9"/>
      <c r="D247" s="9"/>
      <c r="E247" s="9"/>
      <c r="F247" s="9"/>
      <c r="G247" s="56"/>
      <c r="H247" s="56"/>
      <c r="I247" s="44">
        <v>259</v>
      </c>
      <c r="J247" s="44"/>
      <c r="K247" s="56"/>
      <c r="L247" s="56"/>
      <c r="M247" s="56"/>
      <c r="N247" s="56"/>
      <c r="O247" s="57"/>
      <c r="P247" s="56"/>
      <c r="Q247" s="56"/>
      <c r="R247" s="58"/>
      <c r="S247" s="58"/>
      <c r="T247" s="58"/>
      <c r="U247" s="58"/>
      <c r="V247" s="143"/>
      <c r="W247" s="58"/>
      <c r="X247" s="58"/>
      <c r="Y247" s="58"/>
      <c r="Z247" s="143"/>
      <c r="AA247" s="56"/>
      <c r="AB247" s="56"/>
      <c r="AC247" s="56"/>
      <c r="AD247" s="58"/>
      <c r="AE247" s="163"/>
      <c r="AF247" s="7"/>
      <c r="AG247" s="13"/>
      <c r="AH247" s="7"/>
      <c r="AI247" s="7"/>
      <c r="AJ247" s="7"/>
      <c r="AK247" s="7"/>
      <c r="AL247" s="9"/>
      <c r="AM247" s="9"/>
      <c r="AN247" s="143">
        <f t="shared" si="21"/>
        <v>0</v>
      </c>
      <c r="AO247" s="9"/>
      <c r="AP247" s="9"/>
      <c r="AQ247" s="9">
        <f t="shared" si="22"/>
        <v>0</v>
      </c>
      <c r="AR247" s="145">
        <f t="shared" si="19"/>
        <v>0</v>
      </c>
    </row>
    <row r="248" spans="1:44" ht="37.5" customHeight="1" x14ac:dyDescent="0.25">
      <c r="A248" s="27"/>
      <c r="B248" s="1"/>
      <c r="C248" s="9"/>
      <c r="D248" s="9"/>
      <c r="E248" s="108"/>
      <c r="F248" s="9"/>
      <c r="G248" s="56"/>
      <c r="H248" s="56"/>
      <c r="I248" s="44">
        <v>260</v>
      </c>
      <c r="J248" s="44"/>
      <c r="K248" s="56"/>
      <c r="L248" s="56"/>
      <c r="M248" s="56"/>
      <c r="N248" s="56"/>
      <c r="O248" s="57"/>
      <c r="P248" s="56"/>
      <c r="Q248" s="56"/>
      <c r="R248" s="58"/>
      <c r="S248" s="58"/>
      <c r="T248" s="58"/>
      <c r="U248" s="58"/>
      <c r="V248" s="143"/>
      <c r="W248" s="58"/>
      <c r="X248" s="58"/>
      <c r="Y248" s="58"/>
      <c r="Z248" s="143"/>
      <c r="AA248" s="56"/>
      <c r="AB248" s="56"/>
      <c r="AC248" s="56"/>
      <c r="AD248" s="58"/>
      <c r="AE248" s="58"/>
      <c r="AF248" s="7"/>
      <c r="AG248" s="7"/>
      <c r="AH248" s="7"/>
      <c r="AI248" s="7"/>
      <c r="AJ248" s="7"/>
      <c r="AK248" s="7"/>
      <c r="AL248" s="9"/>
      <c r="AM248" s="9"/>
      <c r="AN248" s="143">
        <f t="shared" si="21"/>
        <v>0</v>
      </c>
      <c r="AO248" s="9"/>
      <c r="AP248" s="9"/>
      <c r="AQ248" s="9">
        <f t="shared" si="22"/>
        <v>0</v>
      </c>
      <c r="AR248" s="145">
        <f t="shared" si="19"/>
        <v>0</v>
      </c>
    </row>
    <row r="249" spans="1:44" ht="48.75" customHeight="1" x14ac:dyDescent="0.25">
      <c r="A249" s="27"/>
      <c r="B249" s="1"/>
      <c r="C249" s="9"/>
      <c r="D249" s="9"/>
      <c r="E249" s="9"/>
      <c r="F249" s="9"/>
      <c r="G249" s="56"/>
      <c r="H249" s="56"/>
      <c r="I249" s="44">
        <v>262</v>
      </c>
      <c r="J249" s="44"/>
      <c r="K249" s="56"/>
      <c r="L249" s="56"/>
      <c r="M249" s="56"/>
      <c r="N249" s="56"/>
      <c r="O249" s="57"/>
      <c r="P249" s="56"/>
      <c r="Q249" s="56"/>
      <c r="R249" s="58"/>
      <c r="S249" s="58"/>
      <c r="T249" s="58"/>
      <c r="U249" s="58"/>
      <c r="V249" s="143"/>
      <c r="W249" s="58"/>
      <c r="X249" s="58"/>
      <c r="Y249" s="58"/>
      <c r="Z249" s="143"/>
      <c r="AA249" s="56"/>
      <c r="AB249" s="56"/>
      <c r="AC249" s="56"/>
      <c r="AD249" s="58"/>
      <c r="AE249" s="58"/>
      <c r="AF249" s="7"/>
      <c r="AG249" s="7"/>
      <c r="AH249" s="7"/>
      <c r="AI249" s="7"/>
      <c r="AJ249" s="7"/>
      <c r="AK249" s="7"/>
      <c r="AL249" s="9"/>
      <c r="AM249" s="9"/>
      <c r="AN249" s="143">
        <f t="shared" si="21"/>
        <v>0</v>
      </c>
      <c r="AO249" s="9"/>
      <c r="AP249" s="9"/>
      <c r="AQ249" s="9">
        <f t="shared" si="22"/>
        <v>0</v>
      </c>
      <c r="AR249" s="145">
        <f t="shared" si="19"/>
        <v>0</v>
      </c>
    </row>
    <row r="250" spans="1:44" ht="37.5" customHeight="1" x14ac:dyDescent="0.25">
      <c r="A250" s="27"/>
      <c r="B250" s="1"/>
      <c r="C250" s="9"/>
      <c r="D250" s="9"/>
      <c r="E250" s="108"/>
      <c r="F250" s="9"/>
      <c r="G250" s="56"/>
      <c r="H250" s="56"/>
      <c r="I250" s="44">
        <v>264</v>
      </c>
      <c r="J250" s="44"/>
      <c r="K250" s="56"/>
      <c r="L250" s="56"/>
      <c r="M250" s="56"/>
      <c r="N250" s="56"/>
      <c r="O250" s="57"/>
      <c r="P250" s="56"/>
      <c r="Q250" s="56"/>
      <c r="R250" s="58"/>
      <c r="S250" s="58"/>
      <c r="T250" s="58"/>
      <c r="U250" s="58"/>
      <c r="V250" s="143"/>
      <c r="W250" s="58"/>
      <c r="X250" s="58"/>
      <c r="Y250" s="58"/>
      <c r="Z250" s="143"/>
      <c r="AA250" s="56"/>
      <c r="AB250" s="56"/>
      <c r="AC250" s="56"/>
      <c r="AD250" s="58"/>
      <c r="AE250" s="58"/>
      <c r="AF250" s="79"/>
      <c r="AG250" s="79"/>
      <c r="AH250" s="79"/>
      <c r="AI250" s="112"/>
      <c r="AJ250" s="7"/>
      <c r="AK250" s="7"/>
      <c r="AL250" s="9"/>
      <c r="AM250" s="9"/>
      <c r="AN250" s="143">
        <f t="shared" si="21"/>
        <v>0</v>
      </c>
      <c r="AO250" s="9"/>
      <c r="AP250" s="9"/>
      <c r="AQ250" s="9">
        <f t="shared" si="22"/>
        <v>0</v>
      </c>
      <c r="AR250" s="145">
        <f t="shared" si="19"/>
        <v>0</v>
      </c>
    </row>
    <row r="251" spans="1:44" ht="37.5" customHeight="1" x14ac:dyDescent="0.25">
      <c r="A251" s="27"/>
      <c r="B251" s="27"/>
      <c r="C251" s="58"/>
      <c r="D251" s="58"/>
      <c r="E251" s="9"/>
      <c r="F251" s="9"/>
      <c r="G251" s="56"/>
      <c r="H251" s="56"/>
      <c r="I251" s="44">
        <v>265</v>
      </c>
      <c r="J251" s="44"/>
      <c r="K251" s="56"/>
      <c r="L251" s="56"/>
      <c r="M251" s="56"/>
      <c r="N251" s="56"/>
      <c r="O251" s="57"/>
      <c r="P251" s="56"/>
      <c r="Q251" s="56"/>
      <c r="R251" s="58"/>
      <c r="S251" s="58"/>
      <c r="T251" s="58"/>
      <c r="U251" s="58"/>
      <c r="V251" s="143"/>
      <c r="W251" s="58"/>
      <c r="X251" s="58"/>
      <c r="Y251" s="58"/>
      <c r="Z251" s="143"/>
      <c r="AA251" s="56"/>
      <c r="AB251" s="56"/>
      <c r="AC251" s="56"/>
      <c r="AD251" s="58"/>
      <c r="AE251" s="58"/>
      <c r="AF251" s="7"/>
      <c r="AG251" s="7"/>
      <c r="AH251" s="7"/>
      <c r="AI251" s="7"/>
      <c r="AJ251" s="7"/>
      <c r="AK251" s="7"/>
      <c r="AL251" s="9"/>
      <c r="AM251" s="9"/>
      <c r="AN251" s="143">
        <f t="shared" si="21"/>
        <v>0</v>
      </c>
      <c r="AO251" s="9"/>
      <c r="AP251" s="9"/>
      <c r="AQ251" s="9">
        <f t="shared" si="22"/>
        <v>0</v>
      </c>
      <c r="AR251" s="145">
        <f t="shared" si="19"/>
        <v>0</v>
      </c>
    </row>
    <row r="252" spans="1:44" ht="39" customHeight="1" x14ac:dyDescent="0.25">
      <c r="A252" s="27"/>
      <c r="B252" s="27"/>
      <c r="C252" s="58"/>
      <c r="D252" s="58"/>
      <c r="E252" s="108"/>
      <c r="F252" s="9"/>
      <c r="G252" s="56"/>
      <c r="H252" s="56"/>
      <c r="I252" s="44">
        <v>266</v>
      </c>
      <c r="J252" s="44"/>
      <c r="K252" s="56"/>
      <c r="L252" s="56"/>
      <c r="M252" s="56"/>
      <c r="N252" s="56"/>
      <c r="O252" s="57"/>
      <c r="P252" s="56"/>
      <c r="Q252" s="56"/>
      <c r="R252" s="58"/>
      <c r="S252" s="58"/>
      <c r="T252" s="58"/>
      <c r="U252" s="58"/>
      <c r="V252" s="143"/>
      <c r="W252" s="58"/>
      <c r="X252" s="58"/>
      <c r="Y252" s="58"/>
      <c r="Z252" s="143"/>
      <c r="AA252" s="56"/>
      <c r="AB252" s="56"/>
      <c r="AC252" s="56"/>
      <c r="AD252" s="58"/>
      <c r="AE252" s="58"/>
      <c r="AF252" s="7"/>
      <c r="AG252" s="7"/>
      <c r="AH252" s="7"/>
      <c r="AI252" s="7"/>
      <c r="AJ252" s="7"/>
      <c r="AK252" s="7"/>
      <c r="AL252" s="9"/>
      <c r="AM252" s="9"/>
      <c r="AN252" s="143">
        <f t="shared" si="21"/>
        <v>0</v>
      </c>
      <c r="AO252" s="9"/>
      <c r="AP252" s="9"/>
      <c r="AQ252" s="9">
        <f t="shared" si="22"/>
        <v>0</v>
      </c>
      <c r="AR252" s="145">
        <f t="shared" si="19"/>
        <v>0</v>
      </c>
    </row>
    <row r="253" spans="1:44" ht="37.5" customHeight="1" x14ac:dyDescent="0.25">
      <c r="A253" s="27"/>
      <c r="B253" s="27"/>
      <c r="C253" s="58"/>
      <c r="D253" s="58"/>
      <c r="E253" s="108"/>
      <c r="F253" s="9"/>
      <c r="G253" s="56"/>
      <c r="H253" s="56"/>
      <c r="I253" s="44">
        <v>267</v>
      </c>
      <c r="J253" s="44"/>
      <c r="K253" s="56"/>
      <c r="L253" s="56"/>
      <c r="M253" s="56"/>
      <c r="N253" s="56"/>
      <c r="O253" s="57"/>
      <c r="P253" s="56"/>
      <c r="Q253" s="56"/>
      <c r="R253" s="58"/>
      <c r="S253" s="58"/>
      <c r="T253" s="58"/>
      <c r="U253" s="58"/>
      <c r="V253" s="143"/>
      <c r="W253" s="58"/>
      <c r="X253" s="58"/>
      <c r="Y253" s="58"/>
      <c r="Z253" s="143"/>
      <c r="AA253" s="56"/>
      <c r="AB253" s="56"/>
      <c r="AC253" s="56"/>
      <c r="AD253" s="58"/>
      <c r="AE253" s="58"/>
      <c r="AF253" s="7"/>
      <c r="AG253" s="7"/>
      <c r="AH253" s="7"/>
      <c r="AI253" s="7"/>
      <c r="AJ253" s="7"/>
      <c r="AK253" s="7"/>
      <c r="AL253" s="9"/>
      <c r="AM253" s="9"/>
      <c r="AN253" s="143">
        <f t="shared" si="21"/>
        <v>0</v>
      </c>
      <c r="AO253" s="9"/>
      <c r="AP253" s="9"/>
      <c r="AQ253" s="9">
        <f t="shared" si="22"/>
        <v>0</v>
      </c>
      <c r="AR253" s="145">
        <f t="shared" si="19"/>
        <v>0</v>
      </c>
    </row>
    <row r="254" spans="1:44" ht="37.5" customHeight="1" x14ac:dyDescent="0.25">
      <c r="A254" s="27"/>
      <c r="B254" s="27"/>
      <c r="C254" s="58"/>
      <c r="D254" s="58"/>
      <c r="E254" s="9"/>
      <c r="F254" s="9"/>
      <c r="G254" s="56"/>
      <c r="H254" s="56"/>
      <c r="I254" s="44">
        <v>268</v>
      </c>
      <c r="J254" s="44"/>
      <c r="K254" s="56"/>
      <c r="L254" s="56"/>
      <c r="M254" s="56"/>
      <c r="N254" s="56"/>
      <c r="O254" s="57"/>
      <c r="P254" s="56"/>
      <c r="Q254" s="56"/>
      <c r="R254" s="58"/>
      <c r="S254" s="58"/>
      <c r="T254" s="58"/>
      <c r="U254" s="58"/>
      <c r="V254" s="143"/>
      <c r="W254" s="58"/>
      <c r="X254" s="58"/>
      <c r="Y254" s="58"/>
      <c r="Z254" s="143"/>
      <c r="AA254" s="56"/>
      <c r="AB254" s="56"/>
      <c r="AC254" s="56"/>
      <c r="AD254" s="58"/>
      <c r="AE254" s="58"/>
      <c r="AF254" s="7"/>
      <c r="AG254" s="7"/>
      <c r="AH254" s="7"/>
      <c r="AI254" s="7"/>
      <c r="AJ254" s="7"/>
      <c r="AK254" s="7"/>
      <c r="AL254" s="9"/>
      <c r="AM254" s="9"/>
      <c r="AN254" s="143">
        <f t="shared" si="21"/>
        <v>0</v>
      </c>
      <c r="AO254" s="9"/>
      <c r="AP254" s="9"/>
      <c r="AQ254" s="9">
        <f t="shared" si="22"/>
        <v>0</v>
      </c>
      <c r="AR254" s="145">
        <f t="shared" si="19"/>
        <v>0</v>
      </c>
    </row>
    <row r="255" spans="1:44" ht="37.5" customHeight="1" x14ac:dyDescent="0.25">
      <c r="A255" s="27"/>
      <c r="B255" s="27"/>
      <c r="C255" s="58"/>
      <c r="D255" s="58"/>
      <c r="E255" s="108"/>
      <c r="F255" s="9"/>
      <c r="G255" s="56"/>
      <c r="H255" s="56"/>
      <c r="I255" s="44">
        <v>269</v>
      </c>
      <c r="J255" s="44"/>
      <c r="K255" s="56"/>
      <c r="L255" s="56"/>
      <c r="M255" s="56"/>
      <c r="N255" s="56"/>
      <c r="O255" s="57"/>
      <c r="P255" s="56"/>
      <c r="Q255" s="56"/>
      <c r="R255" s="58"/>
      <c r="S255" s="58"/>
      <c r="T255" s="58"/>
      <c r="U255" s="58"/>
      <c r="V255" s="143"/>
      <c r="W255" s="58"/>
      <c r="X255" s="58"/>
      <c r="Y255" s="58"/>
      <c r="Z255" s="143"/>
      <c r="AA255" s="56"/>
      <c r="AB255" s="56"/>
      <c r="AC255" s="56"/>
      <c r="AD255" s="58"/>
      <c r="AE255" s="58"/>
      <c r="AF255" s="7"/>
      <c r="AG255" s="7"/>
      <c r="AH255" s="7"/>
      <c r="AI255" s="7"/>
      <c r="AJ255" s="7"/>
      <c r="AK255" s="7"/>
      <c r="AL255" s="9"/>
      <c r="AM255" s="9"/>
      <c r="AN255" s="143">
        <f t="shared" si="21"/>
        <v>0</v>
      </c>
      <c r="AO255" s="9"/>
      <c r="AP255" s="9"/>
      <c r="AQ255" s="9">
        <f t="shared" si="22"/>
        <v>0</v>
      </c>
      <c r="AR255" s="145">
        <f t="shared" si="19"/>
        <v>0</v>
      </c>
    </row>
    <row r="256" spans="1:44" ht="37.5" customHeight="1" x14ac:dyDescent="0.25">
      <c r="A256" s="27"/>
      <c r="B256" s="27"/>
      <c r="C256" s="58"/>
      <c r="D256" s="58"/>
      <c r="E256" s="108"/>
      <c r="F256" s="9"/>
      <c r="G256" s="56"/>
      <c r="H256" s="56"/>
      <c r="I256" s="44">
        <v>270</v>
      </c>
      <c r="J256" s="44"/>
      <c r="K256" s="56"/>
      <c r="L256" s="56"/>
      <c r="M256" s="56"/>
      <c r="N256" s="56"/>
      <c r="O256" s="57"/>
      <c r="P256" s="56"/>
      <c r="Q256" s="56"/>
      <c r="R256" s="58"/>
      <c r="S256" s="58"/>
      <c r="T256" s="58"/>
      <c r="U256" s="58"/>
      <c r="V256" s="143"/>
      <c r="W256" s="58"/>
      <c r="X256" s="58"/>
      <c r="Y256" s="58"/>
      <c r="Z256" s="143"/>
      <c r="AA256" s="56"/>
      <c r="AB256" s="56"/>
      <c r="AC256" s="56"/>
      <c r="AD256" s="58"/>
      <c r="AE256" s="58"/>
      <c r="AF256" s="7"/>
      <c r="AG256" s="7"/>
      <c r="AH256" s="7"/>
      <c r="AI256" s="7"/>
      <c r="AJ256" s="7"/>
      <c r="AK256" s="7"/>
      <c r="AL256" s="9"/>
      <c r="AM256" s="9"/>
      <c r="AN256" s="143">
        <f t="shared" si="21"/>
        <v>0</v>
      </c>
      <c r="AO256" s="9"/>
      <c r="AP256" s="9"/>
      <c r="AQ256" s="9">
        <f t="shared" si="22"/>
        <v>0</v>
      </c>
      <c r="AR256" s="145">
        <f t="shared" si="19"/>
        <v>0</v>
      </c>
    </row>
    <row r="257" spans="1:45" ht="37.5" customHeight="1" x14ac:dyDescent="0.25">
      <c r="A257" s="27"/>
      <c r="B257" s="1"/>
      <c r="C257" s="9"/>
      <c r="D257" s="9"/>
      <c r="E257" s="108"/>
      <c r="F257" s="9"/>
      <c r="G257" s="56"/>
      <c r="H257" s="56"/>
      <c r="I257" s="44">
        <v>272</v>
      </c>
      <c r="J257" s="44"/>
      <c r="K257" s="107"/>
      <c r="L257" s="56"/>
      <c r="M257" s="56"/>
      <c r="N257" s="56"/>
      <c r="O257" s="57"/>
      <c r="P257" s="56"/>
      <c r="Q257" s="14"/>
      <c r="R257" s="9"/>
      <c r="S257" s="9"/>
      <c r="T257" s="9"/>
      <c r="U257" s="9"/>
      <c r="V257" s="11"/>
      <c r="W257" s="9"/>
      <c r="X257" s="9"/>
      <c r="Y257" s="9"/>
      <c r="Z257" s="11"/>
      <c r="AA257" s="56"/>
      <c r="AB257" s="56"/>
      <c r="AC257" s="56"/>
      <c r="AD257" s="58"/>
      <c r="AE257" s="58"/>
      <c r="AF257" s="7"/>
      <c r="AG257" s="7"/>
      <c r="AH257" s="7"/>
      <c r="AI257" s="7"/>
      <c r="AJ257" s="7"/>
      <c r="AK257" s="7"/>
      <c r="AL257" s="9"/>
      <c r="AM257" s="9"/>
      <c r="AN257" s="143">
        <f t="shared" si="21"/>
        <v>0</v>
      </c>
      <c r="AO257" s="9"/>
      <c r="AP257" s="9"/>
      <c r="AQ257" s="9">
        <f t="shared" si="22"/>
        <v>0</v>
      </c>
      <c r="AR257" s="145">
        <f t="shared" si="19"/>
        <v>0</v>
      </c>
    </row>
    <row r="258" spans="1:45" ht="37.5" customHeight="1" x14ac:dyDescent="0.25">
      <c r="A258" s="27"/>
      <c r="B258" s="1"/>
      <c r="C258" s="9"/>
      <c r="D258" s="9"/>
      <c r="E258" s="108"/>
      <c r="F258" s="9"/>
      <c r="G258" s="56"/>
      <c r="H258" s="56"/>
      <c r="I258" s="44">
        <v>273</v>
      </c>
      <c r="J258" s="44"/>
      <c r="K258" s="56"/>
      <c r="L258" s="56"/>
      <c r="M258" s="56"/>
      <c r="N258" s="56"/>
      <c r="O258" s="57"/>
      <c r="P258" s="56"/>
      <c r="Q258" s="14"/>
      <c r="R258" s="9"/>
      <c r="S258" s="9"/>
      <c r="T258" s="9"/>
      <c r="U258" s="9"/>
      <c r="V258" s="11"/>
      <c r="W258" s="9"/>
      <c r="X258" s="9"/>
      <c r="Y258" s="9"/>
      <c r="Z258" s="11"/>
      <c r="AA258" s="56"/>
      <c r="AB258" s="56"/>
      <c r="AC258" s="56"/>
      <c r="AD258" s="58"/>
      <c r="AE258" s="58"/>
      <c r="AF258" s="7"/>
      <c r="AG258" s="7"/>
      <c r="AH258" s="7"/>
      <c r="AI258" s="7"/>
      <c r="AJ258" s="7"/>
      <c r="AK258" s="7"/>
      <c r="AL258" s="9"/>
      <c r="AM258" s="9"/>
      <c r="AN258" s="143">
        <f t="shared" si="21"/>
        <v>0</v>
      </c>
      <c r="AO258" s="9"/>
      <c r="AP258" s="9"/>
      <c r="AQ258" s="9">
        <f t="shared" si="22"/>
        <v>0</v>
      </c>
      <c r="AR258" s="145">
        <f t="shared" ref="AR258:AR284" si="23">AN258+Z258+V258-AO258+AP258</f>
        <v>0</v>
      </c>
    </row>
    <row r="259" spans="1:45" ht="41.25" customHeight="1" x14ac:dyDescent="0.25">
      <c r="A259" s="27"/>
      <c r="B259" s="1"/>
      <c r="C259" s="9"/>
      <c r="D259" s="9"/>
      <c r="E259" s="9"/>
      <c r="F259" s="9"/>
      <c r="G259" s="56"/>
      <c r="H259" s="56"/>
      <c r="I259" s="44">
        <v>274</v>
      </c>
      <c r="J259" s="44"/>
      <c r="K259" s="14"/>
      <c r="L259" s="14"/>
      <c r="M259" s="56"/>
      <c r="N259" s="56"/>
      <c r="O259" s="57"/>
      <c r="P259" s="56"/>
      <c r="Q259" s="14"/>
      <c r="R259" s="9"/>
      <c r="S259" s="9"/>
      <c r="T259" s="9"/>
      <c r="U259" s="9"/>
      <c r="V259" s="11"/>
      <c r="W259" s="9"/>
      <c r="X259" s="9"/>
      <c r="Y259" s="9"/>
      <c r="Z259" s="11"/>
      <c r="AA259" s="56"/>
      <c r="AB259" s="14"/>
      <c r="AC259" s="14"/>
      <c r="AD259" s="58"/>
      <c r="AE259" s="58"/>
      <c r="AF259" s="7"/>
      <c r="AG259" s="7"/>
      <c r="AH259" s="7"/>
      <c r="AI259" s="7"/>
      <c r="AJ259" s="7"/>
      <c r="AK259" s="7"/>
      <c r="AL259" s="9"/>
      <c r="AM259" s="9"/>
      <c r="AN259" s="143">
        <f>AA259-AB259-AD259-AF259-AH259-AJ259-AL259</f>
        <v>0</v>
      </c>
      <c r="AO259" s="9"/>
      <c r="AP259" s="9"/>
      <c r="AQ259" s="9">
        <f>+AB259+AD259+AF259+AH259+AJ259+AL259</f>
        <v>0</v>
      </c>
      <c r="AR259" s="145">
        <f t="shared" si="23"/>
        <v>0</v>
      </c>
    </row>
    <row r="260" spans="1:45" ht="42.75" customHeight="1" x14ac:dyDescent="0.25">
      <c r="A260" s="27"/>
      <c r="B260" s="1"/>
      <c r="C260" s="9"/>
      <c r="D260" s="9"/>
      <c r="E260" s="108"/>
      <c r="F260" s="9"/>
      <c r="G260" s="56"/>
      <c r="H260" s="56"/>
      <c r="I260" s="44">
        <v>275</v>
      </c>
      <c r="J260" s="44"/>
      <c r="K260" s="44"/>
      <c r="L260" s="44"/>
      <c r="M260" s="56"/>
      <c r="N260" s="56"/>
      <c r="O260" s="57"/>
      <c r="P260" s="56"/>
      <c r="Q260" s="14"/>
      <c r="R260" s="9"/>
      <c r="S260" s="9"/>
      <c r="T260" s="9"/>
      <c r="U260" s="9"/>
      <c r="V260" s="11"/>
      <c r="W260" s="9"/>
      <c r="X260" s="9"/>
      <c r="Y260" s="9"/>
      <c r="Z260" s="11"/>
      <c r="AA260" s="56"/>
      <c r="AB260" s="44"/>
      <c r="AC260" s="44"/>
      <c r="AD260" s="58"/>
      <c r="AE260" s="58"/>
      <c r="AF260" s="7"/>
      <c r="AG260" s="7"/>
      <c r="AH260" s="7"/>
      <c r="AI260" s="7"/>
      <c r="AJ260" s="7"/>
      <c r="AK260" s="7"/>
      <c r="AL260" s="9"/>
      <c r="AM260" s="9"/>
      <c r="AN260" s="143">
        <f t="shared" si="21"/>
        <v>0</v>
      </c>
      <c r="AO260" s="9"/>
      <c r="AP260" s="9"/>
      <c r="AQ260" s="9">
        <f t="shared" si="22"/>
        <v>0</v>
      </c>
      <c r="AR260" s="145">
        <f t="shared" si="23"/>
        <v>0</v>
      </c>
    </row>
    <row r="261" spans="1:45" ht="37.5" customHeight="1" x14ac:dyDescent="0.25">
      <c r="A261" s="27"/>
      <c r="B261" s="1"/>
      <c r="C261" s="9"/>
      <c r="D261" s="9"/>
      <c r="E261" s="108"/>
      <c r="F261" s="9"/>
      <c r="G261" s="56"/>
      <c r="H261" s="56"/>
      <c r="I261" s="44">
        <v>276</v>
      </c>
      <c r="J261" s="44"/>
      <c r="K261" s="56"/>
      <c r="L261" s="56"/>
      <c r="M261" s="56"/>
      <c r="N261" s="56"/>
      <c r="O261" s="57"/>
      <c r="P261" s="56"/>
      <c r="Q261" s="14"/>
      <c r="R261" s="9"/>
      <c r="S261" s="9"/>
      <c r="T261" s="9"/>
      <c r="U261" s="9"/>
      <c r="V261" s="11"/>
      <c r="W261" s="9"/>
      <c r="X261" s="9"/>
      <c r="Y261" s="9"/>
      <c r="Z261" s="11"/>
      <c r="AA261" s="56"/>
      <c r="AB261" s="56"/>
      <c r="AC261" s="56"/>
      <c r="AD261" s="58"/>
      <c r="AE261" s="58"/>
      <c r="AF261" s="7"/>
      <c r="AG261" s="13"/>
      <c r="AH261" s="7"/>
      <c r="AI261" s="7"/>
      <c r="AJ261" s="7"/>
      <c r="AK261" s="7"/>
      <c r="AL261" s="9"/>
      <c r="AM261" s="9"/>
      <c r="AN261" s="143">
        <f t="shared" si="21"/>
        <v>0</v>
      </c>
      <c r="AO261" s="9"/>
      <c r="AP261" s="9"/>
      <c r="AQ261" s="9">
        <f t="shared" si="22"/>
        <v>0</v>
      </c>
      <c r="AR261" s="145">
        <f t="shared" si="23"/>
        <v>0</v>
      </c>
    </row>
    <row r="262" spans="1:45" ht="37.5" customHeight="1" x14ac:dyDescent="0.25">
      <c r="A262" s="27"/>
      <c r="B262" s="1"/>
      <c r="C262" s="9"/>
      <c r="D262" s="9"/>
      <c r="E262" s="108"/>
      <c r="F262" s="9"/>
      <c r="G262" s="56"/>
      <c r="H262" s="56"/>
      <c r="I262" s="44">
        <v>277</v>
      </c>
      <c r="J262" s="44"/>
      <c r="K262" s="56"/>
      <c r="L262" s="56"/>
      <c r="M262" s="56"/>
      <c r="N262" s="56"/>
      <c r="O262" s="57"/>
      <c r="P262" s="56"/>
      <c r="Q262" s="14"/>
      <c r="R262" s="9"/>
      <c r="S262" s="9"/>
      <c r="T262" s="9"/>
      <c r="U262" s="9"/>
      <c r="V262" s="11"/>
      <c r="W262" s="9"/>
      <c r="X262" s="9"/>
      <c r="Y262" s="9"/>
      <c r="Z262" s="11"/>
      <c r="AA262" s="56"/>
      <c r="AB262" s="56"/>
      <c r="AC262" s="56"/>
      <c r="AD262" s="58"/>
      <c r="AE262" s="58"/>
      <c r="AF262" s="7"/>
      <c r="AG262" s="13"/>
      <c r="AH262" s="7"/>
      <c r="AI262" s="7"/>
      <c r="AJ262" s="7"/>
      <c r="AK262" s="7"/>
      <c r="AL262" s="9"/>
      <c r="AM262" s="9"/>
      <c r="AN262" s="143">
        <f t="shared" si="21"/>
        <v>0</v>
      </c>
      <c r="AO262" s="9"/>
      <c r="AP262" s="9"/>
      <c r="AQ262" s="9">
        <f t="shared" si="22"/>
        <v>0</v>
      </c>
      <c r="AR262" s="145">
        <f t="shared" si="23"/>
        <v>0</v>
      </c>
    </row>
    <row r="263" spans="1:45" ht="37.5" customHeight="1" x14ac:dyDescent="0.25">
      <c r="A263" s="27"/>
      <c r="B263" s="1"/>
      <c r="C263" s="9"/>
      <c r="D263" s="9"/>
      <c r="E263" s="108"/>
      <c r="F263" s="9"/>
      <c r="G263" s="56"/>
      <c r="H263" s="56"/>
      <c r="I263" s="44">
        <v>278</v>
      </c>
      <c r="J263" s="44"/>
      <c r="K263" s="56"/>
      <c r="L263" s="56"/>
      <c r="M263" s="56"/>
      <c r="N263" s="56"/>
      <c r="O263" s="57"/>
      <c r="P263" s="56"/>
      <c r="Q263" s="14"/>
      <c r="R263" s="9"/>
      <c r="S263" s="9"/>
      <c r="T263" s="9"/>
      <c r="U263" s="9"/>
      <c r="V263" s="11"/>
      <c r="W263" s="9"/>
      <c r="X263" s="9"/>
      <c r="Y263" s="9"/>
      <c r="Z263" s="11"/>
      <c r="AA263" s="56"/>
      <c r="AB263" s="56"/>
      <c r="AC263" s="56"/>
      <c r="AD263" s="58"/>
      <c r="AE263" s="163"/>
      <c r="AF263" s="7"/>
      <c r="AG263" s="13"/>
      <c r="AH263" s="7"/>
      <c r="AI263" s="7"/>
      <c r="AJ263" s="7"/>
      <c r="AK263" s="7"/>
      <c r="AL263" s="9"/>
      <c r="AM263" s="9"/>
      <c r="AN263" s="143">
        <f t="shared" si="21"/>
        <v>0</v>
      </c>
      <c r="AO263" s="9"/>
      <c r="AP263" s="9"/>
      <c r="AQ263" s="9">
        <f t="shared" si="22"/>
        <v>0</v>
      </c>
      <c r="AR263" s="145">
        <f t="shared" si="23"/>
        <v>0</v>
      </c>
    </row>
    <row r="264" spans="1:45" ht="37.5" customHeight="1" x14ac:dyDescent="0.25">
      <c r="A264" s="27"/>
      <c r="B264" s="1"/>
      <c r="C264" s="9"/>
      <c r="D264" s="9"/>
      <c r="E264" s="9"/>
      <c r="F264" s="9"/>
      <c r="G264" s="56"/>
      <c r="H264" s="56"/>
      <c r="I264" s="44">
        <v>279</v>
      </c>
      <c r="J264" s="44"/>
      <c r="K264" s="56"/>
      <c r="L264" s="56"/>
      <c r="M264" s="56"/>
      <c r="N264" s="56"/>
      <c r="O264" s="57"/>
      <c r="P264" s="56"/>
      <c r="Q264" s="14"/>
      <c r="R264" s="9"/>
      <c r="S264" s="9"/>
      <c r="T264" s="9"/>
      <c r="U264" s="9"/>
      <c r="V264" s="11"/>
      <c r="W264" s="9"/>
      <c r="X264" s="9"/>
      <c r="Y264" s="9"/>
      <c r="Z264" s="11"/>
      <c r="AA264" s="56"/>
      <c r="AB264" s="56"/>
      <c r="AC264" s="56"/>
      <c r="AD264" s="58"/>
      <c r="AE264" s="58"/>
      <c r="AF264" s="7"/>
      <c r="AG264" s="7"/>
      <c r="AH264" s="7"/>
      <c r="AI264" s="7"/>
      <c r="AJ264" s="7"/>
      <c r="AK264" s="7"/>
      <c r="AL264" s="9"/>
      <c r="AM264" s="9"/>
      <c r="AN264" s="143">
        <f t="shared" si="21"/>
        <v>0</v>
      </c>
      <c r="AO264" s="9"/>
      <c r="AP264" s="9"/>
      <c r="AQ264" s="9">
        <f t="shared" si="22"/>
        <v>0</v>
      </c>
      <c r="AR264" s="145">
        <f t="shared" si="23"/>
        <v>0</v>
      </c>
    </row>
    <row r="265" spans="1:45" ht="50.25" customHeight="1" x14ac:dyDescent="0.25">
      <c r="A265" s="27"/>
      <c r="B265" s="1"/>
      <c r="C265" s="9"/>
      <c r="D265" s="9"/>
      <c r="E265" s="108"/>
      <c r="F265" s="9"/>
      <c r="G265" s="56"/>
      <c r="H265" s="56"/>
      <c r="I265" s="44">
        <v>280</v>
      </c>
      <c r="J265" s="44"/>
      <c r="K265" s="56"/>
      <c r="L265" s="56"/>
      <c r="M265" s="56"/>
      <c r="N265" s="56"/>
      <c r="O265" s="57"/>
      <c r="P265" s="56"/>
      <c r="Q265" s="14"/>
      <c r="R265" s="9"/>
      <c r="S265" s="9"/>
      <c r="T265" s="9"/>
      <c r="U265" s="9"/>
      <c r="V265" s="11"/>
      <c r="W265" s="9"/>
      <c r="X265" s="9"/>
      <c r="Y265" s="9"/>
      <c r="Z265" s="11"/>
      <c r="AA265" s="56"/>
      <c r="AB265" s="56"/>
      <c r="AC265" s="56"/>
      <c r="AD265" s="58"/>
      <c r="AE265" s="58"/>
      <c r="AF265" s="7"/>
      <c r="AG265" s="7"/>
      <c r="AH265" s="7"/>
      <c r="AI265" s="7"/>
      <c r="AJ265" s="7"/>
      <c r="AK265" s="7"/>
      <c r="AL265" s="9"/>
      <c r="AM265" s="9"/>
      <c r="AN265" s="143">
        <f t="shared" si="21"/>
        <v>0</v>
      </c>
      <c r="AO265" s="9"/>
      <c r="AP265" s="9"/>
      <c r="AQ265" s="9">
        <f t="shared" si="22"/>
        <v>0</v>
      </c>
      <c r="AR265" s="145">
        <f t="shared" si="23"/>
        <v>0</v>
      </c>
    </row>
    <row r="266" spans="1:45" ht="37.5" customHeight="1" x14ac:dyDescent="0.25">
      <c r="A266" s="27"/>
      <c r="B266" s="1"/>
      <c r="C266" s="9"/>
      <c r="D266" s="9"/>
      <c r="E266" s="108"/>
      <c r="F266" s="9"/>
      <c r="G266" s="56"/>
      <c r="H266" s="56"/>
      <c r="I266" s="44">
        <v>281</v>
      </c>
      <c r="J266" s="44"/>
      <c r="K266" s="56"/>
      <c r="L266" s="56"/>
      <c r="M266" s="56"/>
      <c r="N266" s="56"/>
      <c r="O266" s="57"/>
      <c r="P266" s="56"/>
      <c r="Q266" s="14"/>
      <c r="R266" s="9"/>
      <c r="S266" s="9"/>
      <c r="T266" s="9"/>
      <c r="U266" s="9"/>
      <c r="V266" s="11"/>
      <c r="W266" s="9"/>
      <c r="X266" s="9"/>
      <c r="Y266" s="9"/>
      <c r="Z266" s="11"/>
      <c r="AA266" s="56"/>
      <c r="AB266" s="56"/>
      <c r="AC266" s="56"/>
      <c r="AD266" s="58"/>
      <c r="AE266" s="58"/>
      <c r="AF266" s="7"/>
      <c r="AG266" s="7"/>
      <c r="AH266" s="7"/>
      <c r="AI266" s="7"/>
      <c r="AJ266" s="7"/>
      <c r="AK266" s="7"/>
      <c r="AL266" s="9"/>
      <c r="AM266" s="9"/>
      <c r="AN266" s="143">
        <f t="shared" si="21"/>
        <v>0</v>
      </c>
      <c r="AO266" s="9"/>
      <c r="AP266" s="9"/>
      <c r="AQ266" s="9">
        <f t="shared" si="22"/>
        <v>0</v>
      </c>
      <c r="AR266" s="145">
        <f t="shared" si="23"/>
        <v>0</v>
      </c>
    </row>
    <row r="267" spans="1:45" ht="37.5" customHeight="1" x14ac:dyDescent="0.25">
      <c r="A267" s="27"/>
      <c r="B267" s="1"/>
      <c r="C267" s="9"/>
      <c r="D267" s="9"/>
      <c r="E267" s="9"/>
      <c r="F267" s="9"/>
      <c r="G267" s="56"/>
      <c r="H267" s="56"/>
      <c r="I267" s="44">
        <v>282</v>
      </c>
      <c r="J267" s="44"/>
      <c r="K267" s="56"/>
      <c r="L267" s="56"/>
      <c r="M267" s="56"/>
      <c r="N267" s="56"/>
      <c r="O267" s="57"/>
      <c r="P267" s="56"/>
      <c r="Q267" s="14"/>
      <c r="R267" s="9"/>
      <c r="S267" s="9"/>
      <c r="T267" s="9"/>
      <c r="U267" s="9"/>
      <c r="V267" s="11"/>
      <c r="W267" s="9"/>
      <c r="X267" s="9"/>
      <c r="Y267" s="9"/>
      <c r="Z267" s="11"/>
      <c r="AA267" s="56"/>
      <c r="AB267" s="56"/>
      <c r="AC267" s="56"/>
      <c r="AD267" s="58"/>
      <c r="AE267" s="58"/>
      <c r="AF267" s="7"/>
      <c r="AG267" s="7"/>
      <c r="AH267" s="7"/>
      <c r="AI267" s="7"/>
      <c r="AJ267" s="7"/>
      <c r="AK267" s="7"/>
      <c r="AL267" s="9"/>
      <c r="AM267" s="9"/>
      <c r="AN267" s="143">
        <f t="shared" si="21"/>
        <v>0</v>
      </c>
      <c r="AO267" s="9"/>
      <c r="AP267" s="9"/>
      <c r="AQ267" s="9">
        <f t="shared" si="22"/>
        <v>0</v>
      </c>
      <c r="AR267" s="145">
        <f t="shared" si="23"/>
        <v>0</v>
      </c>
    </row>
    <row r="268" spans="1:45" x14ac:dyDescent="0.25">
      <c r="A268" s="27"/>
      <c r="B268" s="1"/>
      <c r="C268" s="58"/>
      <c r="D268" s="58"/>
      <c r="E268" s="108"/>
      <c r="F268" s="9"/>
      <c r="G268" s="56"/>
      <c r="H268" s="56"/>
      <c r="I268" s="44">
        <v>283</v>
      </c>
      <c r="J268" s="44"/>
      <c r="K268" s="56"/>
      <c r="L268" s="56"/>
      <c r="M268" s="56"/>
      <c r="N268" s="56"/>
      <c r="O268" s="57"/>
      <c r="P268" s="56"/>
      <c r="Q268" s="56"/>
      <c r="R268" s="58"/>
      <c r="S268" s="58"/>
      <c r="T268" s="58"/>
      <c r="U268" s="58"/>
      <c r="V268" s="143"/>
      <c r="W268" s="58"/>
      <c r="X268" s="58"/>
      <c r="Y268" s="58"/>
      <c r="Z268" s="143"/>
      <c r="AA268" s="40"/>
      <c r="AB268" s="40"/>
      <c r="AC268" s="40"/>
      <c r="AD268" s="39"/>
      <c r="AE268" s="39"/>
      <c r="AF268" s="7"/>
      <c r="AG268" s="7"/>
      <c r="AH268" s="7"/>
      <c r="AI268" s="7"/>
      <c r="AJ268" s="7"/>
      <c r="AK268" s="7"/>
      <c r="AL268" s="9"/>
      <c r="AM268" s="9"/>
      <c r="AN268" s="143">
        <f t="shared" si="21"/>
        <v>0</v>
      </c>
      <c r="AO268" s="9"/>
      <c r="AP268" s="9"/>
      <c r="AQ268" s="9">
        <f t="shared" si="22"/>
        <v>0</v>
      </c>
      <c r="AR268" s="145">
        <f t="shared" si="23"/>
        <v>0</v>
      </c>
    </row>
    <row r="269" spans="1:45" x14ac:dyDescent="0.25">
      <c r="A269" s="27"/>
      <c r="B269" s="1"/>
      <c r="C269" s="58"/>
      <c r="D269" s="58"/>
      <c r="E269" s="108"/>
      <c r="F269" s="9"/>
      <c r="G269" s="56"/>
      <c r="H269" s="56"/>
      <c r="I269" s="44">
        <v>284</v>
      </c>
      <c r="J269" s="44"/>
      <c r="K269" s="56"/>
      <c r="L269" s="56"/>
      <c r="M269" s="56"/>
      <c r="N269" s="56"/>
      <c r="O269" s="57"/>
      <c r="P269" s="56"/>
      <c r="Q269" s="56"/>
      <c r="R269" s="58"/>
      <c r="S269" s="58"/>
      <c r="T269" s="58"/>
      <c r="U269" s="58"/>
      <c r="V269" s="143"/>
      <c r="W269" s="58"/>
      <c r="X269" s="58"/>
      <c r="Y269" s="58"/>
      <c r="Z269" s="143"/>
      <c r="AA269" s="40"/>
      <c r="AB269" s="40"/>
      <c r="AC269" s="40"/>
      <c r="AD269" s="39"/>
      <c r="AE269" s="39"/>
      <c r="AF269" s="7"/>
      <c r="AG269" s="7"/>
      <c r="AH269" s="7"/>
      <c r="AI269" s="7"/>
      <c r="AJ269" s="7"/>
      <c r="AK269" s="7"/>
      <c r="AL269" s="9"/>
      <c r="AM269" s="9"/>
      <c r="AN269" s="143">
        <f t="shared" si="21"/>
        <v>0</v>
      </c>
      <c r="AO269" s="9"/>
      <c r="AP269" s="9"/>
      <c r="AQ269" s="9">
        <f t="shared" si="22"/>
        <v>0</v>
      </c>
      <c r="AR269" s="145">
        <f t="shared" si="23"/>
        <v>0</v>
      </c>
    </row>
    <row r="270" spans="1:45" s="81" customFormat="1" ht="56.25" customHeight="1" x14ac:dyDescent="0.25">
      <c r="A270" s="27"/>
      <c r="B270" s="27"/>
      <c r="C270" s="58"/>
      <c r="D270" s="58"/>
      <c r="E270" s="58"/>
      <c r="F270" s="58"/>
      <c r="G270" s="56"/>
      <c r="H270" s="56"/>
      <c r="I270" s="44">
        <v>285</v>
      </c>
      <c r="J270" s="44"/>
      <c r="K270" s="56"/>
      <c r="L270" s="56"/>
      <c r="M270" s="56"/>
      <c r="N270" s="56"/>
      <c r="O270" s="57"/>
      <c r="P270" s="56"/>
      <c r="Q270" s="56"/>
      <c r="R270" s="58"/>
      <c r="S270" s="58"/>
      <c r="T270" s="58"/>
      <c r="U270" s="58"/>
      <c r="V270" s="143"/>
      <c r="W270" s="58"/>
      <c r="X270" s="58"/>
      <c r="Y270" s="58"/>
      <c r="Z270" s="143"/>
      <c r="AA270" s="56"/>
      <c r="AB270" s="56"/>
      <c r="AC270" s="56"/>
      <c r="AD270" s="58"/>
      <c r="AE270" s="58"/>
      <c r="AF270" s="79"/>
      <c r="AG270" s="79"/>
      <c r="AH270" s="79"/>
      <c r="AI270" s="79"/>
      <c r="AJ270" s="79"/>
      <c r="AK270" s="79"/>
      <c r="AL270" s="58"/>
      <c r="AM270" s="58"/>
      <c r="AN270" s="143">
        <f t="shared" si="21"/>
        <v>0</v>
      </c>
      <c r="AO270" s="58"/>
      <c r="AP270" s="58"/>
      <c r="AQ270" s="58">
        <f t="shared" si="22"/>
        <v>0</v>
      </c>
      <c r="AR270" s="145">
        <f t="shared" si="23"/>
        <v>0</v>
      </c>
      <c r="AS270" s="185"/>
    </row>
    <row r="271" spans="1:45" s="81" customFormat="1" ht="37.5" customHeight="1" x14ac:dyDescent="0.25">
      <c r="A271" s="27"/>
      <c r="B271" s="27"/>
      <c r="C271" s="58"/>
      <c r="D271" s="58"/>
      <c r="E271" s="109"/>
      <c r="F271" s="58"/>
      <c r="G271" s="56"/>
      <c r="H271" s="56"/>
      <c r="I271" s="44">
        <v>286</v>
      </c>
      <c r="J271" s="44"/>
      <c r="K271" s="56"/>
      <c r="L271" s="56"/>
      <c r="M271" s="56"/>
      <c r="N271" s="56"/>
      <c r="O271" s="57"/>
      <c r="P271" s="56"/>
      <c r="Q271" s="56"/>
      <c r="R271" s="58"/>
      <c r="S271" s="58"/>
      <c r="T271" s="58"/>
      <c r="U271" s="58"/>
      <c r="V271" s="143"/>
      <c r="W271" s="58"/>
      <c r="X271" s="58"/>
      <c r="Y271" s="58"/>
      <c r="Z271" s="143"/>
      <c r="AA271" s="56"/>
      <c r="AB271" s="56"/>
      <c r="AC271" s="56"/>
      <c r="AD271" s="58"/>
      <c r="AE271" s="58"/>
      <c r="AF271" s="79"/>
      <c r="AG271" s="79"/>
      <c r="AH271" s="79"/>
      <c r="AI271" s="79"/>
      <c r="AJ271" s="79"/>
      <c r="AK271" s="79"/>
      <c r="AL271" s="58"/>
      <c r="AM271" s="58"/>
      <c r="AN271" s="143">
        <f t="shared" si="21"/>
        <v>0</v>
      </c>
      <c r="AO271" s="58"/>
      <c r="AP271" s="58"/>
      <c r="AQ271" s="58">
        <f t="shared" si="22"/>
        <v>0</v>
      </c>
      <c r="AR271" s="145">
        <f t="shared" si="23"/>
        <v>0</v>
      </c>
      <c r="AS271" s="185"/>
    </row>
    <row r="272" spans="1:45" s="81" customFormat="1" ht="37.5" customHeight="1" x14ac:dyDescent="0.25">
      <c r="A272" s="27"/>
      <c r="B272" s="27"/>
      <c r="C272" s="58"/>
      <c r="D272" s="58"/>
      <c r="E272" s="58"/>
      <c r="F272" s="58"/>
      <c r="G272" s="56"/>
      <c r="H272" s="56"/>
      <c r="I272" s="44">
        <v>288</v>
      </c>
      <c r="J272" s="44"/>
      <c r="K272" s="56"/>
      <c r="L272" s="56"/>
      <c r="M272" s="56"/>
      <c r="N272" s="56"/>
      <c r="O272" s="57"/>
      <c r="P272" s="56"/>
      <c r="Q272" s="56"/>
      <c r="R272" s="58"/>
      <c r="S272" s="58"/>
      <c r="T272" s="58"/>
      <c r="U272" s="58"/>
      <c r="V272" s="143"/>
      <c r="W272" s="58"/>
      <c r="X272" s="58"/>
      <c r="Y272" s="58"/>
      <c r="Z272" s="143"/>
      <c r="AA272" s="56"/>
      <c r="AB272" s="56"/>
      <c r="AC272" s="56"/>
      <c r="AD272" s="58"/>
      <c r="AE272" s="58"/>
      <c r="AF272" s="79"/>
      <c r="AG272" s="79"/>
      <c r="AH272" s="79"/>
      <c r="AI272" s="79"/>
      <c r="AJ272" s="79"/>
      <c r="AK272" s="79"/>
      <c r="AL272" s="58"/>
      <c r="AM272" s="58"/>
      <c r="AN272" s="143">
        <f t="shared" si="21"/>
        <v>0</v>
      </c>
      <c r="AO272" s="58"/>
      <c r="AP272" s="58"/>
      <c r="AQ272" s="58">
        <f t="shared" si="22"/>
        <v>0</v>
      </c>
      <c r="AR272" s="145">
        <f t="shared" si="23"/>
        <v>0</v>
      </c>
      <c r="AS272" s="185"/>
    </row>
    <row r="273" spans="1:45" s="81" customFormat="1" ht="37.5" customHeight="1" x14ac:dyDescent="0.25">
      <c r="A273" s="27"/>
      <c r="B273" s="27"/>
      <c r="C273" s="58"/>
      <c r="D273" s="58"/>
      <c r="E273" s="109"/>
      <c r="F273" s="58"/>
      <c r="G273" s="56"/>
      <c r="H273" s="56"/>
      <c r="I273" s="44">
        <v>289</v>
      </c>
      <c r="J273" s="44"/>
      <c r="K273" s="19"/>
      <c r="L273" s="14"/>
      <c r="M273" s="14"/>
      <c r="N273" s="14"/>
      <c r="O273" s="14"/>
      <c r="P273" s="56"/>
      <c r="Q273" s="56"/>
      <c r="R273" s="58"/>
      <c r="S273" s="58"/>
      <c r="T273" s="58"/>
      <c r="U273" s="58"/>
      <c r="V273" s="143"/>
      <c r="W273" s="58"/>
      <c r="X273" s="58"/>
      <c r="Y273" s="58"/>
      <c r="Z273" s="143"/>
      <c r="AA273" s="56"/>
      <c r="AB273" s="56"/>
      <c r="AC273" s="56"/>
      <c r="AD273" s="58"/>
      <c r="AE273" s="58"/>
      <c r="AF273" s="79"/>
      <c r="AG273" s="79"/>
      <c r="AH273" s="79"/>
      <c r="AI273" s="79"/>
      <c r="AJ273" s="79"/>
      <c r="AK273" s="79"/>
      <c r="AL273" s="58"/>
      <c r="AM273" s="58"/>
      <c r="AN273" s="143">
        <f t="shared" si="21"/>
        <v>0</v>
      </c>
      <c r="AO273" s="58"/>
      <c r="AP273" s="58"/>
      <c r="AQ273" s="58">
        <f t="shared" si="22"/>
        <v>0</v>
      </c>
      <c r="AR273" s="145">
        <f t="shared" si="23"/>
        <v>0</v>
      </c>
      <c r="AS273" s="185"/>
    </row>
    <row r="274" spans="1:45" s="81" customFormat="1" ht="56.25" customHeight="1" x14ac:dyDescent="0.25">
      <c r="A274" s="27"/>
      <c r="B274" s="27"/>
      <c r="C274" s="58"/>
      <c r="D274" s="58"/>
      <c r="E274" s="109"/>
      <c r="F274" s="58"/>
      <c r="G274" s="56"/>
      <c r="H274" s="56"/>
      <c r="I274" s="44"/>
      <c r="J274" s="44"/>
      <c r="K274" s="56"/>
      <c r="L274" s="56"/>
      <c r="M274" s="56"/>
      <c r="N274" s="56"/>
      <c r="O274" s="57"/>
      <c r="P274" s="56"/>
      <c r="Q274" s="56"/>
      <c r="R274" s="58"/>
      <c r="S274" s="58"/>
      <c r="T274" s="58"/>
      <c r="U274" s="58"/>
      <c r="V274" s="143"/>
      <c r="W274" s="58"/>
      <c r="X274" s="58"/>
      <c r="Y274" s="58"/>
      <c r="Z274" s="143"/>
      <c r="AA274" s="56"/>
      <c r="AB274" s="56"/>
      <c r="AC274" s="56"/>
      <c r="AD274" s="58"/>
      <c r="AE274" s="58"/>
      <c r="AF274" s="79"/>
      <c r="AG274" s="79"/>
      <c r="AH274" s="79"/>
      <c r="AI274" s="79"/>
      <c r="AJ274" s="79"/>
      <c r="AK274" s="79"/>
      <c r="AL274" s="58"/>
      <c r="AM274" s="58"/>
      <c r="AN274" s="143">
        <f t="shared" si="21"/>
        <v>0</v>
      </c>
      <c r="AO274" s="58"/>
      <c r="AP274" s="58"/>
      <c r="AQ274" s="58">
        <f t="shared" si="22"/>
        <v>0</v>
      </c>
      <c r="AR274" s="145">
        <f t="shared" si="23"/>
        <v>0</v>
      </c>
      <c r="AS274" s="185"/>
    </row>
    <row r="275" spans="1:45" s="81" customFormat="1" ht="56.25" customHeight="1" x14ac:dyDescent="0.25">
      <c r="A275" s="27"/>
      <c r="B275" s="27"/>
      <c r="C275" s="58"/>
      <c r="D275" s="58"/>
      <c r="E275" s="109"/>
      <c r="F275" s="58"/>
      <c r="G275" s="56"/>
      <c r="H275" s="56"/>
      <c r="I275" s="44"/>
      <c r="J275" s="44"/>
      <c r="K275" s="56"/>
      <c r="L275" s="56"/>
      <c r="M275" s="56"/>
      <c r="N275" s="56"/>
      <c r="O275" s="57"/>
      <c r="P275" s="56"/>
      <c r="Q275" s="56"/>
      <c r="R275" s="58"/>
      <c r="S275" s="58"/>
      <c r="T275" s="58"/>
      <c r="U275" s="58"/>
      <c r="V275" s="143"/>
      <c r="W275" s="58"/>
      <c r="X275" s="58"/>
      <c r="Y275" s="58"/>
      <c r="Z275" s="143"/>
      <c r="AA275" s="56"/>
      <c r="AB275" s="56"/>
      <c r="AC275" s="56"/>
      <c r="AD275" s="58"/>
      <c r="AE275" s="58"/>
      <c r="AF275" s="79"/>
      <c r="AG275" s="79"/>
      <c r="AH275" s="79"/>
      <c r="AI275" s="79"/>
      <c r="AJ275" s="79"/>
      <c r="AK275" s="79"/>
      <c r="AL275" s="58"/>
      <c r="AM275" s="58"/>
      <c r="AN275" s="143"/>
      <c r="AO275" s="58"/>
      <c r="AP275" s="58"/>
      <c r="AQ275" s="58"/>
      <c r="AR275" s="145">
        <f t="shared" si="23"/>
        <v>0</v>
      </c>
      <c r="AS275" s="185"/>
    </row>
    <row r="276" spans="1:45" s="81" customFormat="1" ht="56.25" customHeight="1" x14ac:dyDescent="0.25">
      <c r="A276" s="27"/>
      <c r="B276" s="27"/>
      <c r="C276" s="58"/>
      <c r="D276" s="58"/>
      <c r="E276" s="109"/>
      <c r="F276" s="58"/>
      <c r="G276" s="56"/>
      <c r="H276" s="56"/>
      <c r="I276" s="44"/>
      <c r="J276" s="44"/>
      <c r="K276" s="56"/>
      <c r="L276" s="56"/>
      <c r="M276" s="56"/>
      <c r="N276" s="56"/>
      <c r="O276" s="57"/>
      <c r="P276" s="56"/>
      <c r="Q276" s="56"/>
      <c r="R276" s="58"/>
      <c r="S276" s="58"/>
      <c r="T276" s="58"/>
      <c r="U276" s="58"/>
      <c r="V276" s="143"/>
      <c r="W276" s="58"/>
      <c r="X276" s="58"/>
      <c r="Y276" s="58"/>
      <c r="Z276" s="143"/>
      <c r="AA276" s="56"/>
      <c r="AB276" s="56"/>
      <c r="AC276" s="56"/>
      <c r="AD276" s="58"/>
      <c r="AE276" s="58"/>
      <c r="AF276" s="79"/>
      <c r="AG276" s="79"/>
      <c r="AH276" s="79"/>
      <c r="AI276" s="79"/>
      <c r="AJ276" s="79"/>
      <c r="AK276" s="79"/>
      <c r="AL276" s="58"/>
      <c r="AM276" s="58"/>
      <c r="AN276" s="143"/>
      <c r="AO276" s="58"/>
      <c r="AP276" s="58"/>
      <c r="AQ276" s="58"/>
      <c r="AR276" s="145">
        <f t="shared" si="23"/>
        <v>0</v>
      </c>
      <c r="AS276" s="185"/>
    </row>
    <row r="277" spans="1:45" s="81" customFormat="1" ht="56.25" customHeight="1" x14ac:dyDescent="0.25">
      <c r="A277" s="27"/>
      <c r="B277" s="27"/>
      <c r="C277" s="58"/>
      <c r="D277" s="58"/>
      <c r="E277" s="109"/>
      <c r="F277" s="58"/>
      <c r="G277" s="56"/>
      <c r="H277" s="56"/>
      <c r="I277" s="44"/>
      <c r="J277" s="44"/>
      <c r="K277" s="56"/>
      <c r="L277" s="56"/>
      <c r="M277" s="56"/>
      <c r="N277" s="56"/>
      <c r="O277" s="57"/>
      <c r="P277" s="56"/>
      <c r="Q277" s="56"/>
      <c r="R277" s="58"/>
      <c r="S277" s="58"/>
      <c r="T277" s="58"/>
      <c r="U277" s="58"/>
      <c r="V277" s="143"/>
      <c r="W277" s="58"/>
      <c r="X277" s="58"/>
      <c r="Y277" s="58"/>
      <c r="Z277" s="143"/>
      <c r="AA277" s="56"/>
      <c r="AB277" s="56"/>
      <c r="AC277" s="56"/>
      <c r="AD277" s="58"/>
      <c r="AE277" s="58"/>
      <c r="AF277" s="79"/>
      <c r="AG277" s="79"/>
      <c r="AH277" s="79"/>
      <c r="AI277" s="79"/>
      <c r="AJ277" s="79"/>
      <c r="AK277" s="79"/>
      <c r="AL277" s="58"/>
      <c r="AM277" s="58"/>
      <c r="AN277" s="143"/>
      <c r="AO277" s="58"/>
      <c r="AP277" s="58"/>
      <c r="AQ277" s="58"/>
      <c r="AR277" s="145">
        <f t="shared" si="23"/>
        <v>0</v>
      </c>
      <c r="AS277" s="185"/>
    </row>
    <row r="278" spans="1:45" s="81" customFormat="1" ht="56.25" customHeight="1" x14ac:dyDescent="0.25">
      <c r="A278" s="27"/>
      <c r="B278" s="27"/>
      <c r="C278" s="58"/>
      <c r="D278" s="58"/>
      <c r="E278" s="109"/>
      <c r="F278" s="58"/>
      <c r="G278" s="56"/>
      <c r="H278" s="56"/>
      <c r="I278" s="44"/>
      <c r="J278" s="44"/>
      <c r="K278" s="56"/>
      <c r="L278" s="56"/>
      <c r="M278" s="56"/>
      <c r="N278" s="56"/>
      <c r="O278" s="57"/>
      <c r="P278" s="56"/>
      <c r="Q278" s="56"/>
      <c r="R278" s="58"/>
      <c r="S278" s="58"/>
      <c r="T278" s="58"/>
      <c r="U278" s="58"/>
      <c r="V278" s="143"/>
      <c r="W278" s="58"/>
      <c r="X278" s="58"/>
      <c r="Y278" s="58"/>
      <c r="Z278" s="143"/>
      <c r="AA278" s="56"/>
      <c r="AB278" s="56"/>
      <c r="AC278" s="56"/>
      <c r="AD278" s="58"/>
      <c r="AE278" s="58"/>
      <c r="AF278" s="79"/>
      <c r="AG278" s="79"/>
      <c r="AH278" s="79"/>
      <c r="AI278" s="79"/>
      <c r="AJ278" s="79"/>
      <c r="AK278" s="79"/>
      <c r="AL278" s="58"/>
      <c r="AM278" s="58"/>
      <c r="AN278" s="143"/>
      <c r="AO278" s="58"/>
      <c r="AP278" s="58"/>
      <c r="AQ278" s="58"/>
      <c r="AR278" s="145">
        <f t="shared" si="23"/>
        <v>0</v>
      </c>
      <c r="AS278" s="185"/>
    </row>
    <row r="279" spans="1:45" s="81" customFormat="1" ht="56.25" customHeight="1" x14ac:dyDescent="0.25">
      <c r="A279" s="27"/>
      <c r="B279" s="27"/>
      <c r="C279" s="58"/>
      <c r="D279" s="58"/>
      <c r="E279" s="109"/>
      <c r="F279" s="58"/>
      <c r="G279" s="56"/>
      <c r="H279" s="56"/>
      <c r="I279" s="44"/>
      <c r="J279" s="44"/>
      <c r="K279" s="56"/>
      <c r="L279" s="56"/>
      <c r="M279" s="56"/>
      <c r="N279" s="56"/>
      <c r="O279" s="57"/>
      <c r="P279" s="56"/>
      <c r="Q279" s="56"/>
      <c r="R279" s="58"/>
      <c r="S279" s="58"/>
      <c r="T279" s="58"/>
      <c r="U279" s="58"/>
      <c r="V279" s="143"/>
      <c r="W279" s="58"/>
      <c r="X279" s="58"/>
      <c r="Y279" s="58"/>
      <c r="Z279" s="143"/>
      <c r="AA279" s="56"/>
      <c r="AB279" s="56"/>
      <c r="AC279" s="56"/>
      <c r="AD279" s="58"/>
      <c r="AE279" s="58"/>
      <c r="AF279" s="79"/>
      <c r="AG279" s="79"/>
      <c r="AH279" s="79"/>
      <c r="AI279" s="79"/>
      <c r="AJ279" s="79"/>
      <c r="AK279" s="79"/>
      <c r="AL279" s="58"/>
      <c r="AM279" s="58"/>
      <c r="AN279" s="143"/>
      <c r="AO279" s="58"/>
      <c r="AP279" s="58"/>
      <c r="AQ279" s="58"/>
      <c r="AR279" s="145">
        <f t="shared" si="23"/>
        <v>0</v>
      </c>
      <c r="AS279" s="185"/>
    </row>
    <row r="280" spans="1:45" s="81" customFormat="1" ht="37.5" customHeight="1" x14ac:dyDescent="0.25">
      <c r="A280" s="27"/>
      <c r="B280" s="27"/>
      <c r="C280" s="58"/>
      <c r="D280" s="58"/>
      <c r="E280" s="58"/>
      <c r="F280" s="58"/>
      <c r="G280" s="56"/>
      <c r="H280" s="56"/>
      <c r="I280" s="44"/>
      <c r="J280" s="44"/>
      <c r="K280" s="56"/>
      <c r="L280" s="56"/>
      <c r="M280" s="56"/>
      <c r="N280" s="56"/>
      <c r="O280" s="57"/>
      <c r="P280" s="56"/>
      <c r="Q280" s="56"/>
      <c r="R280" s="58"/>
      <c r="S280" s="58"/>
      <c r="T280" s="58"/>
      <c r="U280" s="58"/>
      <c r="V280" s="143"/>
      <c r="W280" s="58"/>
      <c r="X280" s="58"/>
      <c r="Y280" s="58"/>
      <c r="Z280" s="143"/>
      <c r="AA280" s="56"/>
      <c r="AB280" s="56"/>
      <c r="AC280" s="56"/>
      <c r="AD280" s="58"/>
      <c r="AE280" s="58"/>
      <c r="AF280" s="79"/>
      <c r="AG280" s="79"/>
      <c r="AH280" s="79"/>
      <c r="AI280" s="79"/>
      <c r="AJ280" s="79"/>
      <c r="AK280" s="79"/>
      <c r="AL280" s="58"/>
      <c r="AM280" s="58"/>
      <c r="AN280" s="143">
        <f t="shared" si="21"/>
        <v>0</v>
      </c>
      <c r="AO280" s="58"/>
      <c r="AP280" s="58"/>
      <c r="AQ280" s="58">
        <f t="shared" si="22"/>
        <v>0</v>
      </c>
      <c r="AR280" s="145">
        <f t="shared" si="23"/>
        <v>0</v>
      </c>
      <c r="AS280" s="185"/>
    </row>
    <row r="281" spans="1:45" s="81" customFormat="1" ht="37.5" customHeight="1" x14ac:dyDescent="0.25">
      <c r="A281" s="27"/>
      <c r="B281" s="27"/>
      <c r="C281" s="58"/>
      <c r="D281" s="58"/>
      <c r="E281" s="109"/>
      <c r="F281" s="58"/>
      <c r="G281" s="56"/>
      <c r="H281" s="56"/>
      <c r="I281" s="44"/>
      <c r="J281" s="44"/>
      <c r="K281" s="56"/>
      <c r="L281" s="56"/>
      <c r="M281" s="56"/>
      <c r="N281" s="56"/>
      <c r="O281" s="57"/>
      <c r="P281" s="56"/>
      <c r="Q281" s="56"/>
      <c r="R281" s="58"/>
      <c r="S281" s="58"/>
      <c r="T281" s="58"/>
      <c r="U281" s="58"/>
      <c r="V281" s="143"/>
      <c r="W281" s="58"/>
      <c r="X281" s="58"/>
      <c r="Y281" s="58"/>
      <c r="Z281" s="143"/>
      <c r="AA281" s="56"/>
      <c r="AB281" s="56"/>
      <c r="AC281" s="56"/>
      <c r="AD281" s="58"/>
      <c r="AE281" s="58"/>
      <c r="AF281" s="79"/>
      <c r="AG281" s="79"/>
      <c r="AH281" s="79"/>
      <c r="AI281" s="79"/>
      <c r="AJ281" s="79"/>
      <c r="AK281" s="79"/>
      <c r="AL281" s="58"/>
      <c r="AM281" s="58"/>
      <c r="AN281" s="143">
        <f t="shared" si="21"/>
        <v>0</v>
      </c>
      <c r="AO281" s="58"/>
      <c r="AP281" s="58"/>
      <c r="AQ281" s="58">
        <f t="shared" si="22"/>
        <v>0</v>
      </c>
      <c r="AR281" s="145">
        <f t="shared" si="23"/>
        <v>0</v>
      </c>
      <c r="AS281" s="185"/>
    </row>
    <row r="282" spans="1:45" s="81" customFormat="1" ht="37.5" customHeight="1" x14ac:dyDescent="0.25">
      <c r="A282" s="27"/>
      <c r="B282" s="27"/>
      <c r="C282" s="58"/>
      <c r="D282" s="58"/>
      <c r="E282" s="109"/>
      <c r="F282" s="58"/>
      <c r="G282" s="56"/>
      <c r="H282" s="56"/>
      <c r="I282" s="44"/>
      <c r="J282" s="44"/>
      <c r="K282" s="56"/>
      <c r="L282" s="56"/>
      <c r="M282" s="56"/>
      <c r="N282" s="56"/>
      <c r="O282" s="57"/>
      <c r="P282" s="56"/>
      <c r="Q282" s="56"/>
      <c r="R282" s="58"/>
      <c r="S282" s="58"/>
      <c r="T282" s="58"/>
      <c r="U282" s="58"/>
      <c r="V282" s="143"/>
      <c r="W282" s="58"/>
      <c r="X282" s="58"/>
      <c r="Y282" s="58"/>
      <c r="Z282" s="143"/>
      <c r="AA282" s="56"/>
      <c r="AB282" s="56"/>
      <c r="AC282" s="56"/>
      <c r="AD282" s="58"/>
      <c r="AE282" s="58"/>
      <c r="AF282" s="79"/>
      <c r="AG282" s="79"/>
      <c r="AH282" s="79"/>
      <c r="AI282" s="79"/>
      <c r="AJ282" s="79"/>
      <c r="AK282" s="79"/>
      <c r="AL282" s="58"/>
      <c r="AM282" s="58"/>
      <c r="AN282" s="143">
        <f t="shared" si="21"/>
        <v>0</v>
      </c>
      <c r="AO282" s="58"/>
      <c r="AP282" s="58"/>
      <c r="AQ282" s="58">
        <f t="shared" si="22"/>
        <v>0</v>
      </c>
      <c r="AR282" s="145">
        <f t="shared" si="23"/>
        <v>0</v>
      </c>
      <c r="AS282" s="185"/>
    </row>
    <row r="283" spans="1:45" s="81" customFormat="1" ht="62.25" customHeight="1" thickBot="1" x14ac:dyDescent="0.3">
      <c r="A283" s="27"/>
      <c r="B283" s="27"/>
      <c r="C283" s="58"/>
      <c r="D283" s="58"/>
      <c r="E283" s="58"/>
      <c r="F283" s="58"/>
      <c r="G283" s="56"/>
      <c r="H283" s="56"/>
      <c r="I283" s="44"/>
      <c r="J283" s="44"/>
      <c r="K283" s="56"/>
      <c r="L283" s="56"/>
      <c r="M283" s="56"/>
      <c r="N283" s="56"/>
      <c r="O283" s="57"/>
      <c r="P283" s="56"/>
      <c r="Q283" s="56"/>
      <c r="R283" s="58"/>
      <c r="S283" s="58"/>
      <c r="T283" s="58"/>
      <c r="U283" s="58"/>
      <c r="V283" s="143"/>
      <c r="W283" s="58"/>
      <c r="X283" s="58"/>
      <c r="Y283" s="58"/>
      <c r="Z283" s="143"/>
      <c r="AA283" s="56"/>
      <c r="AB283" s="40"/>
      <c r="AC283" s="40"/>
      <c r="AD283" s="39"/>
      <c r="AE283" s="39"/>
      <c r="AF283" s="79"/>
      <c r="AG283" s="79"/>
      <c r="AH283" s="79"/>
      <c r="AI283" s="79"/>
      <c r="AJ283" s="79"/>
      <c r="AK283" s="79"/>
      <c r="AL283" s="58"/>
      <c r="AM283" s="58"/>
      <c r="AN283" s="143">
        <f t="shared" si="21"/>
        <v>0</v>
      </c>
      <c r="AO283" s="58"/>
      <c r="AP283" s="58"/>
      <c r="AQ283" s="58">
        <f t="shared" si="22"/>
        <v>0</v>
      </c>
      <c r="AR283" s="145">
        <f t="shared" si="23"/>
        <v>0</v>
      </c>
      <c r="AS283" s="185"/>
    </row>
    <row r="284" spans="1:45" s="81" customFormat="1" ht="62.25" customHeight="1" thickBot="1" x14ac:dyDescent="0.3">
      <c r="A284" s="27"/>
      <c r="B284" s="27"/>
      <c r="C284" s="58"/>
      <c r="D284" s="58"/>
      <c r="E284" s="58"/>
      <c r="F284" s="58"/>
      <c r="G284" s="56"/>
      <c r="H284" s="56"/>
      <c r="I284" s="44"/>
      <c r="J284" s="44"/>
      <c r="K284" s="56"/>
      <c r="L284" s="56"/>
      <c r="M284" s="56"/>
      <c r="N284" s="56"/>
      <c r="O284" s="57"/>
      <c r="P284" s="56"/>
      <c r="Q284" s="56"/>
      <c r="R284" s="58"/>
      <c r="S284" s="58"/>
      <c r="T284" s="58"/>
      <c r="U284" s="58"/>
      <c r="V284" s="143"/>
      <c r="W284" s="58"/>
      <c r="X284" s="157"/>
      <c r="Y284" s="58"/>
      <c r="Z284" s="143"/>
      <c r="AA284" s="56"/>
      <c r="AB284" s="40"/>
      <c r="AC284" s="40"/>
      <c r="AD284" s="39"/>
      <c r="AE284" s="39"/>
      <c r="AF284" s="79"/>
      <c r="AG284" s="79"/>
      <c r="AH284" s="79"/>
      <c r="AI284" s="79"/>
      <c r="AJ284" s="79"/>
      <c r="AK284" s="79"/>
      <c r="AL284" s="58"/>
      <c r="AM284" s="58"/>
      <c r="AN284" s="143">
        <f t="shared" si="21"/>
        <v>0</v>
      </c>
      <c r="AO284" s="58"/>
      <c r="AP284" s="58"/>
      <c r="AQ284" s="58">
        <f t="shared" si="22"/>
        <v>0</v>
      </c>
      <c r="AR284" s="145">
        <f t="shared" si="23"/>
        <v>0</v>
      </c>
      <c r="AS284" s="185"/>
    </row>
    <row r="285" spans="1:45" ht="19.5" customHeight="1" thickBot="1" x14ac:dyDescent="0.3">
      <c r="S285" s="157">
        <f>SUM(S1:S282)</f>
        <v>0</v>
      </c>
      <c r="T285" s="157">
        <f>SUM(T1:T282)</f>
        <v>0</v>
      </c>
      <c r="W285" s="157">
        <f>SUM(W2:W284)</f>
        <v>389100</v>
      </c>
      <c r="X285" s="157">
        <f>SUM(X2:X284)</f>
        <v>382100</v>
      </c>
      <c r="AA285" s="157">
        <f>SUM(AA2:AA284)</f>
        <v>3221530</v>
      </c>
      <c r="AB285" s="157">
        <f>SUM(AB1:AB282)</f>
        <v>681200</v>
      </c>
      <c r="AD285" s="157">
        <f>SUM(AD1:AD282)</f>
        <v>199200</v>
      </c>
      <c r="AF285" s="114">
        <f>SUM(AF1:AF282)</f>
        <v>48200</v>
      </c>
      <c r="AH285" s="114">
        <f>SUM(AH1:AH282)</f>
        <v>14900</v>
      </c>
      <c r="AJ285" s="114">
        <f>SUM(AJ1:AJ282)</f>
        <v>16600</v>
      </c>
      <c r="AL285" s="157">
        <f>SUM(AL35:AL282)</f>
        <v>0</v>
      </c>
      <c r="AN285" s="157">
        <f>SUM(AN1:AN282)</f>
        <v>2261430</v>
      </c>
      <c r="AQ285" s="157">
        <f>SUM(AQ1:AQ282)</f>
        <v>960100</v>
      </c>
      <c r="AR285" s="157">
        <f>SUM(AR1:AR282)</f>
        <v>2261430</v>
      </c>
    </row>
    <row r="286" spans="1:45" x14ac:dyDescent="0.25">
      <c r="A286" s="6"/>
      <c r="K286" s="6"/>
      <c r="L286" s="6"/>
      <c r="N286" s="6"/>
      <c r="O286" s="6"/>
      <c r="P286" s="6"/>
      <c r="Y286" s="12" t="s">
        <v>24</v>
      </c>
      <c r="AA286" s="159">
        <f>COUNT(AA3:AA284)</f>
        <v>107</v>
      </c>
      <c r="AB286" s="12"/>
      <c r="AC286" s="12"/>
      <c r="AF286" s="6"/>
      <c r="AG286" s="6"/>
      <c r="AH286" s="6"/>
      <c r="AI286" s="6"/>
      <c r="AJ286" s="6"/>
      <c r="AK286" s="6"/>
    </row>
    <row r="287" spans="1:45" x14ac:dyDescent="0.25">
      <c r="AA287" s="66">
        <f>AA285/AA286</f>
        <v>30107.757009345794</v>
      </c>
    </row>
    <row r="288" spans="1:45" ht="30" x14ac:dyDescent="0.25">
      <c r="A288" s="6"/>
      <c r="K288" s="6"/>
      <c r="L288" s="6"/>
      <c r="N288" s="6"/>
      <c r="O288" s="6"/>
      <c r="P288" s="6"/>
      <c r="Y288" s="12" t="s">
        <v>25</v>
      </c>
      <c r="AA288" s="160"/>
      <c r="AB288" s="12"/>
      <c r="AC288" s="12"/>
      <c r="AF288" s="6"/>
      <c r="AG288" s="6"/>
      <c r="AH288" s="6"/>
      <c r="AI288" s="6"/>
      <c r="AJ288" s="6"/>
      <c r="AK288" s="6"/>
    </row>
    <row r="290" spans="1:37" x14ac:dyDescent="0.25">
      <c r="A290" s="6"/>
      <c r="K290" s="6"/>
      <c r="L290" s="6"/>
      <c r="N290" s="6"/>
      <c r="O290" s="6"/>
      <c r="P290" s="6"/>
      <c r="AB290" s="12"/>
      <c r="AC290" s="12"/>
      <c r="AF290" s="6"/>
      <c r="AG290" s="6"/>
      <c r="AH290" s="6"/>
      <c r="AI290" s="6"/>
      <c r="AJ290" s="6"/>
      <c r="AK290" s="6"/>
    </row>
  </sheetData>
  <autoFilter ref="I1:Z288"/>
  <pageMargins left="0.7" right="0.7" top="0.75" bottom="0.75" header="0.3" footer="0.3"/>
  <pageSetup paperSize="9"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BA285"/>
  <sheetViews>
    <sheetView zoomScale="84" zoomScaleNormal="84" workbookViewId="0">
      <pane ySplit="1" topLeftCell="A170" activePane="bottomLeft" state="frozen"/>
      <selection activeCell="J1" sqref="J1"/>
      <selection pane="bottomLeft" activeCell="D175" sqref="D175"/>
    </sheetView>
  </sheetViews>
  <sheetFormatPr defaultColWidth="9.140625" defaultRowHeight="21" x14ac:dyDescent="0.25"/>
  <cols>
    <col min="1" max="1" width="0.28515625" style="81" customWidth="1"/>
    <col min="2" max="2" width="5.42578125" style="49" hidden="1" customWidth="1"/>
    <col min="3" max="3" width="15" style="15" customWidth="1"/>
    <col min="4" max="4" width="20.28515625" style="15" customWidth="1"/>
    <col min="5" max="5" width="9.7109375" style="15" hidden="1" customWidth="1"/>
    <col min="6" max="6" width="14.140625" style="15" customWidth="1"/>
    <col min="7" max="7" width="28.28515625" style="33" customWidth="1"/>
    <col min="8" max="8" width="18.140625" style="15" customWidth="1"/>
    <col min="9" max="9" width="16.140625" style="15" customWidth="1"/>
    <col min="10" max="10" width="29.28515625" style="12" customWidth="1"/>
    <col min="11" max="11" width="10.5703125" style="12" customWidth="1"/>
    <col min="12" max="12" width="9.28515625" style="12" customWidth="1"/>
    <col min="13" max="13" width="13.140625" style="12" customWidth="1"/>
    <col min="14" max="14" width="8.7109375" style="12" customWidth="1"/>
    <col min="15" max="15" width="7.42578125" style="12" customWidth="1"/>
    <col min="16" max="16" width="8.140625" style="12" customWidth="1"/>
    <col min="17" max="17" width="10.85546875" style="12" customWidth="1"/>
    <col min="18" max="18" width="7.5703125" style="12" customWidth="1"/>
    <col min="19" max="19" width="11.28515625" style="66" customWidth="1"/>
    <col min="20" max="20" width="8" style="66" customWidth="1"/>
    <col min="21" max="21" width="15" style="15" customWidth="1"/>
    <col min="22" max="22" width="11.42578125" style="80" customWidth="1"/>
    <col min="23" max="23" width="15.5703125" style="111" customWidth="1"/>
    <col min="24" max="24" width="8.28515625" style="12" customWidth="1"/>
    <col min="25" max="25" width="14.42578125" style="64" customWidth="1"/>
    <col min="26" max="26" width="11.140625" style="12" customWidth="1"/>
    <col min="27" max="27" width="13.28515625" style="64" customWidth="1"/>
    <col min="28" max="28" width="9.42578125" style="12" customWidth="1"/>
    <col min="29" max="29" width="13.7109375" style="64" customWidth="1"/>
    <col min="30" max="30" width="12" style="12" customWidth="1"/>
    <col min="31" max="31" width="15.42578125" style="12" customWidth="1"/>
    <col min="32" max="32" width="10.28515625" style="63" customWidth="1"/>
    <col min="33" max="34" width="8.28515625" style="63" customWidth="1"/>
    <col min="35" max="35" width="10.42578125" style="30" customWidth="1"/>
    <col min="36" max="36" width="10.42578125" style="12" customWidth="1"/>
    <col min="37" max="37" width="13.42578125" style="180" hidden="1" customWidth="1"/>
    <col min="38" max="38" width="9.140625" style="115"/>
    <col min="39" max="39" width="11.42578125" style="115" bestFit="1" customWidth="1"/>
    <col min="40" max="43" width="9.140625" style="115"/>
    <col min="44" max="49" width="9.140625" style="12"/>
    <col min="50" max="16384" width="9.140625" style="6"/>
  </cols>
  <sheetData>
    <row r="1" spans="1:37" ht="45" customHeight="1" x14ac:dyDescent="0.25">
      <c r="A1" s="27" t="s">
        <v>0</v>
      </c>
      <c r="B1" s="43"/>
      <c r="C1" s="43" t="s">
        <v>78</v>
      </c>
      <c r="D1" s="43" t="s">
        <v>3</v>
      </c>
      <c r="E1" s="36" t="s">
        <v>48</v>
      </c>
      <c r="F1" s="43" t="s">
        <v>27</v>
      </c>
      <c r="G1" s="45" t="s">
        <v>4</v>
      </c>
      <c r="H1" s="43" t="s">
        <v>28</v>
      </c>
      <c r="I1" s="43" t="s">
        <v>30</v>
      </c>
      <c r="J1" s="44" t="s">
        <v>29</v>
      </c>
      <c r="K1" s="44" t="s">
        <v>8</v>
      </c>
      <c r="L1" s="44" t="s">
        <v>5</v>
      </c>
      <c r="M1" s="44" t="s">
        <v>6</v>
      </c>
      <c r="N1" s="142" t="s">
        <v>7</v>
      </c>
      <c r="O1" s="44" t="s">
        <v>1225</v>
      </c>
      <c r="P1" s="44" t="s">
        <v>5</v>
      </c>
      <c r="Q1" s="44" t="s">
        <v>6</v>
      </c>
      <c r="R1" s="41" t="s">
        <v>7</v>
      </c>
      <c r="S1" s="44" t="s">
        <v>9</v>
      </c>
      <c r="T1" s="44" t="s">
        <v>10</v>
      </c>
      <c r="U1" s="53" t="s">
        <v>6</v>
      </c>
      <c r="V1" s="44" t="s">
        <v>11</v>
      </c>
      <c r="W1" s="53" t="s">
        <v>6</v>
      </c>
      <c r="X1" s="44" t="s">
        <v>12</v>
      </c>
      <c r="Y1" s="53" t="s">
        <v>6</v>
      </c>
      <c r="Z1" s="44" t="s">
        <v>13</v>
      </c>
      <c r="AA1" s="53" t="s">
        <v>6</v>
      </c>
      <c r="AB1" s="44" t="s">
        <v>14</v>
      </c>
      <c r="AC1" s="53" t="s">
        <v>6</v>
      </c>
      <c r="AD1" s="44" t="s">
        <v>26</v>
      </c>
      <c r="AE1" s="44" t="s">
        <v>6</v>
      </c>
      <c r="AF1" s="47" t="s">
        <v>7</v>
      </c>
      <c r="AG1" s="54" t="s">
        <v>15</v>
      </c>
      <c r="AH1" s="54" t="s">
        <v>16</v>
      </c>
      <c r="AI1" s="44" t="s">
        <v>17</v>
      </c>
      <c r="AJ1" s="142" t="s">
        <v>7</v>
      </c>
    </row>
    <row r="2" spans="1:37" ht="61.5" customHeight="1" x14ac:dyDescent="0.25">
      <c r="A2" s="27"/>
      <c r="B2" s="44">
        <v>1</v>
      </c>
      <c r="C2" s="44" t="s">
        <v>79</v>
      </c>
      <c r="D2" s="44" t="s">
        <v>43</v>
      </c>
      <c r="E2" s="44">
        <v>336</v>
      </c>
      <c r="F2" s="44" t="s">
        <v>39</v>
      </c>
      <c r="G2" s="46" t="s">
        <v>80</v>
      </c>
      <c r="H2" s="44" t="s">
        <v>37</v>
      </c>
      <c r="I2" s="44" t="s">
        <v>125</v>
      </c>
      <c r="J2" s="44" t="s">
        <v>96</v>
      </c>
      <c r="K2" s="44"/>
      <c r="L2" s="44"/>
      <c r="M2" s="44"/>
      <c r="N2" s="142"/>
      <c r="O2" s="39">
        <v>4200</v>
      </c>
      <c r="P2" s="39">
        <v>4200</v>
      </c>
      <c r="Q2" s="39" t="s">
        <v>1319</v>
      </c>
      <c r="R2" s="41"/>
      <c r="S2" s="44">
        <v>28000</v>
      </c>
      <c r="T2" s="44">
        <v>5000</v>
      </c>
      <c r="U2" s="48" t="s">
        <v>81</v>
      </c>
      <c r="V2" s="44">
        <v>5000</v>
      </c>
      <c r="W2" s="53" t="s">
        <v>936</v>
      </c>
      <c r="X2" s="53">
        <v>5000</v>
      </c>
      <c r="Y2" s="53" t="s">
        <v>1724</v>
      </c>
      <c r="Z2" s="53"/>
      <c r="AA2" s="53"/>
      <c r="AB2" s="53"/>
      <c r="AC2" s="53"/>
      <c r="AD2" s="44"/>
      <c r="AE2" s="44"/>
      <c r="AF2" s="72">
        <f>S2-T2-V2-X2-Z2-AB2-AD2</f>
        <v>13000</v>
      </c>
      <c r="AG2" s="73"/>
      <c r="AH2" s="73"/>
      <c r="AI2" s="148">
        <f>+T2+V2+X2+Z2+AB2+AD2</f>
        <v>15000</v>
      </c>
      <c r="AJ2" s="145">
        <f>AF2+R2+N2-AG2+AH2</f>
        <v>13000</v>
      </c>
      <c r="AK2" s="180">
        <v>5000</v>
      </c>
    </row>
    <row r="3" spans="1:37" ht="36.75" customHeight="1" x14ac:dyDescent="0.25">
      <c r="A3" s="27"/>
      <c r="B3" s="44">
        <v>2</v>
      </c>
      <c r="C3" s="44" t="s">
        <v>82</v>
      </c>
      <c r="D3" s="44" t="s">
        <v>36</v>
      </c>
      <c r="E3" s="56">
        <v>515</v>
      </c>
      <c r="F3" s="44" t="s">
        <v>39</v>
      </c>
      <c r="G3" s="46" t="s">
        <v>54</v>
      </c>
      <c r="H3" s="44" t="s">
        <v>97</v>
      </c>
      <c r="I3" s="44" t="s">
        <v>98</v>
      </c>
      <c r="J3" s="44" t="s">
        <v>99</v>
      </c>
      <c r="K3" s="39"/>
      <c r="L3" s="39"/>
      <c r="M3" s="39"/>
      <c r="N3" s="41"/>
      <c r="O3" s="187"/>
      <c r="P3" s="187"/>
      <c r="Q3" s="187"/>
      <c r="R3" s="41"/>
      <c r="S3" s="44">
        <v>10</v>
      </c>
      <c r="T3" s="44"/>
      <c r="U3" s="48"/>
      <c r="V3" s="44"/>
      <c r="W3" s="53"/>
      <c r="X3" s="53"/>
      <c r="Y3" s="53"/>
      <c r="Z3" s="53"/>
      <c r="AA3" s="53"/>
      <c r="AB3" s="53"/>
      <c r="AC3" s="53"/>
      <c r="AD3" s="44"/>
      <c r="AE3" s="44"/>
      <c r="AF3" s="72">
        <f>S3-T3-V3-X3-Z3-AB3</f>
        <v>10</v>
      </c>
      <c r="AG3" s="73"/>
      <c r="AH3" s="73"/>
      <c r="AI3" s="148">
        <f>+T3+V3+X3+Z3+AB3</f>
        <v>0</v>
      </c>
      <c r="AJ3" s="145">
        <f t="shared" ref="AJ3:AJ65" si="0">AF3+R3+N3-AG3+AH3</f>
        <v>10</v>
      </c>
      <c r="AK3" s="115"/>
    </row>
    <row r="4" spans="1:37" ht="48" customHeight="1" x14ac:dyDescent="0.25">
      <c r="A4" s="27"/>
      <c r="B4" s="44">
        <v>3</v>
      </c>
      <c r="C4" s="44" t="s">
        <v>83</v>
      </c>
      <c r="D4" s="44" t="s">
        <v>44</v>
      </c>
      <c r="E4" s="56">
        <v>501</v>
      </c>
      <c r="F4" s="44" t="s">
        <v>727</v>
      </c>
      <c r="G4" s="46" t="s">
        <v>84</v>
      </c>
      <c r="H4" s="44" t="s">
        <v>105</v>
      </c>
      <c r="I4" s="44" t="s">
        <v>100</v>
      </c>
      <c r="J4" s="44" t="s">
        <v>101</v>
      </c>
      <c r="K4" s="39"/>
      <c r="L4" s="39"/>
      <c r="M4" s="39"/>
      <c r="N4" s="41"/>
      <c r="O4" s="187"/>
      <c r="P4" s="187"/>
      <c r="Q4" s="187"/>
      <c r="R4" s="41"/>
      <c r="S4" s="44">
        <v>10</v>
      </c>
      <c r="T4" s="44"/>
      <c r="U4" s="48"/>
      <c r="V4" s="44"/>
      <c r="W4" s="53"/>
      <c r="X4" s="53"/>
      <c r="Y4" s="53"/>
      <c r="Z4" s="53"/>
      <c r="AA4" s="53"/>
      <c r="AB4" s="53"/>
      <c r="AC4" s="53"/>
      <c r="AD4" s="44"/>
      <c r="AE4" s="44"/>
      <c r="AF4" s="72">
        <f>S4-T4-V4-X4-Z4-AB4-AD4</f>
        <v>10</v>
      </c>
      <c r="AG4" s="73"/>
      <c r="AH4" s="73"/>
      <c r="AI4" s="148">
        <f>+T4+V4+X4+Z4+AB4+AD4</f>
        <v>0</v>
      </c>
      <c r="AJ4" s="145">
        <f t="shared" si="0"/>
        <v>10</v>
      </c>
      <c r="AK4" s="115"/>
    </row>
    <row r="5" spans="1:37" ht="37.5" customHeight="1" x14ac:dyDescent="0.25">
      <c r="A5" s="27"/>
      <c r="B5" s="44">
        <v>4</v>
      </c>
      <c r="C5" s="44" t="s">
        <v>85</v>
      </c>
      <c r="D5" s="44" t="s">
        <v>73</v>
      </c>
      <c r="E5" s="56">
        <v>362</v>
      </c>
      <c r="F5" s="44" t="s">
        <v>589</v>
      </c>
      <c r="G5" s="46" t="s">
        <v>86</v>
      </c>
      <c r="H5" s="44" t="s">
        <v>102</v>
      </c>
      <c r="I5" s="44"/>
      <c r="J5" s="44"/>
      <c r="K5" s="39"/>
      <c r="L5" s="39"/>
      <c r="M5" s="39"/>
      <c r="N5" s="41"/>
      <c r="O5" s="195">
        <v>4200</v>
      </c>
      <c r="P5" s="195">
        <v>4200</v>
      </c>
      <c r="Q5" s="195" t="s">
        <v>1542</v>
      </c>
      <c r="R5" s="41"/>
      <c r="S5" s="44">
        <v>35000</v>
      </c>
      <c r="T5" s="44">
        <v>2000</v>
      </c>
      <c r="U5" s="48" t="s">
        <v>209</v>
      </c>
      <c r="V5" s="44">
        <v>3000</v>
      </c>
      <c r="W5" s="53" t="s">
        <v>781</v>
      </c>
      <c r="X5" s="53">
        <v>7000</v>
      </c>
      <c r="Y5" s="53" t="s">
        <v>1750</v>
      </c>
      <c r="Z5" s="53"/>
      <c r="AA5" s="53"/>
      <c r="AB5" s="53"/>
      <c r="AC5" s="119"/>
      <c r="AD5" s="44"/>
      <c r="AE5" s="44"/>
      <c r="AF5" s="72">
        <f>S5-T5-V5-X5-Z5-AB5-AD5</f>
        <v>23000</v>
      </c>
      <c r="AG5" s="73"/>
      <c r="AH5" s="73"/>
      <c r="AI5" s="148">
        <f>T5+V5+X5+Z5+AB5+AD5</f>
        <v>12000</v>
      </c>
      <c r="AJ5" s="145">
        <f t="shared" si="0"/>
        <v>23000</v>
      </c>
      <c r="AK5" s="115"/>
    </row>
    <row r="6" spans="1:37" ht="37.5" customHeight="1" x14ac:dyDescent="0.25">
      <c r="A6" s="27"/>
      <c r="B6" s="44">
        <v>5</v>
      </c>
      <c r="C6" s="56" t="s">
        <v>103</v>
      </c>
      <c r="D6" s="56" t="s">
        <v>19</v>
      </c>
      <c r="E6" s="56">
        <v>898</v>
      </c>
      <c r="F6" s="44" t="s">
        <v>727</v>
      </c>
      <c r="G6" s="57" t="s">
        <v>104</v>
      </c>
      <c r="H6" s="56" t="s">
        <v>106</v>
      </c>
      <c r="I6" s="56" t="s">
        <v>125</v>
      </c>
      <c r="J6" s="58" t="s">
        <v>108</v>
      </c>
      <c r="K6" s="39"/>
      <c r="L6" s="39"/>
      <c r="M6" s="39"/>
      <c r="N6" s="41"/>
      <c r="O6" s="146">
        <v>4200</v>
      </c>
      <c r="P6" s="146">
        <v>4200</v>
      </c>
      <c r="Q6" s="146" t="s">
        <v>1453</v>
      </c>
      <c r="R6" s="41"/>
      <c r="S6" s="56">
        <v>30000</v>
      </c>
      <c r="T6" s="56">
        <v>2000</v>
      </c>
      <c r="U6" s="78" t="s">
        <v>107</v>
      </c>
      <c r="V6" s="58">
        <v>8000</v>
      </c>
      <c r="W6" s="79" t="s">
        <v>1722</v>
      </c>
      <c r="X6" s="42"/>
      <c r="Y6" s="42"/>
      <c r="Z6" s="42"/>
      <c r="AA6" s="42"/>
      <c r="AB6" s="42"/>
      <c r="AC6" s="42"/>
      <c r="AD6" s="39"/>
      <c r="AE6" s="39"/>
      <c r="AF6" s="77">
        <f>S6-T6-V6-X6-Z6-AB6-AD6</f>
        <v>20000</v>
      </c>
      <c r="AG6" s="76"/>
      <c r="AH6" s="76"/>
      <c r="AI6" s="149">
        <f>+T6+V6+X6+Z6+AB6+AD6</f>
        <v>10000</v>
      </c>
      <c r="AJ6" s="145">
        <f t="shared" si="0"/>
        <v>20000</v>
      </c>
      <c r="AK6" s="115"/>
    </row>
    <row r="7" spans="1:37" ht="37.5" customHeight="1" x14ac:dyDescent="0.25">
      <c r="A7" s="27"/>
      <c r="B7" s="44">
        <v>6</v>
      </c>
      <c r="C7" s="56" t="s">
        <v>109</v>
      </c>
      <c r="D7" s="56" t="s">
        <v>110</v>
      </c>
      <c r="E7" s="56">
        <v>399</v>
      </c>
      <c r="F7" s="56" t="s">
        <v>40</v>
      </c>
      <c r="G7" s="57" t="s">
        <v>111</v>
      </c>
      <c r="H7" s="56" t="s">
        <v>112</v>
      </c>
      <c r="I7" s="56" t="s">
        <v>95</v>
      </c>
      <c r="J7" s="58" t="s">
        <v>53</v>
      </c>
      <c r="K7" s="39"/>
      <c r="L7" s="39"/>
      <c r="M7" s="39"/>
      <c r="N7" s="41"/>
      <c r="O7" s="39"/>
      <c r="P7" s="39"/>
      <c r="Q7" s="39"/>
      <c r="R7" s="41"/>
      <c r="S7" s="56">
        <v>25000</v>
      </c>
      <c r="T7" s="56">
        <v>5000</v>
      </c>
      <c r="U7" s="78" t="s">
        <v>113</v>
      </c>
      <c r="V7" s="58"/>
      <c r="W7" s="79"/>
      <c r="X7" s="42"/>
      <c r="Y7" s="42"/>
      <c r="Z7" s="42"/>
      <c r="AA7" s="42"/>
      <c r="AB7" s="42"/>
      <c r="AC7" s="42"/>
      <c r="AD7" s="39"/>
      <c r="AE7" s="39"/>
      <c r="AF7" s="77">
        <f>S7-T7-V7-X7-Z7-AB7</f>
        <v>20000</v>
      </c>
      <c r="AG7" s="76"/>
      <c r="AH7" s="72"/>
      <c r="AI7" s="149">
        <f t="shared" ref="AI7:AI40" si="1">+T7+V7+X7+Z7+AB7</f>
        <v>5000</v>
      </c>
      <c r="AJ7" s="145">
        <f t="shared" si="0"/>
        <v>20000</v>
      </c>
      <c r="AK7" s="115"/>
    </row>
    <row r="8" spans="1:37" ht="33.75" customHeight="1" x14ac:dyDescent="0.25">
      <c r="A8" s="27"/>
      <c r="B8" s="44">
        <v>7</v>
      </c>
      <c r="C8" s="44" t="s">
        <v>115</v>
      </c>
      <c r="D8" s="44" t="s">
        <v>21</v>
      </c>
      <c r="E8" s="56">
        <v>385</v>
      </c>
      <c r="F8" s="44" t="s">
        <v>589</v>
      </c>
      <c r="G8" s="44" t="s">
        <v>116</v>
      </c>
      <c r="H8" s="44" t="s">
        <v>117</v>
      </c>
      <c r="I8" s="44" t="s">
        <v>49</v>
      </c>
      <c r="J8" s="44" t="s">
        <v>118</v>
      </c>
      <c r="K8" s="44"/>
      <c r="L8" s="44"/>
      <c r="M8" s="44"/>
      <c r="N8" s="142"/>
      <c r="O8" s="39">
        <v>4200</v>
      </c>
      <c r="P8" s="39">
        <v>4200</v>
      </c>
      <c r="Q8" s="39" t="s">
        <v>1650</v>
      </c>
      <c r="R8" s="41"/>
      <c r="S8" s="44">
        <v>30000</v>
      </c>
      <c r="T8" s="44">
        <v>1000</v>
      </c>
      <c r="U8" s="48" t="s">
        <v>119</v>
      </c>
      <c r="V8" s="44">
        <v>1500</v>
      </c>
      <c r="W8" s="53" t="s">
        <v>512</v>
      </c>
      <c r="X8" s="53">
        <v>9000</v>
      </c>
      <c r="Y8" s="53" t="s">
        <v>1807</v>
      </c>
      <c r="Z8" s="53"/>
      <c r="AA8" s="118"/>
      <c r="AB8" s="53"/>
      <c r="AC8" s="53"/>
      <c r="AD8" s="44"/>
      <c r="AE8" s="44"/>
      <c r="AF8" s="72">
        <f>S8-T8-V8-X8-Z8-AB8</f>
        <v>18500</v>
      </c>
      <c r="AG8" s="73"/>
      <c r="AH8" s="73"/>
      <c r="AI8" s="148">
        <f t="shared" si="1"/>
        <v>11500</v>
      </c>
      <c r="AJ8" s="145">
        <f t="shared" si="0"/>
        <v>18500</v>
      </c>
      <c r="AK8" s="115"/>
    </row>
    <row r="9" spans="1:37" ht="37.5" customHeight="1" x14ac:dyDescent="0.25">
      <c r="A9" s="27"/>
      <c r="B9" s="44">
        <v>8</v>
      </c>
      <c r="C9" s="44" t="s">
        <v>120</v>
      </c>
      <c r="D9" s="44" t="s">
        <v>20</v>
      </c>
      <c r="E9" s="56">
        <v>454</v>
      </c>
      <c r="F9" s="44" t="s">
        <v>39</v>
      </c>
      <c r="G9" s="46" t="s">
        <v>121</v>
      </c>
      <c r="H9" s="44" t="s">
        <v>741</v>
      </c>
      <c r="I9" s="44" t="s">
        <v>98</v>
      </c>
      <c r="J9" s="44"/>
      <c r="K9" s="44"/>
      <c r="L9" s="44"/>
      <c r="M9" s="44"/>
      <c r="N9" s="142"/>
      <c r="O9" s="39">
        <v>4200</v>
      </c>
      <c r="P9" s="39">
        <v>4200</v>
      </c>
      <c r="Q9" s="39" t="s">
        <v>1593</v>
      </c>
      <c r="R9" s="41"/>
      <c r="S9" s="44">
        <v>25000</v>
      </c>
      <c r="T9" s="44">
        <v>1000</v>
      </c>
      <c r="U9" s="48" t="s">
        <v>212</v>
      </c>
      <c r="V9" s="44">
        <v>2200</v>
      </c>
      <c r="W9" s="53" t="s">
        <v>679</v>
      </c>
      <c r="X9" s="53">
        <v>2200</v>
      </c>
      <c r="Y9" s="53" t="s">
        <v>1202</v>
      </c>
      <c r="Z9" s="53">
        <v>2200</v>
      </c>
      <c r="AA9" s="53" t="s">
        <v>1727</v>
      </c>
      <c r="AB9" s="53"/>
      <c r="AC9" s="53"/>
      <c r="AD9" s="44"/>
      <c r="AE9" s="44"/>
      <c r="AF9" s="72">
        <f>S9-T9-V9-X9-Z9-AB9-AD9</f>
        <v>17400</v>
      </c>
      <c r="AG9" s="73"/>
      <c r="AH9" s="73"/>
      <c r="AI9" s="148">
        <f t="shared" si="1"/>
        <v>7600</v>
      </c>
      <c r="AJ9" s="145">
        <f t="shared" si="0"/>
        <v>17400</v>
      </c>
      <c r="AK9" s="115">
        <v>10000</v>
      </c>
    </row>
    <row r="10" spans="1:37" ht="37.5" customHeight="1" x14ac:dyDescent="0.25">
      <c r="A10" s="27"/>
      <c r="B10" s="44">
        <v>9</v>
      </c>
      <c r="C10" s="44" t="s">
        <v>122</v>
      </c>
      <c r="D10" s="44" t="s">
        <v>35</v>
      </c>
      <c r="E10" s="56" t="s">
        <v>51</v>
      </c>
      <c r="F10" s="44" t="s">
        <v>40</v>
      </c>
      <c r="G10" s="46" t="s">
        <v>123</v>
      </c>
      <c r="H10" s="44" t="s">
        <v>124</v>
      </c>
      <c r="I10" s="56" t="s">
        <v>125</v>
      </c>
      <c r="J10" s="44" t="s">
        <v>130</v>
      </c>
      <c r="K10" s="44"/>
      <c r="L10" s="44"/>
      <c r="M10" s="44"/>
      <c r="N10" s="142"/>
      <c r="O10" s="39"/>
      <c r="P10" s="39"/>
      <c r="Q10" s="39"/>
      <c r="R10" s="41"/>
      <c r="S10" s="44">
        <v>30000</v>
      </c>
      <c r="T10" s="44">
        <v>2500</v>
      </c>
      <c r="U10" s="48" t="s">
        <v>126</v>
      </c>
      <c r="V10" s="44">
        <v>5000</v>
      </c>
      <c r="W10" s="53" t="s">
        <v>967</v>
      </c>
      <c r="X10" s="53"/>
      <c r="Y10" s="53"/>
      <c r="Z10" s="53"/>
      <c r="AA10" s="53"/>
      <c r="AB10" s="53"/>
      <c r="AC10" s="53"/>
      <c r="AD10" s="44"/>
      <c r="AE10" s="44"/>
      <c r="AF10" s="72">
        <f>S10-T10-V10-X10-Z10-AB10</f>
        <v>22500</v>
      </c>
      <c r="AG10" s="73"/>
      <c r="AH10" s="73"/>
      <c r="AI10" s="148">
        <f t="shared" si="1"/>
        <v>7500</v>
      </c>
      <c r="AJ10" s="145">
        <f t="shared" si="0"/>
        <v>22500</v>
      </c>
      <c r="AK10" s="115">
        <v>10000</v>
      </c>
    </row>
    <row r="11" spans="1:37" ht="36.75" customHeight="1" x14ac:dyDescent="0.25">
      <c r="A11" s="27"/>
      <c r="B11" s="44">
        <v>10</v>
      </c>
      <c r="C11" s="56" t="s">
        <v>127</v>
      </c>
      <c r="D11" s="56" t="s">
        <v>128</v>
      </c>
      <c r="E11" s="56">
        <v>475</v>
      </c>
      <c r="F11" s="44" t="s">
        <v>40</v>
      </c>
      <c r="G11" s="57" t="s">
        <v>129</v>
      </c>
      <c r="H11" s="44" t="s">
        <v>124</v>
      </c>
      <c r="I11" s="56" t="s">
        <v>125</v>
      </c>
      <c r="J11" s="58" t="s">
        <v>130</v>
      </c>
      <c r="K11" s="39"/>
      <c r="L11" s="39"/>
      <c r="M11" s="39"/>
      <c r="N11" s="41"/>
      <c r="O11" s="39">
        <v>4200</v>
      </c>
      <c r="P11" s="39">
        <v>4200</v>
      </c>
      <c r="Q11" s="39" t="s">
        <v>1490</v>
      </c>
      <c r="R11" s="41"/>
      <c r="S11" s="56">
        <v>25000</v>
      </c>
      <c r="T11" s="56">
        <v>3000</v>
      </c>
      <c r="U11" s="78" t="s">
        <v>131</v>
      </c>
      <c r="V11" s="58">
        <v>4000</v>
      </c>
      <c r="W11" s="79" t="s">
        <v>830</v>
      </c>
      <c r="X11" s="42">
        <v>5000</v>
      </c>
      <c r="Y11" s="42" t="s">
        <v>1680</v>
      </c>
      <c r="Z11" s="42"/>
      <c r="AA11" s="42"/>
      <c r="AB11" s="42"/>
      <c r="AC11" s="42"/>
      <c r="AD11" s="39"/>
      <c r="AE11" s="39"/>
      <c r="AF11" s="77">
        <f>S11-T11-V11-X11-Z11-AB11-AD11</f>
        <v>13000</v>
      </c>
      <c r="AG11" s="76"/>
      <c r="AH11" s="76"/>
      <c r="AI11" s="149">
        <f>+T11+V11+X11+Z11+AB11+AD11</f>
        <v>12000</v>
      </c>
      <c r="AJ11" s="145">
        <f t="shared" si="0"/>
        <v>13000</v>
      </c>
      <c r="AK11" s="115"/>
    </row>
    <row r="12" spans="1:37" ht="37.5" customHeight="1" x14ac:dyDescent="0.25">
      <c r="A12" s="27"/>
      <c r="B12" s="44">
        <v>11</v>
      </c>
      <c r="C12" s="56" t="s">
        <v>132</v>
      </c>
      <c r="D12" s="56" t="s">
        <v>133</v>
      </c>
      <c r="E12" s="56"/>
      <c r="F12" s="56" t="s">
        <v>39</v>
      </c>
      <c r="G12" s="57" t="s">
        <v>134</v>
      </c>
      <c r="H12" s="56" t="s">
        <v>37</v>
      </c>
      <c r="I12" s="44" t="s">
        <v>135</v>
      </c>
      <c r="J12" s="58" t="s">
        <v>52</v>
      </c>
      <c r="K12" s="39"/>
      <c r="L12" s="39"/>
      <c r="M12" s="39"/>
      <c r="N12" s="41"/>
      <c r="O12" s="39">
        <v>4200</v>
      </c>
      <c r="P12" s="39">
        <v>4200</v>
      </c>
      <c r="Q12" s="39" t="s">
        <v>1512</v>
      </c>
      <c r="R12" s="41"/>
      <c r="S12" s="56">
        <v>30000</v>
      </c>
      <c r="T12" s="56">
        <v>10000</v>
      </c>
      <c r="U12" s="78" t="s">
        <v>145</v>
      </c>
      <c r="V12" s="39"/>
      <c r="W12" s="42"/>
      <c r="X12" s="42"/>
      <c r="Y12" s="42"/>
      <c r="Z12" s="42"/>
      <c r="AA12" s="42"/>
      <c r="AB12" s="42"/>
      <c r="AC12" s="42"/>
      <c r="AD12" s="39"/>
      <c r="AE12" s="39"/>
      <c r="AF12" s="77">
        <f>S12-T12-V12-X12-Z12-AB12-AD12</f>
        <v>20000</v>
      </c>
      <c r="AG12" s="76"/>
      <c r="AH12" s="76"/>
      <c r="AI12" s="149">
        <f>+T12+V12+X12+Z12+AB12+AD12</f>
        <v>10000</v>
      </c>
      <c r="AJ12" s="145">
        <f t="shared" si="0"/>
        <v>20000</v>
      </c>
      <c r="AK12" s="115">
        <v>15000</v>
      </c>
    </row>
    <row r="13" spans="1:37" ht="46.5" customHeight="1" x14ac:dyDescent="0.25">
      <c r="A13" s="27"/>
      <c r="B13" s="44">
        <v>12</v>
      </c>
      <c r="C13" s="56" t="s">
        <v>136</v>
      </c>
      <c r="D13" s="56" t="s">
        <v>137</v>
      </c>
      <c r="E13" s="56">
        <v>457</v>
      </c>
      <c r="F13" s="56" t="s">
        <v>727</v>
      </c>
      <c r="G13" s="57" t="s">
        <v>138</v>
      </c>
      <c r="H13" s="56" t="s">
        <v>139</v>
      </c>
      <c r="I13" s="56" t="s">
        <v>125</v>
      </c>
      <c r="J13" s="58" t="s">
        <v>118</v>
      </c>
      <c r="K13" s="39"/>
      <c r="L13" s="39"/>
      <c r="M13" s="39"/>
      <c r="N13" s="41"/>
      <c r="O13" s="39">
        <v>4200</v>
      </c>
      <c r="P13" s="39">
        <v>4200</v>
      </c>
      <c r="Q13" s="39" t="s">
        <v>1356</v>
      </c>
      <c r="R13" s="41"/>
      <c r="S13" s="56">
        <v>30000</v>
      </c>
      <c r="T13" s="56">
        <v>5000</v>
      </c>
      <c r="U13" s="78" t="s">
        <v>144</v>
      </c>
      <c r="V13" s="58">
        <v>2500</v>
      </c>
      <c r="W13" s="79" t="s">
        <v>666</v>
      </c>
      <c r="X13" s="39">
        <v>2500</v>
      </c>
      <c r="Y13" s="42" t="s">
        <v>1077</v>
      </c>
      <c r="Z13" s="39">
        <v>2500</v>
      </c>
      <c r="AA13" s="116" t="s">
        <v>1773</v>
      </c>
      <c r="AB13" s="39"/>
      <c r="AC13" s="42"/>
      <c r="AD13" s="39"/>
      <c r="AE13" s="39"/>
      <c r="AF13" s="77">
        <f>S13-T13-V13-X13-Z13-AB13-AD13</f>
        <v>17500</v>
      </c>
      <c r="AG13" s="76"/>
      <c r="AH13" s="76"/>
      <c r="AI13" s="149">
        <f>+T13+V13+X13+Z13+AB13+AD13</f>
        <v>12500</v>
      </c>
      <c r="AJ13" s="145">
        <f t="shared" si="0"/>
        <v>17500</v>
      </c>
      <c r="AK13" s="115"/>
    </row>
    <row r="14" spans="1:37" ht="37.5" customHeight="1" x14ac:dyDescent="0.25">
      <c r="A14" s="27"/>
      <c r="B14" s="44">
        <v>13</v>
      </c>
      <c r="C14" s="56" t="s">
        <v>71</v>
      </c>
      <c r="D14" s="56" t="s">
        <v>55</v>
      </c>
      <c r="E14" s="56">
        <v>822</v>
      </c>
      <c r="F14" s="56" t="s">
        <v>589</v>
      </c>
      <c r="G14" s="46" t="s">
        <v>140</v>
      </c>
      <c r="H14" s="56" t="s">
        <v>141</v>
      </c>
      <c r="I14" s="56" t="s">
        <v>142</v>
      </c>
      <c r="J14" s="58" t="s">
        <v>47</v>
      </c>
      <c r="K14" s="39"/>
      <c r="L14" s="39"/>
      <c r="M14" s="39"/>
      <c r="N14" s="41"/>
      <c r="O14" s="39">
        <v>4200</v>
      </c>
      <c r="P14" s="39">
        <v>4200</v>
      </c>
      <c r="Q14" s="39" t="s">
        <v>1462</v>
      </c>
      <c r="R14" s="41"/>
      <c r="S14" s="56">
        <v>29000</v>
      </c>
      <c r="T14" s="56">
        <v>5000</v>
      </c>
      <c r="U14" s="78" t="s">
        <v>143</v>
      </c>
      <c r="V14" s="58"/>
      <c r="W14" s="79"/>
      <c r="X14" s="42"/>
      <c r="Y14" s="42"/>
      <c r="Z14" s="42"/>
      <c r="AA14" s="42"/>
      <c r="AB14" s="42"/>
      <c r="AC14" s="42"/>
      <c r="AD14" s="39"/>
      <c r="AE14" s="39"/>
      <c r="AF14" s="77">
        <f>S14-T14-V14-X14-Z14-AB14</f>
        <v>24000</v>
      </c>
      <c r="AG14" s="76"/>
      <c r="AH14" s="76"/>
      <c r="AI14" s="149">
        <f t="shared" si="1"/>
        <v>5000</v>
      </c>
      <c r="AJ14" s="145">
        <f t="shared" si="0"/>
        <v>24000</v>
      </c>
      <c r="AK14" s="180">
        <v>5000</v>
      </c>
    </row>
    <row r="15" spans="1:37" ht="37.5" customHeight="1" x14ac:dyDescent="0.25">
      <c r="A15" s="27"/>
      <c r="B15" s="44">
        <v>14</v>
      </c>
      <c r="C15" s="56" t="s">
        <v>150</v>
      </c>
      <c r="D15" s="56" t="s">
        <v>22</v>
      </c>
      <c r="E15" s="56">
        <v>285</v>
      </c>
      <c r="F15" s="56" t="s">
        <v>39</v>
      </c>
      <c r="G15" s="57" t="s">
        <v>151</v>
      </c>
      <c r="H15" s="56" t="s">
        <v>420</v>
      </c>
      <c r="I15" s="56" t="s">
        <v>125</v>
      </c>
      <c r="J15" s="44"/>
      <c r="K15" s="39"/>
      <c r="L15" s="39"/>
      <c r="M15" s="39"/>
      <c r="N15" s="41"/>
      <c r="O15" s="39">
        <v>4200</v>
      </c>
      <c r="P15" s="39">
        <v>4200</v>
      </c>
      <c r="Q15" s="39" t="s">
        <v>1454</v>
      </c>
      <c r="R15" s="41"/>
      <c r="S15" s="56">
        <v>35000</v>
      </c>
      <c r="T15" s="56">
        <v>5000</v>
      </c>
      <c r="U15" s="78" t="s">
        <v>608</v>
      </c>
      <c r="V15" s="121">
        <v>5000</v>
      </c>
      <c r="W15" s="112" t="s">
        <v>1756</v>
      </c>
      <c r="X15" s="39"/>
      <c r="Y15" s="42"/>
      <c r="Z15" s="39"/>
      <c r="AA15" s="42"/>
      <c r="AB15" s="39"/>
      <c r="AC15" s="42"/>
      <c r="AD15" s="39"/>
      <c r="AE15" s="39"/>
      <c r="AF15" s="77">
        <f>S15-T15-V15-X15-Z15-AB15-AD15</f>
        <v>25000</v>
      </c>
      <c r="AG15" s="76"/>
      <c r="AH15" s="76"/>
      <c r="AI15" s="149">
        <f>+T15+V15+X15+Z15+AB15+AD15</f>
        <v>10000</v>
      </c>
      <c r="AJ15" s="145">
        <f t="shared" si="0"/>
        <v>25000</v>
      </c>
      <c r="AK15" s="180">
        <v>5000</v>
      </c>
    </row>
    <row r="16" spans="1:37" ht="34.5" customHeight="1" x14ac:dyDescent="0.25">
      <c r="A16" s="27" t="s">
        <v>74</v>
      </c>
      <c r="B16" s="44">
        <v>15</v>
      </c>
      <c r="C16" s="44" t="s">
        <v>152</v>
      </c>
      <c r="D16" s="44" t="s">
        <v>46</v>
      </c>
      <c r="E16" s="56">
        <v>392</v>
      </c>
      <c r="F16" s="44" t="s">
        <v>40</v>
      </c>
      <c r="G16" s="46"/>
      <c r="H16" s="44" t="s">
        <v>32</v>
      </c>
      <c r="I16" s="44" t="s">
        <v>49</v>
      </c>
      <c r="J16" s="44" t="s">
        <v>33</v>
      </c>
      <c r="K16" s="44"/>
      <c r="L16" s="44"/>
      <c r="M16" s="44"/>
      <c r="N16" s="142"/>
      <c r="O16" s="39">
        <v>4200</v>
      </c>
      <c r="P16" s="39">
        <v>4200</v>
      </c>
      <c r="Q16" s="39" t="s">
        <v>1717</v>
      </c>
      <c r="R16" s="41"/>
      <c r="S16" s="44">
        <v>35000</v>
      </c>
      <c r="T16" s="44">
        <v>20000</v>
      </c>
      <c r="U16" s="48" t="s">
        <v>208</v>
      </c>
      <c r="V16" s="44"/>
      <c r="W16" s="53"/>
      <c r="X16" s="53"/>
      <c r="Y16" s="53"/>
      <c r="Z16" s="53"/>
      <c r="AA16" s="53"/>
      <c r="AB16" s="53"/>
      <c r="AC16" s="53"/>
      <c r="AD16" s="44"/>
      <c r="AE16" s="44"/>
      <c r="AF16" s="72">
        <f>S16-T16-V16-X16-Z16-AB16-AD16</f>
        <v>15000</v>
      </c>
      <c r="AG16" s="73"/>
      <c r="AH16" s="73"/>
      <c r="AI16" s="148">
        <f>+T16+V16+X16+Z16+AB16+AD16</f>
        <v>20000</v>
      </c>
      <c r="AJ16" s="145">
        <f t="shared" si="0"/>
        <v>15000</v>
      </c>
      <c r="AK16" s="179">
        <v>10000</v>
      </c>
    </row>
    <row r="17" spans="1:43" ht="37.5" customHeight="1" x14ac:dyDescent="0.25">
      <c r="A17" s="27"/>
      <c r="B17" s="44">
        <v>16</v>
      </c>
      <c r="C17" s="44" t="s">
        <v>159</v>
      </c>
      <c r="D17" s="44" t="s">
        <v>160</v>
      </c>
      <c r="E17" s="56">
        <v>405</v>
      </c>
      <c r="F17" s="44" t="s">
        <v>39</v>
      </c>
      <c r="G17" s="46" t="s">
        <v>161</v>
      </c>
      <c r="H17" s="44" t="s">
        <v>162</v>
      </c>
      <c r="I17" s="44" t="s">
        <v>163</v>
      </c>
      <c r="J17" s="44" t="s">
        <v>33</v>
      </c>
      <c r="K17" s="44"/>
      <c r="L17" s="44"/>
      <c r="M17" s="44"/>
      <c r="N17" s="142"/>
      <c r="O17" s="39"/>
      <c r="P17" s="39"/>
      <c r="Q17" s="39"/>
      <c r="R17" s="41"/>
      <c r="S17" s="44">
        <v>35000</v>
      </c>
      <c r="T17" s="44">
        <v>35000</v>
      </c>
      <c r="U17" s="48" t="s">
        <v>167</v>
      </c>
      <c r="V17" s="44"/>
      <c r="W17" s="67"/>
      <c r="X17" s="53"/>
      <c r="Y17" s="67"/>
      <c r="Z17" s="53"/>
      <c r="AA17" s="67"/>
      <c r="AB17" s="53"/>
      <c r="AC17" s="67"/>
      <c r="AD17" s="44"/>
      <c r="AE17" s="153"/>
      <c r="AF17" s="72">
        <f>S17-T17-V17-X17-Z17-AB17</f>
        <v>0</v>
      </c>
      <c r="AG17" s="73"/>
      <c r="AH17" s="73"/>
      <c r="AI17" s="148">
        <f t="shared" si="1"/>
        <v>35000</v>
      </c>
      <c r="AJ17" s="145">
        <f t="shared" si="0"/>
        <v>0</v>
      </c>
      <c r="AK17" s="179">
        <v>7500</v>
      </c>
    </row>
    <row r="18" spans="1:43" ht="46.5" customHeight="1" x14ac:dyDescent="0.25">
      <c r="A18" s="27"/>
      <c r="B18" s="44">
        <v>17</v>
      </c>
      <c r="C18" s="44" t="s">
        <v>164</v>
      </c>
      <c r="D18" s="44" t="s">
        <v>160</v>
      </c>
      <c r="E18" s="56">
        <v>442</v>
      </c>
      <c r="F18" s="44" t="s">
        <v>39</v>
      </c>
      <c r="G18" s="46" t="s">
        <v>165</v>
      </c>
      <c r="H18" s="44" t="s">
        <v>181</v>
      </c>
      <c r="I18" s="56" t="s">
        <v>166</v>
      </c>
      <c r="J18" s="44" t="s">
        <v>33</v>
      </c>
      <c r="K18" s="44"/>
      <c r="L18" s="44"/>
      <c r="M18" s="44"/>
      <c r="N18" s="142"/>
      <c r="O18" s="39">
        <v>4200</v>
      </c>
      <c r="P18" s="39">
        <v>4200</v>
      </c>
      <c r="Q18" s="39" t="s">
        <v>1502</v>
      </c>
      <c r="R18" s="41"/>
      <c r="S18" s="44">
        <v>30000</v>
      </c>
      <c r="T18" s="44">
        <v>1000</v>
      </c>
      <c r="U18" s="48" t="s">
        <v>168</v>
      </c>
      <c r="V18" s="53"/>
      <c r="W18" s="53"/>
      <c r="X18" s="53"/>
      <c r="Y18" s="53"/>
      <c r="Z18" s="53"/>
      <c r="AA18" s="53"/>
      <c r="AB18" s="53"/>
      <c r="AC18" s="53"/>
      <c r="AD18" s="44"/>
      <c r="AE18" s="44"/>
      <c r="AF18" s="72">
        <f>S18-T18-V18-X18-Z18-AB18-AD18</f>
        <v>29000</v>
      </c>
      <c r="AG18" s="73"/>
      <c r="AH18" s="73"/>
      <c r="AI18" s="148">
        <f>+T18+V18+X18+Z18+AB18+AD18</f>
        <v>1000</v>
      </c>
      <c r="AJ18" s="145">
        <f t="shared" si="0"/>
        <v>29000</v>
      </c>
      <c r="AK18" s="115"/>
    </row>
    <row r="19" spans="1:43" ht="51" customHeight="1" x14ac:dyDescent="0.25">
      <c r="A19" s="27"/>
      <c r="B19" s="44">
        <v>18</v>
      </c>
      <c r="C19" s="44" t="s">
        <v>178</v>
      </c>
      <c r="D19" s="44" t="s">
        <v>179</v>
      </c>
      <c r="E19" s="56">
        <v>383</v>
      </c>
      <c r="F19" s="44"/>
      <c r="G19" s="46" t="s">
        <v>180</v>
      </c>
      <c r="H19" s="44" t="s">
        <v>181</v>
      </c>
      <c r="I19" s="56" t="s">
        <v>166</v>
      </c>
      <c r="J19" s="44" t="s">
        <v>33</v>
      </c>
      <c r="K19" s="44"/>
      <c r="L19" s="44"/>
      <c r="M19" s="44"/>
      <c r="N19" s="142"/>
      <c r="O19" s="39">
        <v>4200</v>
      </c>
      <c r="P19" s="39">
        <v>4200</v>
      </c>
      <c r="Q19" s="39" t="s">
        <v>1444</v>
      </c>
      <c r="R19" s="41"/>
      <c r="S19" s="44">
        <v>30000</v>
      </c>
      <c r="T19" s="44">
        <v>5000</v>
      </c>
      <c r="U19" s="48" t="s">
        <v>182</v>
      </c>
      <c r="V19" s="44">
        <v>5000</v>
      </c>
      <c r="W19" s="53" t="s">
        <v>1742</v>
      </c>
      <c r="X19" s="53"/>
      <c r="Y19" s="53"/>
      <c r="Z19" s="53"/>
      <c r="AA19" s="53"/>
      <c r="AB19" s="53"/>
      <c r="AC19" s="53"/>
      <c r="AD19" s="44"/>
      <c r="AE19" s="44"/>
      <c r="AF19" s="72">
        <f>S19-T19-V19-X19-Z19-AB19</f>
        <v>20000</v>
      </c>
      <c r="AG19" s="73"/>
      <c r="AH19" s="73"/>
      <c r="AI19" s="148">
        <f t="shared" si="1"/>
        <v>10000</v>
      </c>
      <c r="AJ19" s="145">
        <f t="shared" si="0"/>
        <v>20000</v>
      </c>
      <c r="AK19" s="115"/>
    </row>
    <row r="20" spans="1:43" ht="37.5" customHeight="1" x14ac:dyDescent="0.25">
      <c r="A20" s="27"/>
      <c r="B20" s="44">
        <v>19</v>
      </c>
      <c r="C20" s="44" t="s">
        <v>183</v>
      </c>
      <c r="D20" s="44" t="s">
        <v>184</v>
      </c>
      <c r="E20" s="56">
        <v>431</v>
      </c>
      <c r="F20" s="44" t="s">
        <v>727</v>
      </c>
      <c r="G20" s="46" t="s">
        <v>185</v>
      </c>
      <c r="H20" s="44" t="s">
        <v>186</v>
      </c>
      <c r="I20" s="56" t="s">
        <v>125</v>
      </c>
      <c r="J20" s="44" t="s">
        <v>187</v>
      </c>
      <c r="K20" s="44"/>
      <c r="L20" s="44"/>
      <c r="M20" s="44"/>
      <c r="N20" s="142"/>
      <c r="O20" s="39">
        <v>4200</v>
      </c>
      <c r="P20" s="39">
        <v>4200</v>
      </c>
      <c r="Q20" s="39" t="s">
        <v>1499</v>
      </c>
      <c r="R20" s="41"/>
      <c r="S20" s="44">
        <v>25000</v>
      </c>
      <c r="T20" s="44">
        <v>3000</v>
      </c>
      <c r="U20" s="48" t="s">
        <v>204</v>
      </c>
      <c r="V20" s="53">
        <v>5000</v>
      </c>
      <c r="W20" s="53" t="s">
        <v>973</v>
      </c>
      <c r="X20" s="53">
        <v>5000</v>
      </c>
      <c r="Y20" s="53" t="s">
        <v>1771</v>
      </c>
      <c r="Z20" s="53"/>
      <c r="AA20" s="53"/>
      <c r="AB20" s="53"/>
      <c r="AC20" s="53"/>
      <c r="AD20" s="44"/>
      <c r="AE20" s="44"/>
      <c r="AF20" s="72">
        <f>S20-T20-V20-X20-Z20-AB20-AD20</f>
        <v>12000</v>
      </c>
      <c r="AG20" s="73"/>
      <c r="AH20" s="73"/>
      <c r="AI20" s="148">
        <f t="shared" si="1"/>
        <v>13000</v>
      </c>
      <c r="AJ20" s="145">
        <f t="shared" si="0"/>
        <v>12000</v>
      </c>
      <c r="AK20" s="115">
        <v>5000</v>
      </c>
    </row>
    <row r="21" spans="1:43" ht="37.5" customHeight="1" x14ac:dyDescent="0.25">
      <c r="A21" s="27"/>
      <c r="B21" s="44">
        <v>20</v>
      </c>
      <c r="C21" s="44" t="s">
        <v>188</v>
      </c>
      <c r="D21" s="166" t="s">
        <v>189</v>
      </c>
      <c r="E21" s="44">
        <v>345</v>
      </c>
      <c r="F21" s="44" t="s">
        <v>39</v>
      </c>
      <c r="G21" s="46" t="s">
        <v>190</v>
      </c>
      <c r="H21" s="44" t="s">
        <v>191</v>
      </c>
      <c r="I21" s="56" t="s">
        <v>125</v>
      </c>
      <c r="J21" s="44" t="s">
        <v>192</v>
      </c>
      <c r="K21" s="44"/>
      <c r="L21" s="44"/>
      <c r="M21" s="44"/>
      <c r="N21" s="142"/>
      <c r="O21" s="39">
        <v>4200</v>
      </c>
      <c r="P21" s="39">
        <v>4200</v>
      </c>
      <c r="Q21" s="39" t="s">
        <v>1599</v>
      </c>
      <c r="R21" s="41"/>
      <c r="S21" s="44">
        <v>30000</v>
      </c>
      <c r="T21" s="44">
        <v>1000</v>
      </c>
      <c r="U21" s="48" t="s">
        <v>607</v>
      </c>
      <c r="V21" s="53">
        <v>10000</v>
      </c>
      <c r="W21" s="119" t="s">
        <v>1678</v>
      </c>
      <c r="X21" s="53"/>
      <c r="Y21" s="53"/>
      <c r="Z21" s="53"/>
      <c r="AA21" s="53"/>
      <c r="AB21" s="53"/>
      <c r="AC21" s="53"/>
      <c r="AD21" s="44"/>
      <c r="AE21" s="44"/>
      <c r="AF21" s="72">
        <f>S21-T21-V21-X21-Z21-AB21-AD21</f>
        <v>19000</v>
      </c>
      <c r="AG21" s="73"/>
      <c r="AH21" s="73"/>
      <c r="AI21" s="148">
        <f>+T21+V21+X21+Z21+AB21+AD21</f>
        <v>11000</v>
      </c>
      <c r="AJ21" s="145">
        <f t="shared" si="0"/>
        <v>19000</v>
      </c>
      <c r="AK21" s="179">
        <v>5000</v>
      </c>
    </row>
    <row r="22" spans="1:43" ht="37.5" customHeight="1" x14ac:dyDescent="0.25">
      <c r="A22" s="27"/>
      <c r="B22" s="44">
        <v>21</v>
      </c>
      <c r="C22" s="44" t="s">
        <v>213</v>
      </c>
      <c r="D22" s="44" t="s">
        <v>214</v>
      </c>
      <c r="E22" s="56">
        <v>470</v>
      </c>
      <c r="F22" s="44" t="s">
        <v>215</v>
      </c>
      <c r="G22" s="46" t="s">
        <v>216</v>
      </c>
      <c r="H22" s="44" t="s">
        <v>37</v>
      </c>
      <c r="I22" s="44" t="s">
        <v>217</v>
      </c>
      <c r="J22" s="44" t="s">
        <v>218</v>
      </c>
      <c r="K22" s="44"/>
      <c r="L22" s="44"/>
      <c r="M22" s="44"/>
      <c r="N22" s="142"/>
      <c r="O22" s="39">
        <v>4200</v>
      </c>
      <c r="P22" s="39">
        <v>4200</v>
      </c>
      <c r="Q22" s="39" t="s">
        <v>1284</v>
      </c>
      <c r="R22" s="41"/>
      <c r="S22" s="44">
        <v>50000</v>
      </c>
      <c r="T22" s="44">
        <v>10000</v>
      </c>
      <c r="U22" s="48" t="s">
        <v>219</v>
      </c>
      <c r="V22" s="53">
        <v>10000</v>
      </c>
      <c r="W22" s="53" t="s">
        <v>661</v>
      </c>
      <c r="X22" s="53">
        <v>10000</v>
      </c>
      <c r="Y22" s="53" t="s">
        <v>1707</v>
      </c>
      <c r="Z22" s="53"/>
      <c r="AA22" s="53"/>
      <c r="AB22" s="53"/>
      <c r="AC22" s="53"/>
      <c r="AD22" s="44"/>
      <c r="AE22" s="44"/>
      <c r="AF22" s="72">
        <f>S22-T22-V22-X22-Z22-AB22-AD22</f>
        <v>20000</v>
      </c>
      <c r="AG22" s="73"/>
      <c r="AH22" s="73"/>
      <c r="AI22" s="148">
        <f>+T22+V22+X22+Z22+AB22+AD22</f>
        <v>30000</v>
      </c>
      <c r="AJ22" s="145">
        <f t="shared" si="0"/>
        <v>20000</v>
      </c>
      <c r="AK22" s="179">
        <v>5000</v>
      </c>
    </row>
    <row r="23" spans="1:43" ht="37.5" customHeight="1" x14ac:dyDescent="0.25">
      <c r="A23" s="27"/>
      <c r="B23" s="44">
        <v>22</v>
      </c>
      <c r="C23" s="44" t="s">
        <v>220</v>
      </c>
      <c r="D23" s="44" t="s">
        <v>179</v>
      </c>
      <c r="E23" s="56">
        <v>431</v>
      </c>
      <c r="F23" s="44" t="s">
        <v>589</v>
      </c>
      <c r="G23" s="46" t="s">
        <v>221</v>
      </c>
      <c r="H23" s="44" t="s">
        <v>222</v>
      </c>
      <c r="I23" s="44" t="s">
        <v>223</v>
      </c>
      <c r="J23" s="44" t="s">
        <v>224</v>
      </c>
      <c r="K23" s="44"/>
      <c r="L23" s="44"/>
      <c r="M23" s="44"/>
      <c r="N23" s="142"/>
      <c r="O23" s="39">
        <v>4200</v>
      </c>
      <c r="P23" s="39">
        <v>4200</v>
      </c>
      <c r="Q23" s="39" t="s">
        <v>1526</v>
      </c>
      <c r="R23" s="41"/>
      <c r="S23" s="44">
        <v>10000</v>
      </c>
      <c r="T23" s="44">
        <v>5000</v>
      </c>
      <c r="U23" s="48" t="s">
        <v>225</v>
      </c>
      <c r="V23" s="44"/>
      <c r="W23" s="53"/>
      <c r="X23" s="53"/>
      <c r="Y23" s="53"/>
      <c r="Z23" s="53"/>
      <c r="AA23" s="53"/>
      <c r="AB23" s="53"/>
      <c r="AC23" s="53"/>
      <c r="AD23" s="44"/>
      <c r="AE23" s="44"/>
      <c r="AF23" s="72">
        <f>S23-T23-V23-X23-Z23-AB23</f>
        <v>5000</v>
      </c>
      <c r="AG23" s="73"/>
      <c r="AH23" s="73"/>
      <c r="AI23" s="152">
        <f t="shared" si="1"/>
        <v>5000</v>
      </c>
      <c r="AJ23" s="145">
        <f t="shared" si="0"/>
        <v>5000</v>
      </c>
      <c r="AK23" s="115">
        <v>500</v>
      </c>
    </row>
    <row r="24" spans="1:43" s="12" customFormat="1" ht="47.25" customHeight="1" x14ac:dyDescent="0.25">
      <c r="A24" s="27"/>
      <c r="B24" s="44">
        <v>23</v>
      </c>
      <c r="C24" s="107" t="s">
        <v>238</v>
      </c>
      <c r="D24" s="56" t="s">
        <v>239</v>
      </c>
      <c r="E24" s="56">
        <v>318</v>
      </c>
      <c r="F24" s="44" t="s">
        <v>589</v>
      </c>
      <c r="G24" s="57" t="s">
        <v>240</v>
      </c>
      <c r="H24" s="56" t="s">
        <v>241</v>
      </c>
      <c r="I24" s="56" t="s">
        <v>125</v>
      </c>
      <c r="J24" s="58" t="s">
        <v>33</v>
      </c>
      <c r="K24" s="39"/>
      <c r="L24" s="39"/>
      <c r="M24" s="39"/>
      <c r="N24" s="41"/>
      <c r="O24" s="39">
        <v>4200</v>
      </c>
      <c r="P24" s="39">
        <v>4200</v>
      </c>
      <c r="Q24" s="39" t="s">
        <v>1461</v>
      </c>
      <c r="R24" s="41"/>
      <c r="S24" s="56">
        <v>25000</v>
      </c>
      <c r="T24" s="56">
        <v>5000</v>
      </c>
      <c r="U24" s="131" t="s">
        <v>242</v>
      </c>
      <c r="V24" s="58">
        <v>2000</v>
      </c>
      <c r="W24" s="79" t="s">
        <v>591</v>
      </c>
      <c r="X24" s="39">
        <v>2000</v>
      </c>
      <c r="Y24" s="42" t="s">
        <v>845</v>
      </c>
      <c r="Z24" s="39">
        <v>2000</v>
      </c>
      <c r="AA24" s="42" t="s">
        <v>1060</v>
      </c>
      <c r="AB24" s="39">
        <v>3000</v>
      </c>
      <c r="AC24" s="42" t="s">
        <v>1684</v>
      </c>
      <c r="AD24" s="39"/>
      <c r="AE24" s="39"/>
      <c r="AF24" s="77">
        <f t="shared" ref="AF24:AF29" si="2">S24-T24-V24-X24-Z24-AB24-AD24</f>
        <v>11000</v>
      </c>
      <c r="AG24" s="76"/>
      <c r="AH24" s="76"/>
      <c r="AI24" s="149">
        <f t="shared" ref="AI24:AI29" si="3">+T24+V24+X24+Z24+AB24+AD24</f>
        <v>14000</v>
      </c>
      <c r="AJ24" s="145">
        <f t="shared" si="0"/>
        <v>11000</v>
      </c>
      <c r="AK24" s="115">
        <v>5000</v>
      </c>
      <c r="AL24" s="115"/>
      <c r="AM24" s="115"/>
      <c r="AN24" s="115"/>
      <c r="AO24" s="115"/>
      <c r="AP24" s="115"/>
      <c r="AQ24" s="115"/>
    </row>
    <row r="25" spans="1:43" ht="37.5" customHeight="1" x14ac:dyDescent="0.25">
      <c r="A25" s="27"/>
      <c r="B25" s="44">
        <v>24</v>
      </c>
      <c r="C25" s="56" t="s">
        <v>243</v>
      </c>
      <c r="D25" s="56" t="s">
        <v>244</v>
      </c>
      <c r="E25" s="56">
        <v>354</v>
      </c>
      <c r="F25" s="56" t="s">
        <v>40</v>
      </c>
      <c r="G25" s="57" t="s">
        <v>245</v>
      </c>
      <c r="H25" s="56" t="s">
        <v>246</v>
      </c>
      <c r="I25" s="56" t="s">
        <v>247</v>
      </c>
      <c r="J25" s="58" t="s">
        <v>118</v>
      </c>
      <c r="K25" s="39"/>
      <c r="L25" s="39"/>
      <c r="M25" s="39"/>
      <c r="N25" s="41"/>
      <c r="O25" s="39">
        <v>4200</v>
      </c>
      <c r="P25" s="39">
        <v>4200</v>
      </c>
      <c r="Q25" s="39" t="s">
        <v>1283</v>
      </c>
      <c r="R25" s="41"/>
      <c r="S25" s="56">
        <v>25000</v>
      </c>
      <c r="T25" s="56">
        <v>3000</v>
      </c>
      <c r="U25" s="132" t="s">
        <v>248</v>
      </c>
      <c r="V25" s="58">
        <v>2000</v>
      </c>
      <c r="W25" s="79" t="s">
        <v>687</v>
      </c>
      <c r="X25" s="39">
        <v>2000</v>
      </c>
      <c r="Y25" s="68" t="s">
        <v>975</v>
      </c>
      <c r="Z25" s="39">
        <v>2000</v>
      </c>
      <c r="AA25" s="116" t="s">
        <v>1122</v>
      </c>
      <c r="AB25" s="39">
        <v>5000</v>
      </c>
      <c r="AC25" s="68" t="s">
        <v>1660</v>
      </c>
      <c r="AD25" s="39"/>
      <c r="AE25" s="39"/>
      <c r="AF25" s="77">
        <f t="shared" si="2"/>
        <v>11000</v>
      </c>
      <c r="AG25" s="76"/>
      <c r="AH25" s="76"/>
      <c r="AI25" s="149">
        <f t="shared" si="3"/>
        <v>14000</v>
      </c>
      <c r="AJ25" s="145">
        <f t="shared" si="0"/>
        <v>11000</v>
      </c>
      <c r="AK25" s="115">
        <v>5000</v>
      </c>
    </row>
    <row r="26" spans="1:43" s="12" customFormat="1" ht="37.5" customHeight="1" x14ac:dyDescent="0.25">
      <c r="A26" s="27"/>
      <c r="B26" s="44">
        <v>25</v>
      </c>
      <c r="C26" s="56" t="s">
        <v>249</v>
      </c>
      <c r="D26" s="56" t="s">
        <v>250</v>
      </c>
      <c r="E26" s="56">
        <v>400</v>
      </c>
      <c r="F26" s="56" t="s">
        <v>40</v>
      </c>
      <c r="G26" s="57" t="s">
        <v>251</v>
      </c>
      <c r="H26" s="56" t="s">
        <v>252</v>
      </c>
      <c r="I26" s="56" t="s">
        <v>49</v>
      </c>
      <c r="J26" s="58"/>
      <c r="K26" s="39"/>
      <c r="L26" s="39"/>
      <c r="M26" s="39"/>
      <c r="N26" s="41"/>
      <c r="O26" s="39">
        <v>4200</v>
      </c>
      <c r="P26" s="39">
        <v>4200</v>
      </c>
      <c r="Q26" s="39" t="s">
        <v>1481</v>
      </c>
      <c r="R26" s="41"/>
      <c r="S26" s="56">
        <v>30000</v>
      </c>
      <c r="T26" s="56">
        <v>3000</v>
      </c>
      <c r="U26" s="131" t="s">
        <v>253</v>
      </c>
      <c r="V26" s="58">
        <v>3000</v>
      </c>
      <c r="W26" s="112" t="s">
        <v>692</v>
      </c>
      <c r="X26" s="42">
        <v>3000</v>
      </c>
      <c r="Y26" s="42" t="s">
        <v>974</v>
      </c>
      <c r="Z26" s="42">
        <v>3000</v>
      </c>
      <c r="AA26" s="116" t="s">
        <v>1110</v>
      </c>
      <c r="AB26" s="42">
        <v>3000</v>
      </c>
      <c r="AC26" s="42" t="s">
        <v>1477</v>
      </c>
      <c r="AD26" s="39">
        <v>3000</v>
      </c>
      <c r="AE26" s="39"/>
      <c r="AF26" s="77">
        <f t="shared" si="2"/>
        <v>12000</v>
      </c>
      <c r="AG26" s="76"/>
      <c r="AH26" s="76"/>
      <c r="AI26" s="149">
        <f t="shared" si="3"/>
        <v>18000</v>
      </c>
      <c r="AJ26" s="145">
        <f t="shared" si="0"/>
        <v>12000</v>
      </c>
      <c r="AK26" s="115"/>
      <c r="AL26" s="115"/>
      <c r="AM26" s="115"/>
      <c r="AN26" s="115"/>
      <c r="AO26" s="115"/>
      <c r="AP26" s="115"/>
      <c r="AQ26" s="115"/>
    </row>
    <row r="27" spans="1:43" ht="50.25" customHeight="1" x14ac:dyDescent="0.25">
      <c r="A27" s="27"/>
      <c r="B27" s="44">
        <v>26</v>
      </c>
      <c r="C27" s="44" t="s">
        <v>254</v>
      </c>
      <c r="D27" s="44" t="s">
        <v>255</v>
      </c>
      <c r="E27" s="56">
        <v>363</v>
      </c>
      <c r="F27" s="44" t="s">
        <v>589</v>
      </c>
      <c r="G27" s="46" t="s">
        <v>256</v>
      </c>
      <c r="H27" s="44" t="s">
        <v>257</v>
      </c>
      <c r="I27" s="44" t="s">
        <v>258</v>
      </c>
      <c r="J27" s="44"/>
      <c r="K27" s="44"/>
      <c r="L27" s="44"/>
      <c r="M27" s="44"/>
      <c r="N27" s="142"/>
      <c r="O27" s="39">
        <v>4200</v>
      </c>
      <c r="P27" s="39">
        <v>4200</v>
      </c>
      <c r="Q27" s="39" t="s">
        <v>1226</v>
      </c>
      <c r="R27" s="41"/>
      <c r="S27" s="44">
        <v>35000</v>
      </c>
      <c r="T27" s="44">
        <v>3000</v>
      </c>
      <c r="U27" s="48" t="s">
        <v>259</v>
      </c>
      <c r="V27" s="44">
        <v>5800</v>
      </c>
      <c r="W27" s="53" t="s">
        <v>1238</v>
      </c>
      <c r="X27" s="53">
        <v>7000</v>
      </c>
      <c r="Y27" s="53" t="s">
        <v>1237</v>
      </c>
      <c r="Z27" s="53"/>
      <c r="AA27" s="53"/>
      <c r="AB27" s="53"/>
      <c r="AC27" s="53"/>
      <c r="AD27" s="44"/>
      <c r="AE27" s="44"/>
      <c r="AF27" s="72">
        <f t="shared" si="2"/>
        <v>19200</v>
      </c>
      <c r="AG27" s="73"/>
      <c r="AH27" s="73"/>
      <c r="AI27" s="152">
        <f t="shared" si="3"/>
        <v>15800</v>
      </c>
      <c r="AJ27" s="145">
        <f t="shared" si="0"/>
        <v>19200</v>
      </c>
      <c r="AK27" s="115"/>
    </row>
    <row r="28" spans="1:43" ht="45" customHeight="1" x14ac:dyDescent="0.25">
      <c r="A28" s="27"/>
      <c r="B28" s="44">
        <v>27</v>
      </c>
      <c r="C28" s="44" t="s">
        <v>260</v>
      </c>
      <c r="D28" s="44" t="s">
        <v>261</v>
      </c>
      <c r="E28" s="56">
        <v>336</v>
      </c>
      <c r="F28" s="44" t="s">
        <v>40</v>
      </c>
      <c r="G28" s="46" t="s">
        <v>262</v>
      </c>
      <c r="H28" s="44" t="s">
        <v>263</v>
      </c>
      <c r="I28" s="56" t="s">
        <v>264</v>
      </c>
      <c r="J28" s="44"/>
      <c r="K28" s="44"/>
      <c r="L28" s="44"/>
      <c r="M28" s="44"/>
      <c r="N28" s="142"/>
      <c r="O28" s="39">
        <v>4200</v>
      </c>
      <c r="P28" s="39">
        <v>4200</v>
      </c>
      <c r="Q28" s="39" t="s">
        <v>1463</v>
      </c>
      <c r="R28" s="41"/>
      <c r="S28" s="44">
        <v>30000</v>
      </c>
      <c r="T28" s="44">
        <v>3000</v>
      </c>
      <c r="U28" s="48" t="s">
        <v>265</v>
      </c>
      <c r="V28" s="44">
        <v>10000</v>
      </c>
      <c r="W28" s="67" t="s">
        <v>834</v>
      </c>
      <c r="X28" s="44">
        <v>5000</v>
      </c>
      <c r="Y28" s="67" t="s">
        <v>1665</v>
      </c>
      <c r="Z28" s="44"/>
      <c r="AA28" s="67"/>
      <c r="AB28" s="44"/>
      <c r="AC28" s="53"/>
      <c r="AD28" s="44"/>
      <c r="AE28" s="44"/>
      <c r="AF28" s="72">
        <f t="shared" si="2"/>
        <v>12000</v>
      </c>
      <c r="AG28" s="73"/>
      <c r="AH28" s="73"/>
      <c r="AI28" s="149">
        <f t="shared" si="3"/>
        <v>18000</v>
      </c>
      <c r="AJ28" s="145">
        <f t="shared" si="0"/>
        <v>12000</v>
      </c>
      <c r="AK28" s="115" t="s">
        <v>59</v>
      </c>
    </row>
    <row r="29" spans="1:43" ht="34.5" customHeight="1" x14ac:dyDescent="0.25">
      <c r="A29" s="27"/>
      <c r="B29" s="44">
        <v>28</v>
      </c>
      <c r="C29" s="44" t="s">
        <v>266</v>
      </c>
      <c r="D29" s="44" t="s">
        <v>269</v>
      </c>
      <c r="E29" s="56">
        <v>467</v>
      </c>
      <c r="F29" s="44" t="s">
        <v>727</v>
      </c>
      <c r="G29" s="46" t="s">
        <v>267</v>
      </c>
      <c r="H29" s="44" t="s">
        <v>268</v>
      </c>
      <c r="I29" s="56" t="s">
        <v>270</v>
      </c>
      <c r="J29" s="44"/>
      <c r="K29" s="44"/>
      <c r="L29" s="44"/>
      <c r="M29" s="44"/>
      <c r="N29" s="142"/>
      <c r="O29" s="39">
        <v>4200</v>
      </c>
      <c r="P29" s="39">
        <v>4200</v>
      </c>
      <c r="Q29" s="39" t="s">
        <v>1352</v>
      </c>
      <c r="R29" s="41"/>
      <c r="S29" s="44">
        <v>10</v>
      </c>
      <c r="T29" s="44"/>
      <c r="U29" s="48"/>
      <c r="V29" s="53"/>
      <c r="W29" s="53"/>
      <c r="X29" s="53"/>
      <c r="Y29" s="53"/>
      <c r="Z29" s="53"/>
      <c r="AA29" s="53"/>
      <c r="AB29" s="53"/>
      <c r="AC29" s="53"/>
      <c r="AD29" s="44"/>
      <c r="AE29" s="44"/>
      <c r="AF29" s="72">
        <f t="shared" si="2"/>
        <v>10</v>
      </c>
      <c r="AG29" s="73"/>
      <c r="AH29" s="73"/>
      <c r="AI29" s="148">
        <f t="shared" si="3"/>
        <v>0</v>
      </c>
      <c r="AJ29" s="145">
        <f t="shared" si="0"/>
        <v>10</v>
      </c>
      <c r="AK29" s="115">
        <v>5000</v>
      </c>
      <c r="AM29" s="115" t="s">
        <v>60</v>
      </c>
      <c r="AN29" s="115" t="s">
        <v>61</v>
      </c>
    </row>
    <row r="30" spans="1:43" s="12" customFormat="1" ht="37.5" customHeight="1" x14ac:dyDescent="0.25">
      <c r="A30" s="27"/>
      <c r="B30" s="44">
        <v>29</v>
      </c>
      <c r="C30" s="56" t="s">
        <v>272</v>
      </c>
      <c r="D30" s="56" t="s">
        <v>20</v>
      </c>
      <c r="E30" s="56">
        <v>397</v>
      </c>
      <c r="F30" s="44" t="s">
        <v>40</v>
      </c>
      <c r="G30" s="103" t="s">
        <v>273</v>
      </c>
      <c r="H30" s="56" t="s">
        <v>274</v>
      </c>
      <c r="I30" s="56" t="s">
        <v>125</v>
      </c>
      <c r="J30" s="58" t="s">
        <v>275</v>
      </c>
      <c r="K30" s="39"/>
      <c r="L30" s="39"/>
      <c r="M30" s="39"/>
      <c r="N30" s="41"/>
      <c r="O30" s="39">
        <v>4200</v>
      </c>
      <c r="P30" s="39">
        <v>4200</v>
      </c>
      <c r="Q30" s="39" t="s">
        <v>1464</v>
      </c>
      <c r="R30" s="41"/>
      <c r="S30" s="56">
        <v>30000</v>
      </c>
      <c r="T30" s="58">
        <v>5000</v>
      </c>
      <c r="U30" s="133" t="s">
        <v>281</v>
      </c>
      <c r="V30" s="58">
        <v>10000</v>
      </c>
      <c r="W30" s="79" t="s">
        <v>1760</v>
      </c>
      <c r="X30" s="42"/>
      <c r="Y30" s="42"/>
      <c r="Z30" s="53"/>
      <c r="AA30" s="53"/>
      <c r="AB30" s="42"/>
      <c r="AC30" s="42"/>
      <c r="AD30" s="39"/>
      <c r="AE30" s="39"/>
      <c r="AF30" s="77">
        <f>S30-T30-V30-X30-Z30-AB30</f>
        <v>15000</v>
      </c>
      <c r="AG30" s="76"/>
      <c r="AH30" s="76"/>
      <c r="AI30" s="149">
        <f t="shared" si="1"/>
        <v>15000</v>
      </c>
      <c r="AJ30" s="145">
        <f t="shared" si="0"/>
        <v>15000</v>
      </c>
      <c r="AK30" s="115">
        <v>5000</v>
      </c>
      <c r="AL30" s="115"/>
      <c r="AM30" s="115"/>
      <c r="AN30" s="115"/>
      <c r="AO30" s="115"/>
      <c r="AP30" s="115"/>
      <c r="AQ30" s="115"/>
    </row>
    <row r="31" spans="1:43" ht="37.5" customHeight="1" x14ac:dyDescent="0.25">
      <c r="A31" s="27"/>
      <c r="B31" s="44">
        <v>30</v>
      </c>
      <c r="C31" s="44" t="s">
        <v>276</v>
      </c>
      <c r="D31" s="44" t="s">
        <v>19</v>
      </c>
      <c r="E31" s="56">
        <v>494</v>
      </c>
      <c r="F31" s="44" t="s">
        <v>727</v>
      </c>
      <c r="G31" s="46" t="s">
        <v>277</v>
      </c>
      <c r="H31" s="44" t="s">
        <v>278</v>
      </c>
      <c r="I31" s="44" t="s">
        <v>163</v>
      </c>
      <c r="J31" s="44" t="s">
        <v>279</v>
      </c>
      <c r="K31" s="44"/>
      <c r="L31" s="44"/>
      <c r="M31" s="44"/>
      <c r="N31" s="142"/>
      <c r="O31" s="39">
        <v>4200</v>
      </c>
      <c r="P31" s="39">
        <v>4200</v>
      </c>
      <c r="Q31" s="39" t="s">
        <v>1350</v>
      </c>
      <c r="R31" s="41"/>
      <c r="S31" s="44">
        <v>20000</v>
      </c>
      <c r="T31" s="44">
        <v>20000</v>
      </c>
      <c r="U31" s="48" t="s">
        <v>280</v>
      </c>
      <c r="V31" s="44"/>
      <c r="W31" s="53"/>
      <c r="X31" s="53"/>
      <c r="Y31" s="53"/>
      <c r="Z31" s="53"/>
      <c r="AA31" s="53"/>
      <c r="AB31" s="53"/>
      <c r="AC31" s="53"/>
      <c r="AD31" s="44"/>
      <c r="AE31" s="44"/>
      <c r="AF31" s="72">
        <f>S31-T31-V31-X31-Z31-AB31</f>
        <v>0</v>
      </c>
      <c r="AG31" s="73"/>
      <c r="AH31" s="73"/>
      <c r="AI31" s="148">
        <f t="shared" si="1"/>
        <v>20000</v>
      </c>
      <c r="AJ31" s="145">
        <f t="shared" si="0"/>
        <v>0</v>
      </c>
      <c r="AK31" s="115"/>
    </row>
    <row r="32" spans="1:43" ht="37.5" customHeight="1" x14ac:dyDescent="0.25">
      <c r="A32" s="27"/>
      <c r="B32" s="44">
        <v>31</v>
      </c>
      <c r="C32" s="44" t="s">
        <v>282</v>
      </c>
      <c r="D32" s="44" t="s">
        <v>283</v>
      </c>
      <c r="E32" s="56">
        <v>351</v>
      </c>
      <c r="F32" s="44" t="s">
        <v>727</v>
      </c>
      <c r="G32" s="46" t="s">
        <v>284</v>
      </c>
      <c r="H32" s="44" t="s">
        <v>285</v>
      </c>
      <c r="I32" s="44" t="s">
        <v>49</v>
      </c>
      <c r="J32" s="44" t="s">
        <v>286</v>
      </c>
      <c r="K32" s="44"/>
      <c r="L32" s="44"/>
      <c r="M32" s="44"/>
      <c r="N32" s="142"/>
      <c r="O32" s="39">
        <v>4200</v>
      </c>
      <c r="P32" s="39">
        <v>4200</v>
      </c>
      <c r="Q32" s="39" t="s">
        <v>1522</v>
      </c>
      <c r="R32" s="41"/>
      <c r="S32" s="44">
        <v>20000</v>
      </c>
      <c r="T32" s="44">
        <v>5000</v>
      </c>
      <c r="U32" s="48" t="s">
        <v>287</v>
      </c>
      <c r="V32" s="44">
        <v>5000</v>
      </c>
      <c r="W32" s="53" t="s">
        <v>1789</v>
      </c>
      <c r="X32" s="53"/>
      <c r="Y32" s="119"/>
      <c r="Z32" s="53"/>
      <c r="AA32" s="53"/>
      <c r="AB32" s="53"/>
      <c r="AC32" s="53"/>
      <c r="AD32" s="44"/>
      <c r="AE32" s="44"/>
      <c r="AF32" s="72">
        <f>S32-T32-V32-X32-Z32-AB32-AD32</f>
        <v>10000</v>
      </c>
      <c r="AG32" s="73"/>
      <c r="AH32" s="73"/>
      <c r="AI32" s="148">
        <f>+T32+V32+X32+Z32+AB32+AD32</f>
        <v>10000</v>
      </c>
      <c r="AJ32" s="145">
        <f t="shared" si="0"/>
        <v>10000</v>
      </c>
      <c r="AK32" s="115"/>
    </row>
    <row r="33" spans="1:49" ht="37.5" customHeight="1" x14ac:dyDescent="0.25">
      <c r="A33" s="27"/>
      <c r="B33" s="44">
        <v>32</v>
      </c>
      <c r="C33" s="44" t="s">
        <v>299</v>
      </c>
      <c r="D33" s="44" t="s">
        <v>160</v>
      </c>
      <c r="E33" s="56">
        <v>449</v>
      </c>
      <c r="F33" s="44" t="s">
        <v>727</v>
      </c>
      <c r="G33" s="46" t="s">
        <v>300</v>
      </c>
      <c r="H33" s="44" t="s">
        <v>295</v>
      </c>
      <c r="I33" s="44" t="s">
        <v>301</v>
      </c>
      <c r="J33" s="44" t="s">
        <v>297</v>
      </c>
      <c r="K33" s="44"/>
      <c r="L33" s="44"/>
      <c r="M33" s="44"/>
      <c r="N33" s="142"/>
      <c r="O33" s="39">
        <v>4200</v>
      </c>
      <c r="P33" s="39">
        <v>4200</v>
      </c>
      <c r="Q33" s="39" t="s">
        <v>1354</v>
      </c>
      <c r="R33" s="41"/>
      <c r="S33" s="44">
        <v>35000</v>
      </c>
      <c r="T33" s="44">
        <v>2500</v>
      </c>
      <c r="U33" s="48" t="s">
        <v>302</v>
      </c>
      <c r="V33" s="44"/>
      <c r="W33" s="53"/>
      <c r="X33" s="53"/>
      <c r="Y33" s="53"/>
      <c r="Z33" s="53"/>
      <c r="AA33" s="53"/>
      <c r="AB33" s="53"/>
      <c r="AC33" s="53"/>
      <c r="AD33" s="44"/>
      <c r="AE33" s="44"/>
      <c r="AF33" s="72">
        <f>S33-T33-V33-X33-Z33-AB33</f>
        <v>32500</v>
      </c>
      <c r="AG33" s="73"/>
      <c r="AH33" s="73"/>
      <c r="AI33" s="148">
        <f t="shared" si="1"/>
        <v>2500</v>
      </c>
      <c r="AJ33" s="145">
        <f t="shared" si="0"/>
        <v>32500</v>
      </c>
      <c r="AK33" s="179">
        <v>5000</v>
      </c>
    </row>
    <row r="34" spans="1:49" ht="37.5" customHeight="1" x14ac:dyDescent="0.25">
      <c r="A34" s="27"/>
      <c r="B34" s="44">
        <v>34</v>
      </c>
      <c r="C34" s="44" t="s">
        <v>311</v>
      </c>
      <c r="D34" s="44" t="s">
        <v>312</v>
      </c>
      <c r="E34" s="56">
        <v>401</v>
      </c>
      <c r="F34" s="44" t="s">
        <v>727</v>
      </c>
      <c r="G34" s="46" t="s">
        <v>313</v>
      </c>
      <c r="H34" s="44" t="s">
        <v>314</v>
      </c>
      <c r="I34" s="44" t="s">
        <v>315</v>
      </c>
      <c r="J34" s="44" t="s">
        <v>316</v>
      </c>
      <c r="K34" s="44"/>
      <c r="L34" s="44"/>
      <c r="M34" s="44"/>
      <c r="N34" s="142"/>
      <c r="O34" s="39">
        <v>4200</v>
      </c>
      <c r="P34" s="39">
        <v>4200</v>
      </c>
      <c r="Q34" s="39" t="s">
        <v>1349</v>
      </c>
      <c r="R34" s="41"/>
      <c r="S34" s="44">
        <v>42000</v>
      </c>
      <c r="T34" s="44">
        <v>5000</v>
      </c>
      <c r="U34" s="48" t="s">
        <v>317</v>
      </c>
      <c r="V34" s="53">
        <v>5000</v>
      </c>
      <c r="W34" s="53" t="s">
        <v>850</v>
      </c>
      <c r="X34" s="53">
        <v>5000</v>
      </c>
      <c r="Y34" s="53" t="s">
        <v>1628</v>
      </c>
      <c r="Z34" s="53"/>
      <c r="AA34" s="53"/>
      <c r="AB34" s="53"/>
      <c r="AC34" s="53"/>
      <c r="AD34" s="44"/>
      <c r="AE34" s="44"/>
      <c r="AF34" s="72">
        <f>S34-T34-V34-X34-Z34-AB34</f>
        <v>27000</v>
      </c>
      <c r="AG34" s="73"/>
      <c r="AH34" s="73"/>
      <c r="AI34" s="148">
        <f t="shared" si="1"/>
        <v>15000</v>
      </c>
      <c r="AJ34" s="145">
        <f t="shared" si="0"/>
        <v>27000</v>
      </c>
      <c r="AK34" s="115" t="s">
        <v>62</v>
      </c>
      <c r="AM34" s="115" t="s">
        <v>63</v>
      </c>
      <c r="AN34" s="115" t="s">
        <v>64</v>
      </c>
    </row>
    <row r="35" spans="1:49" ht="33.75" customHeight="1" x14ac:dyDescent="0.25">
      <c r="A35" s="27"/>
      <c r="B35" s="44">
        <v>35</v>
      </c>
      <c r="C35" s="50" t="s">
        <v>318</v>
      </c>
      <c r="D35" s="44" t="s">
        <v>319</v>
      </c>
      <c r="E35" s="56">
        <v>392</v>
      </c>
      <c r="F35" s="44" t="s">
        <v>727</v>
      </c>
      <c r="G35" s="46" t="s">
        <v>320</v>
      </c>
      <c r="H35" s="44" t="s">
        <v>321</v>
      </c>
      <c r="I35" s="44"/>
      <c r="J35" s="44" t="s">
        <v>322</v>
      </c>
      <c r="K35" s="44"/>
      <c r="L35" s="44"/>
      <c r="M35" s="44"/>
      <c r="N35" s="142"/>
      <c r="O35" s="39">
        <v>4200</v>
      </c>
      <c r="P35" s="39">
        <v>4200</v>
      </c>
      <c r="Q35" s="39" t="s">
        <v>1480</v>
      </c>
      <c r="R35" s="41"/>
      <c r="S35" s="44">
        <v>35000</v>
      </c>
      <c r="T35" s="44">
        <v>5000</v>
      </c>
      <c r="U35" s="48" t="s">
        <v>326</v>
      </c>
      <c r="V35" s="44">
        <v>6000</v>
      </c>
      <c r="W35" s="53" t="s">
        <v>953</v>
      </c>
      <c r="X35" s="53">
        <v>10000</v>
      </c>
      <c r="Y35" s="53" t="s">
        <v>1683</v>
      </c>
      <c r="Z35" s="53"/>
      <c r="AA35" s="53"/>
      <c r="AB35" s="53"/>
      <c r="AC35" s="53"/>
      <c r="AD35" s="44"/>
      <c r="AE35" s="44"/>
      <c r="AF35" s="72">
        <f>S35-T35-V35-X35-Z35-AB35</f>
        <v>14000</v>
      </c>
      <c r="AG35" s="73"/>
      <c r="AH35" s="73"/>
      <c r="AI35" s="148">
        <f t="shared" si="1"/>
        <v>21000</v>
      </c>
      <c r="AJ35" s="145">
        <f t="shared" si="0"/>
        <v>14000</v>
      </c>
      <c r="AK35" s="115"/>
    </row>
    <row r="36" spans="1:49" ht="37.5" customHeight="1" x14ac:dyDescent="0.25">
      <c r="A36" s="27"/>
      <c r="B36" s="44">
        <v>36</v>
      </c>
      <c r="C36" s="56" t="s">
        <v>272</v>
      </c>
      <c r="D36" s="56" t="s">
        <v>330</v>
      </c>
      <c r="E36" s="56">
        <v>289</v>
      </c>
      <c r="F36" s="44" t="s">
        <v>40</v>
      </c>
      <c r="G36" s="57" t="s">
        <v>331</v>
      </c>
      <c r="H36" s="56" t="s">
        <v>37</v>
      </c>
      <c r="I36" s="56" t="s">
        <v>125</v>
      </c>
      <c r="J36" s="58" t="s">
        <v>332</v>
      </c>
      <c r="K36" s="39"/>
      <c r="L36" s="39"/>
      <c r="M36" s="39"/>
      <c r="N36" s="41"/>
      <c r="O36" s="39"/>
      <c r="P36" s="39"/>
      <c r="Q36" s="39"/>
      <c r="R36" s="41"/>
      <c r="S36" s="56">
        <v>28000</v>
      </c>
      <c r="T36" s="56">
        <v>3000</v>
      </c>
      <c r="U36" s="78" t="s">
        <v>333</v>
      </c>
      <c r="V36" s="58"/>
      <c r="W36" s="79"/>
      <c r="X36" s="42"/>
      <c r="Y36" s="42"/>
      <c r="Z36" s="42"/>
      <c r="AA36" s="42"/>
      <c r="AB36" s="42"/>
      <c r="AC36" s="42"/>
      <c r="AD36" s="39"/>
      <c r="AE36" s="39"/>
      <c r="AF36" s="77">
        <f>S36-T36-V36-X36-Z36-AB36</f>
        <v>25000</v>
      </c>
      <c r="AG36" s="76"/>
      <c r="AH36" s="76"/>
      <c r="AI36" s="58">
        <f t="shared" si="1"/>
        <v>3000</v>
      </c>
      <c r="AJ36" s="145">
        <f t="shared" si="0"/>
        <v>25000</v>
      </c>
      <c r="AK36" s="179">
        <v>5000</v>
      </c>
    </row>
    <row r="37" spans="1:49" ht="47.25" customHeight="1" x14ac:dyDescent="0.25">
      <c r="A37" s="27"/>
      <c r="B37" s="44">
        <v>37</v>
      </c>
      <c r="C37" s="44" t="s">
        <v>338</v>
      </c>
      <c r="D37" s="44" t="s">
        <v>308</v>
      </c>
      <c r="E37" s="56">
        <v>471</v>
      </c>
      <c r="F37" s="44" t="s">
        <v>727</v>
      </c>
      <c r="G37" s="46" t="s">
        <v>339</v>
      </c>
      <c r="H37" s="44" t="s">
        <v>340</v>
      </c>
      <c r="I37" s="44" t="s">
        <v>341</v>
      </c>
      <c r="J37" s="44"/>
      <c r="K37" s="44"/>
      <c r="L37" s="44"/>
      <c r="M37" s="44"/>
      <c r="N37" s="142"/>
      <c r="O37" s="39">
        <v>4200</v>
      </c>
      <c r="P37" s="39">
        <v>4200</v>
      </c>
      <c r="Q37" s="39" t="s">
        <v>1390</v>
      </c>
      <c r="R37" s="41"/>
      <c r="S37" s="44">
        <v>30000</v>
      </c>
      <c r="T37" s="44">
        <v>2500</v>
      </c>
      <c r="U37" s="48" t="s">
        <v>342</v>
      </c>
      <c r="V37" s="44">
        <v>5000</v>
      </c>
      <c r="W37" s="53" t="s">
        <v>1033</v>
      </c>
      <c r="X37" s="53">
        <v>5000</v>
      </c>
      <c r="Y37" s="53" t="s">
        <v>1702</v>
      </c>
      <c r="Z37" s="53"/>
      <c r="AA37" s="53"/>
      <c r="AB37" s="53"/>
      <c r="AC37" s="53"/>
      <c r="AD37" s="44"/>
      <c r="AE37" s="44"/>
      <c r="AF37" s="72">
        <f>S37-T37-V37-X37-Z37-AB37-AD37</f>
        <v>17500</v>
      </c>
      <c r="AG37" s="73"/>
      <c r="AH37" s="73"/>
      <c r="AI37" s="148">
        <f>+T37+V37+X37+Z37+AB37+AD37</f>
        <v>12500</v>
      </c>
      <c r="AJ37" s="145">
        <f t="shared" si="0"/>
        <v>17500</v>
      </c>
      <c r="AK37" s="115"/>
    </row>
    <row r="38" spans="1:49" ht="38.25" customHeight="1" x14ac:dyDescent="0.25">
      <c r="A38" s="27"/>
      <c r="B38" s="44">
        <v>38</v>
      </c>
      <c r="C38" s="44" t="s">
        <v>343</v>
      </c>
      <c r="D38" s="44" t="s">
        <v>344</v>
      </c>
      <c r="E38" s="56">
        <v>404</v>
      </c>
      <c r="F38" s="44" t="s">
        <v>727</v>
      </c>
      <c r="G38" s="46" t="s">
        <v>345</v>
      </c>
      <c r="H38" s="44" t="s">
        <v>268</v>
      </c>
      <c r="I38" s="44" t="s">
        <v>346</v>
      </c>
      <c r="J38" s="44" t="s">
        <v>347</v>
      </c>
      <c r="K38" s="44"/>
      <c r="L38" s="44"/>
      <c r="M38" s="44"/>
      <c r="N38" s="142"/>
      <c r="O38" s="39">
        <v>4200</v>
      </c>
      <c r="P38" s="39">
        <v>4200</v>
      </c>
      <c r="Q38" s="39" t="s">
        <v>1353</v>
      </c>
      <c r="R38" s="41"/>
      <c r="S38" s="44">
        <v>30000</v>
      </c>
      <c r="T38" s="44">
        <v>2500</v>
      </c>
      <c r="U38" s="48" t="s">
        <v>348</v>
      </c>
      <c r="V38" s="44">
        <v>5000</v>
      </c>
      <c r="W38" s="53" t="s">
        <v>1252</v>
      </c>
      <c r="X38" s="53"/>
      <c r="Y38" s="53"/>
      <c r="Z38" s="53"/>
      <c r="AA38" s="53"/>
      <c r="AB38" s="53"/>
      <c r="AC38" s="53"/>
      <c r="AD38" s="44"/>
      <c r="AE38" s="44"/>
      <c r="AF38" s="72">
        <f>S38-T38-V38-X38-Z38-AB38-AD38</f>
        <v>22500</v>
      </c>
      <c r="AG38" s="73"/>
      <c r="AH38" s="73"/>
      <c r="AI38" s="148">
        <f>+T38+V38+X38+Z38+AB38+AD38</f>
        <v>7500</v>
      </c>
      <c r="AJ38" s="145">
        <f t="shared" si="0"/>
        <v>22500</v>
      </c>
      <c r="AK38" s="115"/>
    </row>
    <row r="39" spans="1:49" ht="37.5" customHeight="1" x14ac:dyDescent="0.25">
      <c r="A39" s="27"/>
      <c r="B39" s="44">
        <v>39</v>
      </c>
      <c r="C39" s="44" t="s">
        <v>350</v>
      </c>
      <c r="D39" s="44" t="s">
        <v>351</v>
      </c>
      <c r="E39" s="56"/>
      <c r="F39" s="44" t="s">
        <v>589</v>
      </c>
      <c r="G39" s="46" t="s">
        <v>352</v>
      </c>
      <c r="H39" s="44" t="s">
        <v>353</v>
      </c>
      <c r="I39" s="44" t="s">
        <v>354</v>
      </c>
      <c r="J39" s="44" t="s">
        <v>286</v>
      </c>
      <c r="K39" s="44"/>
      <c r="L39" s="44"/>
      <c r="M39" s="44"/>
      <c r="N39" s="142"/>
      <c r="O39" s="39">
        <v>7000</v>
      </c>
      <c r="P39" s="39">
        <v>7000</v>
      </c>
      <c r="Q39" s="39" t="s">
        <v>1565</v>
      </c>
      <c r="R39" s="41"/>
      <c r="S39" s="130">
        <v>30000</v>
      </c>
      <c r="T39" s="44">
        <v>5000</v>
      </c>
      <c r="U39" s="48" t="s">
        <v>355</v>
      </c>
      <c r="V39" s="44">
        <v>10000</v>
      </c>
      <c r="W39" s="53" t="s">
        <v>1723</v>
      </c>
      <c r="X39" s="53"/>
      <c r="Y39" s="67"/>
      <c r="Z39" s="53"/>
      <c r="AA39" s="67"/>
      <c r="AB39" s="53"/>
      <c r="AC39" s="67"/>
      <c r="AD39" s="44"/>
      <c r="AE39" s="44"/>
      <c r="AF39" s="72">
        <f>S39-T39-V39-X39-Z39-AB39</f>
        <v>15000</v>
      </c>
      <c r="AG39" s="73"/>
      <c r="AH39" s="73"/>
      <c r="AI39" s="152">
        <f t="shared" si="1"/>
        <v>15000</v>
      </c>
      <c r="AJ39" s="145">
        <f t="shared" si="0"/>
        <v>15000</v>
      </c>
      <c r="AK39" s="115">
        <v>8000</v>
      </c>
    </row>
    <row r="40" spans="1:49" ht="37.5" customHeight="1" x14ac:dyDescent="0.25">
      <c r="A40" s="27"/>
      <c r="B40" s="44">
        <v>40</v>
      </c>
      <c r="C40" s="44" t="s">
        <v>356</v>
      </c>
      <c r="D40" s="44" t="s">
        <v>357</v>
      </c>
      <c r="E40" s="56"/>
      <c r="F40" s="44" t="s">
        <v>40</v>
      </c>
      <c r="G40" s="46" t="s">
        <v>358</v>
      </c>
      <c r="H40" s="44" t="s">
        <v>359</v>
      </c>
      <c r="I40" s="44"/>
      <c r="J40" s="44"/>
      <c r="K40" s="44"/>
      <c r="L40" s="44"/>
      <c r="M40" s="44"/>
      <c r="N40" s="142"/>
      <c r="O40" s="39">
        <v>4200</v>
      </c>
      <c r="P40" s="39">
        <v>4200</v>
      </c>
      <c r="Q40" s="39" t="s">
        <v>1311</v>
      </c>
      <c r="R40" s="41"/>
      <c r="S40" s="44">
        <v>30000</v>
      </c>
      <c r="T40" s="44">
        <v>5000</v>
      </c>
      <c r="U40" s="48" t="s">
        <v>360</v>
      </c>
      <c r="V40" s="44">
        <v>10000</v>
      </c>
      <c r="W40" s="53" t="s">
        <v>1697</v>
      </c>
      <c r="X40" s="53"/>
      <c r="Y40" s="53"/>
      <c r="Z40" s="53"/>
      <c r="AA40" s="53"/>
      <c r="AB40" s="53"/>
      <c r="AC40" s="53"/>
      <c r="AD40" s="44"/>
      <c r="AE40" s="44"/>
      <c r="AF40" s="72">
        <f>S40-T40-V40-X40-Z40-AB40</f>
        <v>15000</v>
      </c>
      <c r="AG40" s="73"/>
      <c r="AH40" s="73"/>
      <c r="AI40" s="148">
        <f t="shared" si="1"/>
        <v>15000</v>
      </c>
      <c r="AJ40" s="145">
        <f t="shared" si="0"/>
        <v>15000</v>
      </c>
      <c r="AK40" s="115"/>
    </row>
    <row r="41" spans="1:49" ht="48.75" customHeight="1" x14ac:dyDescent="0.25">
      <c r="A41" s="27"/>
      <c r="B41" s="44">
        <v>41</v>
      </c>
      <c r="C41" s="44" t="s">
        <v>272</v>
      </c>
      <c r="D41" s="44" t="s">
        <v>373</v>
      </c>
      <c r="E41" s="56">
        <v>454</v>
      </c>
      <c r="F41" s="44" t="s">
        <v>727</v>
      </c>
      <c r="G41" s="46" t="s">
        <v>374</v>
      </c>
      <c r="H41" s="44" t="s">
        <v>321</v>
      </c>
      <c r="I41" s="44" t="s">
        <v>375</v>
      </c>
      <c r="J41" s="44"/>
      <c r="K41" s="44"/>
      <c r="L41" s="44"/>
      <c r="M41" s="44"/>
      <c r="N41" s="142"/>
      <c r="O41" s="39"/>
      <c r="P41" s="39"/>
      <c r="Q41" s="39"/>
      <c r="R41" s="41"/>
      <c r="S41" s="44">
        <v>25000</v>
      </c>
      <c r="T41" s="44">
        <v>3000</v>
      </c>
      <c r="U41" s="48" t="s">
        <v>376</v>
      </c>
      <c r="V41" s="44">
        <v>2000</v>
      </c>
      <c r="W41" s="53" t="s">
        <v>660</v>
      </c>
      <c r="X41" s="53">
        <v>2000</v>
      </c>
      <c r="Y41" s="53" t="s">
        <v>1070</v>
      </c>
      <c r="Z41" s="53">
        <v>2000</v>
      </c>
      <c r="AA41" s="53" t="s">
        <v>1399</v>
      </c>
      <c r="AB41" s="53">
        <v>2000</v>
      </c>
      <c r="AC41" s="53" t="s">
        <v>1726</v>
      </c>
      <c r="AD41" s="44"/>
      <c r="AE41" s="44"/>
      <c r="AF41" s="72">
        <f>S41-T41-V41-X41-Z41-AB41-AD41</f>
        <v>14000</v>
      </c>
      <c r="AG41" s="73"/>
      <c r="AH41" s="73"/>
      <c r="AI41" s="148">
        <f>+T41+V41+X41+Z41+AB41+AD41</f>
        <v>11000</v>
      </c>
      <c r="AJ41" s="145">
        <f t="shared" si="0"/>
        <v>14000</v>
      </c>
      <c r="AK41" s="115">
        <v>5000</v>
      </c>
    </row>
    <row r="42" spans="1:49" s="10" customFormat="1" ht="38.25" customHeight="1" x14ac:dyDescent="0.25">
      <c r="A42" s="27"/>
      <c r="B42" s="44">
        <v>42</v>
      </c>
      <c r="C42" s="56" t="s">
        <v>377</v>
      </c>
      <c r="D42" s="56" t="s">
        <v>434</v>
      </c>
      <c r="E42" s="56"/>
      <c r="F42" s="56" t="s">
        <v>40</v>
      </c>
      <c r="G42" s="57" t="s">
        <v>378</v>
      </c>
      <c r="H42" s="56" t="s">
        <v>241</v>
      </c>
      <c r="I42" s="56" t="s">
        <v>125</v>
      </c>
      <c r="J42" s="58"/>
      <c r="K42" s="39"/>
      <c r="L42" s="39"/>
      <c r="M42" s="39"/>
      <c r="N42" s="41"/>
      <c r="O42" s="39"/>
      <c r="P42" s="39"/>
      <c r="Q42" s="39"/>
      <c r="R42" s="41"/>
      <c r="S42" s="56">
        <v>28000</v>
      </c>
      <c r="T42" s="56">
        <v>28000</v>
      </c>
      <c r="U42" s="78" t="s">
        <v>379</v>
      </c>
      <c r="V42" s="58"/>
      <c r="W42" s="112"/>
      <c r="X42" s="58"/>
      <c r="Y42" s="112"/>
      <c r="Z42" s="42"/>
      <c r="AA42" s="42"/>
      <c r="AB42" s="42"/>
      <c r="AC42" s="42"/>
      <c r="AD42" s="39"/>
      <c r="AE42" s="39"/>
      <c r="AF42" s="77">
        <f>S42-T42-V42-X42-Z42-AB42-AD42</f>
        <v>0</v>
      </c>
      <c r="AG42" s="76"/>
      <c r="AH42" s="76"/>
      <c r="AI42" s="149">
        <f>+T42+V42+X42+Z42+AB42+AD42</f>
        <v>28000</v>
      </c>
      <c r="AJ42" s="145">
        <f t="shared" si="0"/>
        <v>0</v>
      </c>
      <c r="AK42" s="115">
        <v>5000</v>
      </c>
      <c r="AL42" s="115"/>
      <c r="AM42" s="115"/>
      <c r="AN42" s="115"/>
      <c r="AO42" s="115"/>
      <c r="AP42" s="115"/>
      <c r="AQ42" s="115"/>
      <c r="AR42" s="12"/>
      <c r="AS42" s="12"/>
      <c r="AT42" s="12"/>
      <c r="AU42" s="12"/>
      <c r="AV42" s="12"/>
      <c r="AW42" s="12"/>
    </row>
    <row r="43" spans="1:49" ht="37.5" customHeight="1" x14ac:dyDescent="0.25">
      <c r="A43" s="27"/>
      <c r="B43" s="44">
        <v>43</v>
      </c>
      <c r="C43" s="56" t="s">
        <v>386</v>
      </c>
      <c r="D43" s="56" t="s">
        <v>387</v>
      </c>
      <c r="E43" s="56">
        <v>420</v>
      </c>
      <c r="F43" s="44" t="s">
        <v>39</v>
      </c>
      <c r="G43" s="57" t="s">
        <v>388</v>
      </c>
      <c r="H43" s="56" t="s">
        <v>274</v>
      </c>
      <c r="I43" s="56" t="s">
        <v>125</v>
      </c>
      <c r="J43" s="44"/>
      <c r="K43" s="44"/>
      <c r="L43" s="44"/>
      <c r="M43" s="44"/>
      <c r="N43" s="142"/>
      <c r="O43" s="39"/>
      <c r="P43" s="39"/>
      <c r="Q43" s="39"/>
      <c r="R43" s="41"/>
      <c r="S43" s="44">
        <v>30000</v>
      </c>
      <c r="T43" s="44">
        <v>4000</v>
      </c>
      <c r="U43" s="48" t="s">
        <v>389</v>
      </c>
      <c r="V43" s="53"/>
      <c r="W43" s="53"/>
      <c r="X43" s="53"/>
      <c r="Y43" s="53"/>
      <c r="Z43" s="53"/>
      <c r="AA43" s="53"/>
      <c r="AB43" s="53"/>
      <c r="AC43" s="53"/>
      <c r="AD43" s="44"/>
      <c r="AE43" s="44"/>
      <c r="AF43" s="72">
        <f t="shared" ref="AF43:AF55" si="4">S43-T43-V43-X43-Z43-AB43</f>
        <v>26000</v>
      </c>
      <c r="AG43" s="73"/>
      <c r="AH43" s="73"/>
      <c r="AI43" s="148">
        <f t="shared" ref="AI43:AI55" si="5">+T43+V43+X43+Z43+AB43</f>
        <v>4000</v>
      </c>
      <c r="AJ43" s="145">
        <f t="shared" si="0"/>
        <v>26000</v>
      </c>
      <c r="AK43" s="115" t="s">
        <v>65</v>
      </c>
    </row>
    <row r="44" spans="1:49" ht="56.25" customHeight="1" x14ac:dyDescent="0.25">
      <c r="A44" s="27"/>
      <c r="B44" s="44">
        <v>44</v>
      </c>
      <c r="C44" s="44" t="s">
        <v>393</v>
      </c>
      <c r="D44" s="44" t="s">
        <v>394</v>
      </c>
      <c r="E44" s="56">
        <v>753</v>
      </c>
      <c r="F44" s="44" t="s">
        <v>40</v>
      </c>
      <c r="G44" s="46" t="s">
        <v>419</v>
      </c>
      <c r="H44" s="44" t="s">
        <v>420</v>
      </c>
      <c r="I44" s="44" t="s">
        <v>49</v>
      </c>
      <c r="J44" s="44"/>
      <c r="K44" s="44"/>
      <c r="L44" s="44"/>
      <c r="M44" s="44"/>
      <c r="N44" s="142"/>
      <c r="O44" s="39">
        <v>4200</v>
      </c>
      <c r="P44" s="39">
        <v>4200</v>
      </c>
      <c r="Q44" s="39" t="s">
        <v>1715</v>
      </c>
      <c r="R44" s="41"/>
      <c r="S44" s="44">
        <v>30000</v>
      </c>
      <c r="T44" s="44">
        <v>2500</v>
      </c>
      <c r="U44" s="48" t="s">
        <v>395</v>
      </c>
      <c r="V44" s="44">
        <v>5000</v>
      </c>
      <c r="W44" s="53" t="s">
        <v>651</v>
      </c>
      <c r="X44" s="44">
        <v>2500</v>
      </c>
      <c r="Y44" s="53" t="s">
        <v>1108</v>
      </c>
      <c r="Z44" s="44"/>
      <c r="AA44" s="53"/>
      <c r="AB44" s="44"/>
      <c r="AC44" s="53"/>
      <c r="AD44" s="44"/>
      <c r="AE44" s="44"/>
      <c r="AF44" s="72">
        <f t="shared" si="4"/>
        <v>20000</v>
      </c>
      <c r="AG44" s="73"/>
      <c r="AH44" s="73"/>
      <c r="AI44" s="148">
        <f t="shared" si="5"/>
        <v>10000</v>
      </c>
      <c r="AJ44" s="145">
        <f t="shared" si="0"/>
        <v>20000</v>
      </c>
      <c r="AK44" s="115"/>
    </row>
    <row r="45" spans="1:49" ht="36" customHeight="1" x14ac:dyDescent="0.25">
      <c r="A45" s="27"/>
      <c r="B45" s="44">
        <v>45</v>
      </c>
      <c r="C45" s="44" t="s">
        <v>396</v>
      </c>
      <c r="D45" s="44" t="s">
        <v>397</v>
      </c>
      <c r="E45" s="56"/>
      <c r="F45" s="44" t="s">
        <v>39</v>
      </c>
      <c r="G45" s="117" t="s">
        <v>399</v>
      </c>
      <c r="H45" s="44" t="s">
        <v>370</v>
      </c>
      <c r="I45" s="44" t="s">
        <v>49</v>
      </c>
      <c r="J45" s="44" t="s">
        <v>400</v>
      </c>
      <c r="K45" s="44"/>
      <c r="L45" s="44"/>
      <c r="M45" s="44"/>
      <c r="N45" s="142"/>
      <c r="O45" s="39">
        <v>4200</v>
      </c>
      <c r="P45" s="39">
        <v>4200</v>
      </c>
      <c r="Q45" s="39" t="s">
        <v>1457</v>
      </c>
      <c r="R45" s="41"/>
      <c r="S45" s="44">
        <v>20000</v>
      </c>
      <c r="T45" s="44">
        <v>10000</v>
      </c>
      <c r="U45" s="48" t="s">
        <v>398</v>
      </c>
      <c r="V45" s="44">
        <v>10000</v>
      </c>
      <c r="W45" s="119" t="s">
        <v>1757</v>
      </c>
      <c r="X45" s="53"/>
      <c r="Y45" s="53"/>
      <c r="Z45" s="53"/>
      <c r="AA45" s="53"/>
      <c r="AB45" s="53"/>
      <c r="AC45" s="53"/>
      <c r="AD45" s="44"/>
      <c r="AE45" s="44"/>
      <c r="AF45" s="72">
        <f t="shared" si="4"/>
        <v>0</v>
      </c>
      <c r="AG45" s="73"/>
      <c r="AH45" s="73"/>
      <c r="AI45" s="148">
        <f t="shared" si="5"/>
        <v>20000</v>
      </c>
      <c r="AJ45" s="145">
        <f t="shared" si="0"/>
        <v>0</v>
      </c>
      <c r="AK45" s="180">
        <v>5000</v>
      </c>
    </row>
    <row r="46" spans="1:49" s="10" customFormat="1" ht="37.5" customHeight="1" x14ac:dyDescent="0.25">
      <c r="A46" s="27"/>
      <c r="B46" s="44">
        <v>46</v>
      </c>
      <c r="C46" s="44" t="s">
        <v>409</v>
      </c>
      <c r="D46" s="44" t="s">
        <v>408</v>
      </c>
      <c r="E46" s="56">
        <v>286</v>
      </c>
      <c r="F46" s="44" t="s">
        <v>589</v>
      </c>
      <c r="G46" s="46" t="s">
        <v>401</v>
      </c>
      <c r="H46" s="44" t="s">
        <v>246</v>
      </c>
      <c r="I46" s="44" t="s">
        <v>258</v>
      </c>
      <c r="J46" s="44" t="s">
        <v>33</v>
      </c>
      <c r="K46" s="44"/>
      <c r="L46" s="44"/>
      <c r="M46" s="44"/>
      <c r="N46" s="142"/>
      <c r="O46" s="39">
        <v>4200</v>
      </c>
      <c r="P46" s="39">
        <v>4200</v>
      </c>
      <c r="Q46" s="39" t="s">
        <v>1280</v>
      </c>
      <c r="R46" s="41"/>
      <c r="S46" s="44">
        <v>30000</v>
      </c>
      <c r="T46" s="44">
        <v>5000</v>
      </c>
      <c r="U46" s="48" t="s">
        <v>402</v>
      </c>
      <c r="V46" s="44">
        <v>5000</v>
      </c>
      <c r="W46" s="53" t="s">
        <v>1039</v>
      </c>
      <c r="X46" s="53">
        <v>5000</v>
      </c>
      <c r="Y46" s="53" t="s">
        <v>1793</v>
      </c>
      <c r="Z46" s="53"/>
      <c r="AA46" s="53"/>
      <c r="AB46" s="53"/>
      <c r="AC46" s="53"/>
      <c r="AD46" s="44"/>
      <c r="AE46" s="44"/>
      <c r="AF46" s="72">
        <f t="shared" si="4"/>
        <v>15000</v>
      </c>
      <c r="AG46" s="73"/>
      <c r="AH46" s="73"/>
      <c r="AI46" s="148">
        <f t="shared" si="5"/>
        <v>15000</v>
      </c>
      <c r="AJ46" s="145">
        <f t="shared" si="0"/>
        <v>15000</v>
      </c>
      <c r="AK46" s="115"/>
      <c r="AL46" s="115"/>
      <c r="AM46" s="115"/>
      <c r="AN46" s="115"/>
      <c r="AO46" s="115"/>
      <c r="AP46" s="115"/>
      <c r="AQ46" s="115"/>
      <c r="AR46" s="12"/>
      <c r="AS46" s="12"/>
      <c r="AT46" s="12"/>
      <c r="AU46" s="12"/>
      <c r="AV46" s="12"/>
      <c r="AW46" s="12"/>
    </row>
    <row r="47" spans="1:49" ht="36" customHeight="1" x14ac:dyDescent="0.25">
      <c r="A47" s="27">
        <v>49</v>
      </c>
      <c r="B47" s="44">
        <v>47</v>
      </c>
      <c r="C47" s="44" t="s">
        <v>403</v>
      </c>
      <c r="D47" s="44" t="s">
        <v>404</v>
      </c>
      <c r="E47" s="56">
        <v>412</v>
      </c>
      <c r="F47" s="44" t="s">
        <v>39</v>
      </c>
      <c r="G47" s="46" t="s">
        <v>405</v>
      </c>
      <c r="H47" s="44" t="s">
        <v>406</v>
      </c>
      <c r="I47" s="44" t="s">
        <v>407</v>
      </c>
      <c r="J47" s="44" t="s">
        <v>33</v>
      </c>
      <c r="K47" s="44"/>
      <c r="L47" s="44"/>
      <c r="M47" s="44"/>
      <c r="N47" s="142"/>
      <c r="O47" s="39">
        <v>4200</v>
      </c>
      <c r="P47" s="39">
        <v>4200</v>
      </c>
      <c r="Q47" s="39" t="s">
        <v>1389</v>
      </c>
      <c r="R47" s="41"/>
      <c r="S47" s="44">
        <v>15000</v>
      </c>
      <c r="T47" s="44">
        <v>5000</v>
      </c>
      <c r="U47" s="48" t="s">
        <v>410</v>
      </c>
      <c r="V47" s="44">
        <v>2000</v>
      </c>
      <c r="W47" s="53" t="s">
        <v>1040</v>
      </c>
      <c r="X47" s="44">
        <v>3000</v>
      </c>
      <c r="Y47" s="53" t="s">
        <v>1699</v>
      </c>
      <c r="Z47" s="44"/>
      <c r="AA47" s="53"/>
      <c r="AB47" s="44"/>
      <c r="AC47" s="53"/>
      <c r="AD47" s="44"/>
      <c r="AE47" s="44"/>
      <c r="AF47" s="72">
        <f t="shared" si="4"/>
        <v>5000</v>
      </c>
      <c r="AG47" s="73"/>
      <c r="AH47" s="73"/>
      <c r="AI47" s="148">
        <f t="shared" si="5"/>
        <v>10000</v>
      </c>
      <c r="AJ47" s="145">
        <f t="shared" si="0"/>
        <v>5000</v>
      </c>
      <c r="AK47" s="115">
        <v>5000</v>
      </c>
    </row>
    <row r="48" spans="1:49" ht="37.5" customHeight="1" x14ac:dyDescent="0.25">
      <c r="A48" s="27"/>
      <c r="B48" s="44">
        <v>48</v>
      </c>
      <c r="C48" s="56" t="s">
        <v>415</v>
      </c>
      <c r="D48" s="56" t="s">
        <v>416</v>
      </c>
      <c r="E48" s="56">
        <v>341</v>
      </c>
      <c r="F48" s="44" t="s">
        <v>589</v>
      </c>
      <c r="G48" s="57" t="s">
        <v>417</v>
      </c>
      <c r="H48" s="56" t="s">
        <v>257</v>
      </c>
      <c r="I48" s="44" t="s">
        <v>258</v>
      </c>
      <c r="J48" s="58" t="s">
        <v>33</v>
      </c>
      <c r="K48" s="39"/>
      <c r="L48" s="39"/>
      <c r="M48" s="39"/>
      <c r="N48" s="41"/>
      <c r="O48" s="39">
        <v>4200</v>
      </c>
      <c r="P48" s="39">
        <v>4200</v>
      </c>
      <c r="Q48" s="39" t="s">
        <v>1483</v>
      </c>
      <c r="R48" s="41"/>
      <c r="S48" s="56">
        <v>30000</v>
      </c>
      <c r="T48" s="56">
        <v>30000</v>
      </c>
      <c r="U48" s="78" t="s">
        <v>418</v>
      </c>
      <c r="V48" s="58"/>
      <c r="W48" s="79"/>
      <c r="X48" s="42"/>
      <c r="Y48" s="42"/>
      <c r="Z48" s="42"/>
      <c r="AA48" s="42"/>
      <c r="AB48" s="42"/>
      <c r="AC48" s="42"/>
      <c r="AD48" s="39"/>
      <c r="AE48" s="39"/>
      <c r="AF48" s="77">
        <f>S48-T48-V48-X48-Z48-AB48-AD48</f>
        <v>0</v>
      </c>
      <c r="AG48" s="76"/>
      <c r="AH48" s="76"/>
      <c r="AI48" s="149">
        <f>+T48+V48+X48+Z48+AB48+AD48</f>
        <v>30000</v>
      </c>
      <c r="AJ48" s="145">
        <f t="shared" si="0"/>
        <v>0</v>
      </c>
      <c r="AK48" s="115" t="s">
        <v>66</v>
      </c>
    </row>
    <row r="49" spans="1:53" ht="37.5" customHeight="1" x14ac:dyDescent="0.25">
      <c r="A49" s="27"/>
      <c r="B49" s="44">
        <v>49</v>
      </c>
      <c r="C49" s="44" t="s">
        <v>421</v>
      </c>
      <c r="D49" s="44" t="s">
        <v>422</v>
      </c>
      <c r="E49" s="56">
        <v>335</v>
      </c>
      <c r="F49" s="44" t="s">
        <v>40</v>
      </c>
      <c r="G49" s="44" t="s">
        <v>423</v>
      </c>
      <c r="H49" s="44" t="s">
        <v>37</v>
      </c>
      <c r="I49" s="44" t="s">
        <v>49</v>
      </c>
      <c r="J49" s="44" t="s">
        <v>424</v>
      </c>
      <c r="K49" s="44"/>
      <c r="L49" s="44"/>
      <c r="M49" s="44"/>
      <c r="N49" s="142"/>
      <c r="O49" s="39">
        <v>4200</v>
      </c>
      <c r="P49" s="39">
        <v>4200</v>
      </c>
      <c r="Q49" s="39" t="s">
        <v>1325</v>
      </c>
      <c r="R49" s="41"/>
      <c r="S49" s="44">
        <v>15000</v>
      </c>
      <c r="T49" s="44">
        <v>3000</v>
      </c>
      <c r="U49" s="48" t="s">
        <v>425</v>
      </c>
      <c r="V49" s="44">
        <v>2000</v>
      </c>
      <c r="W49" s="53" t="s">
        <v>933</v>
      </c>
      <c r="X49" s="44">
        <v>2000</v>
      </c>
      <c r="Y49" s="53" t="s">
        <v>1069</v>
      </c>
      <c r="Z49" s="44">
        <v>2000</v>
      </c>
      <c r="AA49" s="53" t="s">
        <v>1706</v>
      </c>
      <c r="AB49" s="44"/>
      <c r="AC49" s="53"/>
      <c r="AD49" s="44"/>
      <c r="AE49" s="44"/>
      <c r="AF49" s="72">
        <f t="shared" si="4"/>
        <v>6000</v>
      </c>
      <c r="AG49" s="73"/>
      <c r="AH49" s="73"/>
      <c r="AI49" s="148">
        <f t="shared" si="5"/>
        <v>9000</v>
      </c>
      <c r="AJ49" s="145">
        <f t="shared" si="0"/>
        <v>6000</v>
      </c>
      <c r="AK49" s="115">
        <v>5000</v>
      </c>
    </row>
    <row r="50" spans="1:53" ht="48" customHeight="1" x14ac:dyDescent="0.25">
      <c r="A50" s="27"/>
      <c r="B50" s="44">
        <v>50</v>
      </c>
      <c r="C50" s="44" t="s">
        <v>430</v>
      </c>
      <c r="D50" s="44" t="s">
        <v>431</v>
      </c>
      <c r="E50" s="56">
        <v>310</v>
      </c>
      <c r="F50" s="44" t="s">
        <v>215</v>
      </c>
      <c r="G50" s="46" t="s">
        <v>432</v>
      </c>
      <c r="H50" s="44" t="s">
        <v>268</v>
      </c>
      <c r="I50" s="44"/>
      <c r="J50" s="44" t="s">
        <v>187</v>
      </c>
      <c r="K50" s="44"/>
      <c r="L50" s="44"/>
      <c r="M50" s="44"/>
      <c r="N50" s="142"/>
      <c r="O50" s="39">
        <v>4200</v>
      </c>
      <c r="P50" s="39">
        <v>4200</v>
      </c>
      <c r="Q50" s="39" t="s">
        <v>1291</v>
      </c>
      <c r="R50" s="41"/>
      <c r="S50" s="44">
        <v>28000</v>
      </c>
      <c r="T50" s="44">
        <v>1000</v>
      </c>
      <c r="U50" s="48" t="s">
        <v>433</v>
      </c>
      <c r="V50" s="44">
        <v>3000</v>
      </c>
      <c r="W50" s="53" t="s">
        <v>1089</v>
      </c>
      <c r="X50" s="44"/>
      <c r="Y50" s="53"/>
      <c r="Z50" s="44"/>
      <c r="AA50" s="53"/>
      <c r="AB50" s="44"/>
      <c r="AC50" s="53"/>
      <c r="AD50" s="44"/>
      <c r="AE50" s="44"/>
      <c r="AF50" s="72">
        <f>S50-T50-V50-X50-Z50-AB50-AD50</f>
        <v>24000</v>
      </c>
      <c r="AG50" s="73"/>
      <c r="AH50" s="73"/>
      <c r="AI50" s="148">
        <f>+T50+V50+X50+Z50+AB50+AD50</f>
        <v>4000</v>
      </c>
      <c r="AJ50" s="145">
        <f t="shared" si="0"/>
        <v>24000</v>
      </c>
      <c r="AK50" s="115"/>
    </row>
    <row r="51" spans="1:53" ht="45" customHeight="1" x14ac:dyDescent="0.25">
      <c r="A51" s="27"/>
      <c r="B51" s="44">
        <v>51</v>
      </c>
      <c r="C51" s="44" t="s">
        <v>303</v>
      </c>
      <c r="D51" s="44" t="s">
        <v>304</v>
      </c>
      <c r="E51" s="56">
        <v>451</v>
      </c>
      <c r="F51" s="44" t="s">
        <v>727</v>
      </c>
      <c r="G51" s="46" t="s">
        <v>305</v>
      </c>
      <c r="H51" s="44" t="s">
        <v>196</v>
      </c>
      <c r="I51" s="44" t="s">
        <v>156</v>
      </c>
      <c r="J51" s="44" t="s">
        <v>172</v>
      </c>
      <c r="K51" s="44"/>
      <c r="L51" s="44"/>
      <c r="M51" s="44"/>
      <c r="N51" s="142"/>
      <c r="O51" s="39">
        <v>4200</v>
      </c>
      <c r="P51" s="39">
        <v>4200</v>
      </c>
      <c r="Q51" s="39" t="s">
        <v>1312</v>
      </c>
      <c r="R51" s="41"/>
      <c r="S51" s="44">
        <v>25000</v>
      </c>
      <c r="T51" s="48">
        <v>10000</v>
      </c>
      <c r="U51" s="48" t="s">
        <v>306</v>
      </c>
      <c r="V51" s="44"/>
      <c r="W51" s="53"/>
      <c r="X51" s="53"/>
      <c r="Y51" s="53"/>
      <c r="Z51" s="53"/>
      <c r="AA51" s="53"/>
      <c r="AB51" s="53"/>
      <c r="AC51" s="53"/>
      <c r="AD51" s="44"/>
      <c r="AE51" s="44"/>
      <c r="AF51" s="72">
        <f t="shared" si="4"/>
        <v>15000</v>
      </c>
      <c r="AG51" s="73"/>
      <c r="AH51" s="73"/>
      <c r="AI51" s="152">
        <f t="shared" si="5"/>
        <v>10000</v>
      </c>
      <c r="AJ51" s="145">
        <f t="shared" si="0"/>
        <v>15000</v>
      </c>
      <c r="AK51" s="115"/>
    </row>
    <row r="52" spans="1:53" s="10" customFormat="1" ht="51.75" customHeight="1" x14ac:dyDescent="0.25">
      <c r="A52" s="58"/>
      <c r="B52" s="44">
        <v>52</v>
      </c>
      <c r="C52" s="44" t="s">
        <v>435</v>
      </c>
      <c r="D52" s="44" t="s">
        <v>436</v>
      </c>
      <c r="E52" s="56">
        <v>298</v>
      </c>
      <c r="F52" s="44" t="s">
        <v>40</v>
      </c>
      <c r="G52" s="46" t="s">
        <v>437</v>
      </c>
      <c r="H52" s="44" t="s">
        <v>37</v>
      </c>
      <c r="I52" s="44" t="s">
        <v>49</v>
      </c>
      <c r="J52" s="44" t="s">
        <v>442</v>
      </c>
      <c r="K52" s="44"/>
      <c r="L52" s="44"/>
      <c r="M52" s="44"/>
      <c r="N52" s="142"/>
      <c r="O52" s="39"/>
      <c r="P52" s="39"/>
      <c r="Q52" s="39"/>
      <c r="R52" s="41"/>
      <c r="S52" s="44">
        <v>15000</v>
      </c>
      <c r="T52" s="44">
        <v>15000</v>
      </c>
      <c r="U52" s="53" t="s">
        <v>441</v>
      </c>
      <c r="V52" s="44"/>
      <c r="W52" s="53"/>
      <c r="X52" s="53"/>
      <c r="Y52" s="53"/>
      <c r="Z52" s="53"/>
      <c r="AA52" s="53"/>
      <c r="AB52" s="53"/>
      <c r="AC52" s="53"/>
      <c r="AD52" s="44"/>
      <c r="AE52" s="44"/>
      <c r="AF52" s="72">
        <f t="shared" si="4"/>
        <v>0</v>
      </c>
      <c r="AG52" s="73"/>
      <c r="AH52" s="73"/>
      <c r="AI52" s="148">
        <f t="shared" si="5"/>
        <v>15000</v>
      </c>
      <c r="AJ52" s="145">
        <f t="shared" si="0"/>
        <v>0</v>
      </c>
      <c r="AK52" s="115">
        <v>5000</v>
      </c>
      <c r="AL52" s="115"/>
      <c r="AM52" s="115"/>
      <c r="AN52" s="115"/>
      <c r="AO52" s="115"/>
      <c r="AP52" s="115"/>
      <c r="AQ52" s="115"/>
      <c r="AR52" s="12"/>
      <c r="AS52" s="12"/>
      <c r="AT52" s="12"/>
      <c r="AU52" s="12"/>
      <c r="AV52" s="12"/>
      <c r="AW52" s="12"/>
    </row>
    <row r="53" spans="1:53" ht="37.5" customHeight="1" x14ac:dyDescent="0.25">
      <c r="A53" s="27">
        <v>0</v>
      </c>
      <c r="B53" s="44">
        <v>53</v>
      </c>
      <c r="C53" s="56" t="s">
        <v>438</v>
      </c>
      <c r="D53" s="56" t="s">
        <v>439</v>
      </c>
      <c r="E53" s="56">
        <v>381</v>
      </c>
      <c r="F53" s="44" t="s">
        <v>40</v>
      </c>
      <c r="G53" s="57" t="s">
        <v>445</v>
      </c>
      <c r="H53" s="56" t="s">
        <v>37</v>
      </c>
      <c r="I53" s="44" t="s">
        <v>49</v>
      </c>
      <c r="J53" s="58" t="s">
        <v>33</v>
      </c>
      <c r="K53" s="39"/>
      <c r="L53" s="39"/>
      <c r="M53" s="39"/>
      <c r="N53" s="41"/>
      <c r="O53" s="39">
        <v>4200</v>
      </c>
      <c r="P53" s="39">
        <v>4200</v>
      </c>
      <c r="Q53" s="39" t="s">
        <v>1720</v>
      </c>
      <c r="R53" s="41"/>
      <c r="S53" s="56">
        <v>30000</v>
      </c>
      <c r="T53" s="56">
        <v>10000</v>
      </c>
      <c r="U53" s="78" t="s">
        <v>440</v>
      </c>
      <c r="V53" s="58">
        <v>10000</v>
      </c>
      <c r="W53" s="79" t="s">
        <v>1078</v>
      </c>
      <c r="X53" s="42"/>
      <c r="Y53" s="42"/>
      <c r="Z53" s="42"/>
      <c r="AA53" s="42"/>
      <c r="AB53" s="42"/>
      <c r="AC53" s="42"/>
      <c r="AD53" s="39"/>
      <c r="AE53" s="39"/>
      <c r="AF53" s="77">
        <f t="shared" si="4"/>
        <v>10000</v>
      </c>
      <c r="AG53" s="76"/>
      <c r="AH53" s="76"/>
      <c r="AI53" s="149">
        <f t="shared" si="5"/>
        <v>20000</v>
      </c>
      <c r="AJ53" s="145">
        <f t="shared" si="0"/>
        <v>10000</v>
      </c>
      <c r="AK53" s="115">
        <v>5000</v>
      </c>
    </row>
    <row r="54" spans="1:53" ht="45.75" customHeight="1" x14ac:dyDescent="0.25">
      <c r="A54" s="27"/>
      <c r="B54" s="44">
        <v>54</v>
      </c>
      <c r="C54" s="44" t="s">
        <v>443</v>
      </c>
      <c r="D54" s="44" t="s">
        <v>444</v>
      </c>
      <c r="E54" s="56">
        <v>423</v>
      </c>
      <c r="F54" s="44" t="s">
        <v>589</v>
      </c>
      <c r="G54" s="46" t="s">
        <v>446</v>
      </c>
      <c r="H54" s="44" t="s">
        <v>447</v>
      </c>
      <c r="I54" s="44"/>
      <c r="J54" s="44" t="s">
        <v>33</v>
      </c>
      <c r="K54" s="44"/>
      <c r="L54" s="44"/>
      <c r="M54" s="44"/>
      <c r="N54" s="142"/>
      <c r="O54" s="39"/>
      <c r="P54" s="39"/>
      <c r="Q54" s="39"/>
      <c r="R54" s="41"/>
      <c r="S54" s="44">
        <v>25000</v>
      </c>
      <c r="T54" s="44">
        <v>12000</v>
      </c>
      <c r="U54" s="48" t="s">
        <v>448</v>
      </c>
      <c r="V54" s="44"/>
      <c r="W54" s="53"/>
      <c r="X54" s="53"/>
      <c r="Y54" s="53"/>
      <c r="Z54" s="53"/>
      <c r="AA54" s="53"/>
      <c r="AB54" s="53"/>
      <c r="AC54" s="53"/>
      <c r="AD54" s="44"/>
      <c r="AE54" s="44"/>
      <c r="AF54" s="72">
        <f>S54-T54-V54-X54-Z54-AB54-AD54</f>
        <v>13000</v>
      </c>
      <c r="AG54" s="73"/>
      <c r="AH54" s="73"/>
      <c r="AI54" s="148">
        <f>+T54+V54+X54+Z54+AB54+AD54</f>
        <v>12000</v>
      </c>
      <c r="AJ54" s="145">
        <f t="shared" si="0"/>
        <v>13000</v>
      </c>
      <c r="AK54" s="115">
        <v>10000</v>
      </c>
    </row>
    <row r="55" spans="1:53" ht="37.5" customHeight="1" x14ac:dyDescent="0.25">
      <c r="A55" s="27"/>
      <c r="B55" s="44">
        <v>55</v>
      </c>
      <c r="C55" s="44" t="s">
        <v>449</v>
      </c>
      <c r="D55" s="44" t="s">
        <v>450</v>
      </c>
      <c r="E55" s="56"/>
      <c r="F55" s="44" t="s">
        <v>39</v>
      </c>
      <c r="G55" s="46" t="s">
        <v>451</v>
      </c>
      <c r="H55" s="44" t="s">
        <v>452</v>
      </c>
      <c r="I55" s="56" t="s">
        <v>125</v>
      </c>
      <c r="J55" s="44" t="s">
        <v>453</v>
      </c>
      <c r="K55" s="44"/>
      <c r="L55" s="44"/>
      <c r="M55" s="44"/>
      <c r="N55" s="142"/>
      <c r="O55" s="39"/>
      <c r="P55" s="39"/>
      <c r="Q55" s="39"/>
      <c r="R55" s="41"/>
      <c r="S55" s="44">
        <v>25000</v>
      </c>
      <c r="T55" s="44">
        <v>5000</v>
      </c>
      <c r="U55" s="53" t="s">
        <v>454</v>
      </c>
      <c r="V55" s="44"/>
      <c r="W55" s="53"/>
      <c r="X55" s="53"/>
      <c r="Y55" s="53"/>
      <c r="Z55" s="53"/>
      <c r="AA55" s="53"/>
      <c r="AB55" s="53"/>
      <c r="AC55" s="53"/>
      <c r="AD55" s="44"/>
      <c r="AE55" s="44"/>
      <c r="AF55" s="72">
        <f t="shared" si="4"/>
        <v>20000</v>
      </c>
      <c r="AG55" s="73"/>
      <c r="AH55" s="73"/>
      <c r="AI55" s="148">
        <f t="shared" si="5"/>
        <v>5000</v>
      </c>
      <c r="AJ55" s="145">
        <f t="shared" si="0"/>
        <v>20000</v>
      </c>
      <c r="AK55" s="115">
        <v>5000</v>
      </c>
    </row>
    <row r="56" spans="1:53" ht="38.25" customHeight="1" x14ac:dyDescent="0.25">
      <c r="A56" s="27"/>
      <c r="B56" s="44">
        <v>56</v>
      </c>
      <c r="C56" s="56" t="s">
        <v>459</v>
      </c>
      <c r="D56" s="56" t="s">
        <v>460</v>
      </c>
      <c r="E56" s="56">
        <v>300</v>
      </c>
      <c r="F56" s="56" t="s">
        <v>40</v>
      </c>
      <c r="G56" s="57"/>
      <c r="H56" s="56" t="s">
        <v>461</v>
      </c>
      <c r="I56" s="56" t="s">
        <v>125</v>
      </c>
      <c r="J56" s="58"/>
      <c r="K56" s="41"/>
      <c r="L56" s="41"/>
      <c r="M56" s="40"/>
      <c r="N56" s="40"/>
      <c r="O56" s="40"/>
      <c r="P56" s="39"/>
      <c r="Q56" s="39"/>
      <c r="R56" s="41"/>
      <c r="S56" s="56">
        <v>30000</v>
      </c>
      <c r="T56" s="56">
        <v>5000</v>
      </c>
      <c r="U56" s="78" t="s">
        <v>462</v>
      </c>
      <c r="V56" s="58"/>
      <c r="W56" s="79"/>
      <c r="X56" s="42"/>
      <c r="Y56" s="116"/>
      <c r="Z56" s="42"/>
      <c r="AA56" s="116"/>
      <c r="AB56" s="42"/>
      <c r="AC56" s="116"/>
      <c r="AD56" s="39"/>
      <c r="AE56" s="39"/>
      <c r="AF56" s="72">
        <f>S56-T56-V56-X56-Z56-AB56-AD56</f>
        <v>25000</v>
      </c>
      <c r="AG56" s="76"/>
      <c r="AH56" s="76"/>
      <c r="AI56" s="148">
        <f>+T56+V56+X56+Z56+AB56+AD56</f>
        <v>5000</v>
      </c>
      <c r="AJ56" s="145">
        <f t="shared" si="0"/>
        <v>25000</v>
      </c>
      <c r="AK56" s="115"/>
    </row>
    <row r="57" spans="1:53" s="24" customFormat="1" ht="37.5" customHeight="1" x14ac:dyDescent="0.25">
      <c r="A57" s="27"/>
      <c r="B57" s="44">
        <v>57</v>
      </c>
      <c r="C57" s="44" t="s">
        <v>463</v>
      </c>
      <c r="D57" s="44" t="s">
        <v>35</v>
      </c>
      <c r="E57" s="56">
        <v>386</v>
      </c>
      <c r="F57" s="56" t="s">
        <v>215</v>
      </c>
      <c r="G57" s="44">
        <v>3005838115</v>
      </c>
      <c r="H57" s="44" t="s">
        <v>274</v>
      </c>
      <c r="I57" s="56" t="s">
        <v>125</v>
      </c>
      <c r="J57" s="44" t="s">
        <v>464</v>
      </c>
      <c r="K57" s="44"/>
      <c r="L57" s="44"/>
      <c r="M57" s="44"/>
      <c r="N57" s="142"/>
      <c r="O57" s="39">
        <v>4200</v>
      </c>
      <c r="P57" s="39">
        <v>4200</v>
      </c>
      <c r="Q57" s="39" t="s">
        <v>1313</v>
      </c>
      <c r="R57" s="41"/>
      <c r="S57" s="44">
        <v>40000</v>
      </c>
      <c r="T57" s="44">
        <v>3500</v>
      </c>
      <c r="U57" s="48" t="s">
        <v>468</v>
      </c>
      <c r="V57" s="44">
        <v>3500</v>
      </c>
      <c r="W57" s="53" t="s">
        <v>686</v>
      </c>
      <c r="X57" s="53">
        <v>6000</v>
      </c>
      <c r="Y57" s="53" t="s">
        <v>1126</v>
      </c>
      <c r="Z57" s="53">
        <v>7000</v>
      </c>
      <c r="AA57" s="53" t="s">
        <v>1812</v>
      </c>
      <c r="AB57" s="53"/>
      <c r="AC57" s="53"/>
      <c r="AD57" s="44"/>
      <c r="AE57" s="44"/>
      <c r="AF57" s="72">
        <f>S57-T57-V57-X57-Z57-AB57-AD57</f>
        <v>20000</v>
      </c>
      <c r="AG57" s="73"/>
      <c r="AH57" s="73"/>
      <c r="AI57" s="148">
        <f>+T57+V57+X57+Z57+AB57+AD57</f>
        <v>20000</v>
      </c>
      <c r="AJ57" s="145">
        <f t="shared" si="0"/>
        <v>20000</v>
      </c>
      <c r="AK57" s="115"/>
      <c r="AL57" s="115"/>
      <c r="AM57" s="115"/>
      <c r="AN57" s="115"/>
      <c r="AO57" s="115"/>
      <c r="AP57" s="115"/>
      <c r="AQ57" s="115"/>
      <c r="AR57" s="12"/>
      <c r="AS57" s="12"/>
      <c r="AT57" s="12"/>
      <c r="AU57" s="12"/>
      <c r="AV57" s="12"/>
      <c r="AW57" s="12"/>
    </row>
    <row r="58" spans="1:53" ht="42.75" customHeight="1" x14ac:dyDescent="0.25">
      <c r="A58" s="27"/>
      <c r="B58" s="44">
        <v>58</v>
      </c>
      <c r="C58" s="56" t="s">
        <v>465</v>
      </c>
      <c r="D58" s="56" t="s">
        <v>466</v>
      </c>
      <c r="E58" s="56">
        <v>443</v>
      </c>
      <c r="F58" s="56" t="s">
        <v>215</v>
      </c>
      <c r="G58" s="44">
        <v>3005838115</v>
      </c>
      <c r="H58" s="44" t="s">
        <v>274</v>
      </c>
      <c r="I58" s="56" t="s">
        <v>125</v>
      </c>
      <c r="J58" s="44" t="s">
        <v>464</v>
      </c>
      <c r="K58" s="44"/>
      <c r="L58" s="44"/>
      <c r="M58" s="44"/>
      <c r="N58" s="142"/>
      <c r="O58" s="39">
        <v>4200</v>
      </c>
      <c r="P58" s="39">
        <v>4200</v>
      </c>
      <c r="Q58" s="39" t="s">
        <v>1279</v>
      </c>
      <c r="R58" s="41"/>
      <c r="S58" s="44">
        <v>40000</v>
      </c>
      <c r="T58" s="44">
        <v>3500</v>
      </c>
      <c r="U58" s="78" t="s">
        <v>467</v>
      </c>
      <c r="V58" s="58">
        <v>3000</v>
      </c>
      <c r="W58" s="79" t="s">
        <v>678</v>
      </c>
      <c r="X58" s="58">
        <v>3500</v>
      </c>
      <c r="Y58" s="79" t="s">
        <v>971</v>
      </c>
      <c r="Z58" s="42">
        <v>3000</v>
      </c>
      <c r="AA58" s="42" t="s">
        <v>1127</v>
      </c>
      <c r="AB58" s="42">
        <v>7000</v>
      </c>
      <c r="AC58" s="42" t="s">
        <v>1820</v>
      </c>
      <c r="AD58" s="39"/>
      <c r="AE58" s="39"/>
      <c r="AF58" s="77">
        <f>S58-T58-V58-X58-Z58-AB58-AD58</f>
        <v>20000</v>
      </c>
      <c r="AG58" s="76"/>
      <c r="AH58" s="76"/>
      <c r="AI58" s="149">
        <f>+T58+V58+X58+Z58+AB58+AD58</f>
        <v>20000</v>
      </c>
      <c r="AJ58" s="145">
        <f t="shared" si="0"/>
        <v>20000</v>
      </c>
      <c r="AK58" s="115"/>
    </row>
    <row r="59" spans="1:53" s="12" customFormat="1" ht="44.25" customHeight="1" x14ac:dyDescent="0.25">
      <c r="A59" s="27"/>
      <c r="B59" s="44">
        <v>59</v>
      </c>
      <c r="C59" s="56" t="s">
        <v>469</v>
      </c>
      <c r="D59" s="56" t="s">
        <v>470</v>
      </c>
      <c r="E59" s="56">
        <v>462</v>
      </c>
      <c r="F59" s="56" t="s">
        <v>39</v>
      </c>
      <c r="G59" s="57" t="s">
        <v>471</v>
      </c>
      <c r="H59" s="56" t="s">
        <v>324</v>
      </c>
      <c r="I59" s="44" t="s">
        <v>472</v>
      </c>
      <c r="J59" s="58" t="s">
        <v>473</v>
      </c>
      <c r="K59" s="39"/>
      <c r="L59" s="39"/>
      <c r="M59" s="39"/>
      <c r="N59" s="41"/>
      <c r="O59" s="39">
        <v>4200</v>
      </c>
      <c r="P59" s="39">
        <v>4200</v>
      </c>
      <c r="Q59" s="39" t="s">
        <v>1445</v>
      </c>
      <c r="R59" s="41"/>
      <c r="S59" s="56">
        <v>30000</v>
      </c>
      <c r="T59" s="56">
        <v>5000</v>
      </c>
      <c r="U59" s="78" t="s">
        <v>474</v>
      </c>
      <c r="V59" s="58">
        <v>5000</v>
      </c>
      <c r="W59" s="79" t="s">
        <v>780</v>
      </c>
      <c r="X59" s="42">
        <v>5000</v>
      </c>
      <c r="Y59" s="42" t="s">
        <v>1696</v>
      </c>
      <c r="Z59" s="42"/>
      <c r="AA59" s="116"/>
      <c r="AB59" s="42"/>
      <c r="AC59" s="42"/>
      <c r="AD59" s="39"/>
      <c r="AE59" s="39"/>
      <c r="AF59" s="77">
        <f>S59-T59-V59-X59-Z59-AB59</f>
        <v>15000</v>
      </c>
      <c r="AG59" s="76"/>
      <c r="AH59" s="76"/>
      <c r="AI59" s="149">
        <f>+T59+V59+X59+Z59+AB59</f>
        <v>15000</v>
      </c>
      <c r="AJ59" s="145">
        <f t="shared" si="0"/>
        <v>15000</v>
      </c>
      <c r="AK59" s="115"/>
      <c r="AL59" s="115"/>
      <c r="AM59" s="115"/>
      <c r="AN59" s="115"/>
      <c r="AO59" s="115"/>
      <c r="AP59" s="115"/>
      <c r="AQ59" s="115"/>
    </row>
    <row r="60" spans="1:53" ht="39.75" customHeight="1" x14ac:dyDescent="0.25">
      <c r="A60" s="27"/>
      <c r="B60" s="44">
        <v>60</v>
      </c>
      <c r="C60" s="44" t="s">
        <v>475</v>
      </c>
      <c r="D60" s="44" t="s">
        <v>476</v>
      </c>
      <c r="E60" s="56">
        <v>409</v>
      </c>
      <c r="F60" s="44" t="s">
        <v>589</v>
      </c>
      <c r="G60" s="46" t="s">
        <v>484</v>
      </c>
      <c r="H60" s="44" t="s">
        <v>274</v>
      </c>
      <c r="I60" s="56" t="s">
        <v>125</v>
      </c>
      <c r="J60" s="44" t="s">
        <v>33</v>
      </c>
      <c r="K60" s="44"/>
      <c r="L60" s="44"/>
      <c r="M60" s="44"/>
      <c r="N60" s="142"/>
      <c r="O60" s="39">
        <v>4200</v>
      </c>
      <c r="P60" s="39">
        <v>4200</v>
      </c>
      <c r="Q60" s="39" t="s">
        <v>1710</v>
      </c>
      <c r="R60" s="41"/>
      <c r="S60" s="44">
        <v>20000</v>
      </c>
      <c r="T60" s="44">
        <v>2000</v>
      </c>
      <c r="U60" s="48" t="s">
        <v>477</v>
      </c>
      <c r="V60" s="44">
        <v>2000</v>
      </c>
      <c r="W60" s="53" t="s">
        <v>665</v>
      </c>
      <c r="X60" s="53">
        <v>2000</v>
      </c>
      <c r="Y60" s="53" t="s">
        <v>955</v>
      </c>
      <c r="Z60" s="53">
        <v>4000</v>
      </c>
      <c r="AA60" s="53" t="s">
        <v>1686</v>
      </c>
      <c r="AB60" s="53"/>
      <c r="AC60" s="53"/>
      <c r="AD60" s="44"/>
      <c r="AE60" s="44"/>
      <c r="AF60" s="72">
        <f>S60-T60-V60-X60-Z60-AB60</f>
        <v>10000</v>
      </c>
      <c r="AG60" s="73"/>
      <c r="AH60" s="73"/>
      <c r="AI60" s="148">
        <f>+T60+V60+X60+Z60+AB60</f>
        <v>10000</v>
      </c>
      <c r="AJ60" s="145">
        <f t="shared" si="0"/>
        <v>10000</v>
      </c>
      <c r="AK60" s="115"/>
    </row>
    <row r="61" spans="1:53" ht="37.5" customHeight="1" x14ac:dyDescent="0.25">
      <c r="A61" s="27"/>
      <c r="B61" s="44">
        <v>61</v>
      </c>
      <c r="C61" s="44" t="s">
        <v>650</v>
      </c>
      <c r="D61" s="44" t="s">
        <v>482</v>
      </c>
      <c r="E61" s="56">
        <v>360</v>
      </c>
      <c r="F61" s="56" t="s">
        <v>215</v>
      </c>
      <c r="G61" s="46" t="s">
        <v>483</v>
      </c>
      <c r="H61" s="44" t="s">
        <v>246</v>
      </c>
      <c r="I61" s="44" t="s">
        <v>258</v>
      </c>
      <c r="J61" s="44" t="s">
        <v>33</v>
      </c>
      <c r="K61" s="44"/>
      <c r="L61" s="44"/>
      <c r="M61" s="44"/>
      <c r="N61" s="142"/>
      <c r="O61" s="39">
        <v>4200</v>
      </c>
      <c r="P61" s="39">
        <v>4200</v>
      </c>
      <c r="Q61" s="39" t="s">
        <v>1300</v>
      </c>
      <c r="R61" s="41"/>
      <c r="S61" s="44">
        <v>50000</v>
      </c>
      <c r="T61" s="44">
        <v>5000</v>
      </c>
      <c r="U61" s="48" t="s">
        <v>485</v>
      </c>
      <c r="V61" s="44">
        <v>5000</v>
      </c>
      <c r="W61" s="53" t="s">
        <v>951</v>
      </c>
      <c r="X61" s="53"/>
      <c r="Y61" s="53"/>
      <c r="Z61" s="53"/>
      <c r="AA61" s="53"/>
      <c r="AB61" s="53"/>
      <c r="AC61" s="53"/>
      <c r="AD61" s="44"/>
      <c r="AE61" s="44"/>
      <c r="AF61" s="72">
        <f>S61-T61-V61-X61-Z61-AB61-AD61</f>
        <v>40000</v>
      </c>
      <c r="AG61" s="73"/>
      <c r="AH61" s="73"/>
      <c r="AI61" s="148">
        <f>+T61+V61+X61+Z61+AB61+AD61</f>
        <v>10000</v>
      </c>
      <c r="AJ61" s="145">
        <f t="shared" si="0"/>
        <v>40000</v>
      </c>
      <c r="AK61" s="115">
        <v>5000</v>
      </c>
    </row>
    <row r="62" spans="1:53" ht="22.5" customHeight="1" x14ac:dyDescent="0.25">
      <c r="A62" s="27"/>
      <c r="B62" s="44">
        <v>62</v>
      </c>
      <c r="C62" s="56" t="s">
        <v>491</v>
      </c>
      <c r="D62" s="56" t="s">
        <v>492</v>
      </c>
      <c r="E62" s="56">
        <v>457</v>
      </c>
      <c r="F62" s="44" t="s">
        <v>39</v>
      </c>
      <c r="G62" s="57" t="s">
        <v>493</v>
      </c>
      <c r="H62" s="56" t="s">
        <v>494</v>
      </c>
      <c r="I62" s="44" t="s">
        <v>495</v>
      </c>
      <c r="J62" s="58" t="s">
        <v>496</v>
      </c>
      <c r="K62" s="39"/>
      <c r="L62" s="39"/>
      <c r="M62" s="39"/>
      <c r="N62" s="41"/>
      <c r="O62" s="39">
        <v>4200</v>
      </c>
      <c r="P62" s="39">
        <v>4200</v>
      </c>
      <c r="Q62" s="39" t="s">
        <v>1389</v>
      </c>
      <c r="R62" s="41"/>
      <c r="S62" s="56">
        <v>30000</v>
      </c>
      <c r="T62" s="56">
        <v>2000</v>
      </c>
      <c r="U62" s="78" t="s">
        <v>497</v>
      </c>
      <c r="V62" s="58">
        <v>5000</v>
      </c>
      <c r="W62" s="79" t="s">
        <v>1739</v>
      </c>
      <c r="X62" s="39"/>
      <c r="Y62" s="116"/>
      <c r="Z62" s="39"/>
      <c r="AA62" s="42"/>
      <c r="AB62" s="39"/>
      <c r="AC62" s="42"/>
      <c r="AD62" s="39"/>
      <c r="AE62" s="39"/>
      <c r="AF62" s="77">
        <f>S62-T62-V62-X62-Z62-AB62-AD62</f>
        <v>23000</v>
      </c>
      <c r="AG62" s="76"/>
      <c r="AH62" s="76"/>
      <c r="AI62" s="149">
        <f>+T62+V62+X62+Z62+AB62+AD62</f>
        <v>7000</v>
      </c>
      <c r="AJ62" s="145">
        <f t="shared" si="0"/>
        <v>23000</v>
      </c>
      <c r="AK62" s="115"/>
    </row>
    <row r="63" spans="1:53" s="24" customFormat="1" ht="37.5" customHeight="1" x14ac:dyDescent="0.25">
      <c r="A63" s="27"/>
      <c r="B63" s="44">
        <v>63</v>
      </c>
      <c r="C63" s="56" t="s">
        <v>498</v>
      </c>
      <c r="D63" s="56" t="s">
        <v>499</v>
      </c>
      <c r="E63" s="56">
        <v>429</v>
      </c>
      <c r="F63" s="56" t="s">
        <v>39</v>
      </c>
      <c r="G63" s="57" t="s">
        <v>500</v>
      </c>
      <c r="H63" s="56" t="s">
        <v>252</v>
      </c>
      <c r="I63" s="56" t="s">
        <v>166</v>
      </c>
      <c r="J63" s="58" t="s">
        <v>501</v>
      </c>
      <c r="K63" s="39"/>
      <c r="L63" s="39"/>
      <c r="M63" s="39"/>
      <c r="N63" s="41"/>
      <c r="O63" s="39">
        <v>4200</v>
      </c>
      <c r="P63" s="39">
        <v>4200</v>
      </c>
      <c r="Q63" s="39" t="s">
        <v>1322</v>
      </c>
      <c r="R63" s="41"/>
      <c r="S63" s="56">
        <v>30000</v>
      </c>
      <c r="T63" s="56">
        <v>2000</v>
      </c>
      <c r="U63" s="78" t="s">
        <v>502</v>
      </c>
      <c r="V63" s="79">
        <v>5000</v>
      </c>
      <c r="W63" s="79"/>
      <c r="X63" s="42"/>
      <c r="Y63" s="42"/>
      <c r="Z63" s="42"/>
      <c r="AA63" s="42"/>
      <c r="AB63" s="42"/>
      <c r="AC63" s="42"/>
      <c r="AD63" s="39"/>
      <c r="AE63" s="39"/>
      <c r="AF63" s="77">
        <f>S63-T63-V63-X63-Z63-AB63-AD63</f>
        <v>23000</v>
      </c>
      <c r="AG63" s="76"/>
      <c r="AH63" s="76"/>
      <c r="AI63" s="149">
        <f>+T63+V63+X63+Z63+AB63+AD63</f>
        <v>7000</v>
      </c>
      <c r="AJ63" s="145">
        <f t="shared" si="0"/>
        <v>23000</v>
      </c>
      <c r="AK63" s="115"/>
      <c r="AL63" s="115"/>
      <c r="AM63" s="115"/>
      <c r="AN63" s="115"/>
      <c r="AO63" s="115"/>
      <c r="AP63" s="115"/>
      <c r="AQ63" s="115"/>
      <c r="AR63" s="12"/>
      <c r="AS63" s="12"/>
      <c r="AT63" s="12"/>
      <c r="AU63" s="12"/>
      <c r="AV63" s="12"/>
      <c r="AW63" s="12"/>
      <c r="AX63" s="12"/>
      <c r="AY63" s="12"/>
      <c r="AZ63" s="12"/>
      <c r="BA63" s="12"/>
    </row>
    <row r="64" spans="1:53" ht="37.5" customHeight="1" x14ac:dyDescent="0.25">
      <c r="A64" s="27"/>
      <c r="B64" s="44">
        <v>64</v>
      </c>
      <c r="C64" s="44" t="s">
        <v>503</v>
      </c>
      <c r="D64" s="44" t="s">
        <v>504</v>
      </c>
      <c r="E64" s="56">
        <v>443</v>
      </c>
      <c r="F64" s="56" t="s">
        <v>39</v>
      </c>
      <c r="G64" s="57" t="s">
        <v>505</v>
      </c>
      <c r="H64" s="56" t="s">
        <v>252</v>
      </c>
      <c r="I64" s="56" t="s">
        <v>166</v>
      </c>
      <c r="J64" s="58" t="s">
        <v>501</v>
      </c>
      <c r="K64" s="44"/>
      <c r="L64" s="44"/>
      <c r="M64" s="44"/>
      <c r="N64" s="142"/>
      <c r="O64" s="39">
        <v>4200</v>
      </c>
      <c r="P64" s="39">
        <v>4200</v>
      </c>
      <c r="Q64" s="39" t="s">
        <v>1460</v>
      </c>
      <c r="R64" s="41"/>
      <c r="S64" s="56">
        <v>30000</v>
      </c>
      <c r="T64" s="56">
        <v>2000</v>
      </c>
      <c r="U64" s="48" t="s">
        <v>506</v>
      </c>
      <c r="V64" s="44">
        <v>5000</v>
      </c>
      <c r="W64" s="53" t="s">
        <v>1662</v>
      </c>
      <c r="X64" s="53"/>
      <c r="Y64" s="53"/>
      <c r="Z64" s="53"/>
      <c r="AA64" s="53"/>
      <c r="AB64" s="53"/>
      <c r="AC64" s="53"/>
      <c r="AD64" s="44"/>
      <c r="AE64" s="44"/>
      <c r="AF64" s="72">
        <f>S64-T64-V64-X64-Z64-AB64-AD64</f>
        <v>23000</v>
      </c>
      <c r="AG64" s="73"/>
      <c r="AH64" s="73"/>
      <c r="AI64" s="148">
        <f>+T64+V64+X64+Z64+AB64+AD64</f>
        <v>7000</v>
      </c>
      <c r="AJ64" s="145">
        <f t="shared" si="0"/>
        <v>23000</v>
      </c>
      <c r="AK64" s="115"/>
    </row>
    <row r="65" spans="1:49" ht="37.5" customHeight="1" x14ac:dyDescent="0.25">
      <c r="A65" s="27"/>
      <c r="B65" s="44">
        <v>65</v>
      </c>
      <c r="C65" s="44" t="s">
        <v>507</v>
      </c>
      <c r="D65" s="44" t="s">
        <v>508</v>
      </c>
      <c r="E65" s="56"/>
      <c r="F65" s="44" t="s">
        <v>40</v>
      </c>
      <c r="G65" s="46" t="s">
        <v>959</v>
      </c>
      <c r="H65" s="44" t="s">
        <v>908</v>
      </c>
      <c r="I65" s="56" t="s">
        <v>49</v>
      </c>
      <c r="J65" s="44"/>
      <c r="K65" s="44"/>
      <c r="L65" s="44"/>
      <c r="M65" s="44"/>
      <c r="N65" s="142"/>
      <c r="O65" s="39"/>
      <c r="P65" s="39"/>
      <c r="Q65" s="39"/>
      <c r="R65" s="41"/>
      <c r="S65" s="44">
        <v>30000</v>
      </c>
      <c r="T65" s="44">
        <v>3000</v>
      </c>
      <c r="U65" s="48" t="s">
        <v>509</v>
      </c>
      <c r="V65" s="44">
        <v>3000</v>
      </c>
      <c r="W65" s="119" t="s">
        <v>680</v>
      </c>
      <c r="X65" s="44">
        <v>3000</v>
      </c>
      <c r="Y65" s="119" t="s">
        <v>972</v>
      </c>
      <c r="Z65" s="44">
        <v>3000</v>
      </c>
      <c r="AA65" s="119" t="s">
        <v>1076</v>
      </c>
      <c r="AB65" s="44"/>
      <c r="AC65" s="119"/>
      <c r="AD65" s="44"/>
      <c r="AE65" s="44"/>
      <c r="AF65" s="72">
        <f>S65-T65-V65-X65-Z65-AB65</f>
        <v>18000</v>
      </c>
      <c r="AG65" s="73"/>
      <c r="AH65" s="73"/>
      <c r="AI65" s="148">
        <f>+T65+V65+X65+Z65+AB65</f>
        <v>12000</v>
      </c>
      <c r="AJ65" s="145">
        <f t="shared" si="0"/>
        <v>18000</v>
      </c>
      <c r="AK65" s="115"/>
    </row>
    <row r="66" spans="1:49" ht="41.25" customHeight="1" x14ac:dyDescent="0.25">
      <c r="A66" s="27"/>
      <c r="B66" s="44">
        <v>66</v>
      </c>
      <c r="C66" s="44" t="s">
        <v>1041</v>
      </c>
      <c r="D66" s="44" t="s">
        <v>510</v>
      </c>
      <c r="E66" s="56">
        <v>396</v>
      </c>
      <c r="F66" s="44" t="s">
        <v>39</v>
      </c>
      <c r="G66" s="46" t="s">
        <v>517</v>
      </c>
      <c r="H66" s="44" t="s">
        <v>518</v>
      </c>
      <c r="I66" s="56" t="s">
        <v>264</v>
      </c>
      <c r="J66" s="44"/>
      <c r="K66" s="44"/>
      <c r="L66" s="44"/>
      <c r="M66" s="44"/>
      <c r="N66" s="142"/>
      <c r="O66" s="39">
        <v>4200</v>
      </c>
      <c r="P66" s="39">
        <v>4200</v>
      </c>
      <c r="Q66" s="39" t="s">
        <v>1567</v>
      </c>
      <c r="R66" s="41"/>
      <c r="S66" s="44">
        <v>35000</v>
      </c>
      <c r="T66" s="44">
        <v>3000</v>
      </c>
      <c r="U66" s="48" t="s">
        <v>511</v>
      </c>
      <c r="V66" s="44"/>
      <c r="W66" s="53"/>
      <c r="X66" s="53"/>
      <c r="Y66" s="53"/>
      <c r="Z66" s="53"/>
      <c r="AA66" s="53"/>
      <c r="AB66" s="53"/>
      <c r="AC66" s="53"/>
      <c r="AD66" s="44"/>
      <c r="AE66" s="44"/>
      <c r="AF66" s="72">
        <f>S66-T66-V66-X66-Z66-AB66-AD66</f>
        <v>32000</v>
      </c>
      <c r="AG66" s="73"/>
      <c r="AH66" s="73"/>
      <c r="AI66" s="148">
        <f>+T66+V66+X66+Z66+AB66+AD66</f>
        <v>3000</v>
      </c>
      <c r="AJ66" s="145">
        <f t="shared" ref="AJ66:AJ129" si="6">AF66+R66+N66-AG66+AH66</f>
        <v>32000</v>
      </c>
      <c r="AK66" s="180">
        <v>5000</v>
      </c>
    </row>
    <row r="67" spans="1:49" ht="56.25" customHeight="1" x14ac:dyDescent="0.25">
      <c r="A67" s="27"/>
      <c r="B67" s="44">
        <v>67</v>
      </c>
      <c r="C67" s="44" t="s">
        <v>519</v>
      </c>
      <c r="D67" s="44" t="s">
        <v>520</v>
      </c>
      <c r="E67" s="56">
        <v>401</v>
      </c>
      <c r="F67" s="44" t="s">
        <v>589</v>
      </c>
      <c r="G67" s="46" t="s">
        <v>521</v>
      </c>
      <c r="H67" s="44" t="s">
        <v>278</v>
      </c>
      <c r="I67" s="44" t="s">
        <v>522</v>
      </c>
      <c r="J67" s="44"/>
      <c r="K67" s="44"/>
      <c r="L67" s="44"/>
      <c r="M67" s="44"/>
      <c r="N67" s="142"/>
      <c r="O67" s="39"/>
      <c r="P67" s="39"/>
      <c r="Q67" s="39"/>
      <c r="R67" s="41"/>
      <c r="S67" s="44">
        <v>30000</v>
      </c>
      <c r="T67" s="44">
        <v>2500</v>
      </c>
      <c r="U67" s="48" t="s">
        <v>528</v>
      </c>
      <c r="V67" s="44">
        <v>2500</v>
      </c>
      <c r="W67" s="53" t="s">
        <v>590</v>
      </c>
      <c r="X67" s="53">
        <v>2500</v>
      </c>
      <c r="Y67" s="53" t="s">
        <v>929</v>
      </c>
      <c r="Z67" s="53">
        <v>2500</v>
      </c>
      <c r="AA67" s="53" t="s">
        <v>1109</v>
      </c>
      <c r="AB67" s="53">
        <v>2500</v>
      </c>
      <c r="AC67" s="53" t="s">
        <v>1363</v>
      </c>
      <c r="AD67" s="44"/>
      <c r="AE67" s="44"/>
      <c r="AF67" s="72">
        <f>S67-T67-V67-X67-Z67-AB67</f>
        <v>17500</v>
      </c>
      <c r="AG67" s="73"/>
      <c r="AH67" s="73"/>
      <c r="AI67" s="148">
        <f>+T67+V67+X67+Z67+AB67</f>
        <v>12500</v>
      </c>
      <c r="AJ67" s="145">
        <f t="shared" si="6"/>
        <v>17500</v>
      </c>
      <c r="AK67" s="115">
        <v>5000</v>
      </c>
    </row>
    <row r="68" spans="1:49" ht="41.25" customHeight="1" x14ac:dyDescent="0.25">
      <c r="A68" s="27">
        <v>0</v>
      </c>
      <c r="B68" s="44">
        <v>68</v>
      </c>
      <c r="C68" s="44" t="s">
        <v>523</v>
      </c>
      <c r="D68" s="44" t="s">
        <v>524</v>
      </c>
      <c r="E68" s="56">
        <v>438</v>
      </c>
      <c r="F68" s="44" t="s">
        <v>727</v>
      </c>
      <c r="G68" s="46" t="s">
        <v>525</v>
      </c>
      <c r="H68" s="44" t="s">
        <v>526</v>
      </c>
      <c r="I68" s="44" t="s">
        <v>346</v>
      </c>
      <c r="J68" s="44" t="s">
        <v>347</v>
      </c>
      <c r="K68" s="44"/>
      <c r="L68" s="44"/>
      <c r="M68" s="44"/>
      <c r="N68" s="142"/>
      <c r="O68" s="39">
        <v>4200</v>
      </c>
      <c r="P68" s="39">
        <v>4200</v>
      </c>
      <c r="Q68" s="39" t="s">
        <v>1286</v>
      </c>
      <c r="R68" s="41"/>
      <c r="S68" s="44">
        <v>30000</v>
      </c>
      <c r="T68" s="44">
        <v>5000</v>
      </c>
      <c r="U68" s="48" t="s">
        <v>527</v>
      </c>
      <c r="V68" s="44">
        <v>4000</v>
      </c>
      <c r="W68" s="53" t="s">
        <v>937</v>
      </c>
      <c r="X68" s="53">
        <v>8000</v>
      </c>
      <c r="Y68" s="53" t="s">
        <v>1677</v>
      </c>
      <c r="Z68" s="53"/>
      <c r="AA68" s="53"/>
      <c r="AB68" s="53"/>
      <c r="AC68" s="53"/>
      <c r="AD68" s="44"/>
      <c r="AE68" s="44"/>
      <c r="AF68" s="72">
        <f>S68-T68-V68-X68-Z68-AB68-AD68</f>
        <v>13000</v>
      </c>
      <c r="AG68" s="73"/>
      <c r="AH68" s="73"/>
      <c r="AI68" s="148">
        <f>+T68+V68+X68+Z68+AB68+AD68</f>
        <v>17000</v>
      </c>
      <c r="AJ68" s="145">
        <f t="shared" si="6"/>
        <v>13000</v>
      </c>
      <c r="AK68" s="115"/>
    </row>
    <row r="69" spans="1:49" ht="42.75" customHeight="1" x14ac:dyDescent="0.25">
      <c r="A69" s="27"/>
      <c r="B69" s="44">
        <v>69</v>
      </c>
      <c r="C69" s="44" t="s">
        <v>535</v>
      </c>
      <c r="D69" s="44" t="s">
        <v>536</v>
      </c>
      <c r="E69" s="56">
        <v>309</v>
      </c>
      <c r="F69" s="44" t="s">
        <v>215</v>
      </c>
      <c r="G69" s="46" t="s">
        <v>537</v>
      </c>
      <c r="H69" s="44" t="s">
        <v>37</v>
      </c>
      <c r="I69" s="56" t="s">
        <v>125</v>
      </c>
      <c r="J69" s="44" t="s">
        <v>538</v>
      </c>
      <c r="K69" s="44"/>
      <c r="L69" s="44"/>
      <c r="M69" s="44"/>
      <c r="N69" s="142"/>
      <c r="O69" s="39">
        <v>4200</v>
      </c>
      <c r="P69" s="39">
        <v>4200</v>
      </c>
      <c r="Q69" s="39" t="s">
        <v>1315</v>
      </c>
      <c r="R69" s="41"/>
      <c r="S69" s="56">
        <v>42500</v>
      </c>
      <c r="T69" s="44">
        <v>20000</v>
      </c>
      <c r="U69" s="48" t="s">
        <v>539</v>
      </c>
      <c r="V69" s="44"/>
      <c r="W69" s="53"/>
      <c r="X69" s="53"/>
      <c r="Y69" s="53"/>
      <c r="Z69" s="53"/>
      <c r="AA69" s="53"/>
      <c r="AB69" s="53"/>
      <c r="AC69" s="53"/>
      <c r="AD69" s="44"/>
      <c r="AE69" s="44"/>
      <c r="AF69" s="72">
        <f>S69-T69-V69-X69-Z69-AB69</f>
        <v>22500</v>
      </c>
      <c r="AG69" s="73"/>
      <c r="AH69" s="73"/>
      <c r="AI69" s="148">
        <f>+T69+V69+X69+Z69+AB69</f>
        <v>20000</v>
      </c>
      <c r="AJ69" s="145">
        <f t="shared" si="6"/>
        <v>22500</v>
      </c>
      <c r="AK69" s="115"/>
    </row>
    <row r="70" spans="1:49" ht="47.25" customHeight="1" x14ac:dyDescent="0.25">
      <c r="A70" s="27"/>
      <c r="B70" s="44">
        <v>70</v>
      </c>
      <c r="C70" s="44" t="s">
        <v>540</v>
      </c>
      <c r="D70" s="44" t="s">
        <v>541</v>
      </c>
      <c r="E70" s="56">
        <v>421</v>
      </c>
      <c r="F70" s="44" t="s">
        <v>39</v>
      </c>
      <c r="G70" s="46" t="s">
        <v>542</v>
      </c>
      <c r="H70" s="44" t="s">
        <v>246</v>
      </c>
      <c r="I70" s="44" t="s">
        <v>258</v>
      </c>
      <c r="J70" s="44" t="s">
        <v>543</v>
      </c>
      <c r="K70" s="44"/>
      <c r="L70" s="44"/>
      <c r="M70" s="44"/>
      <c r="N70" s="142"/>
      <c r="O70" s="39">
        <v>4200</v>
      </c>
      <c r="P70" s="39">
        <v>4200</v>
      </c>
      <c r="Q70" s="39" t="s">
        <v>1428</v>
      </c>
      <c r="R70" s="41"/>
      <c r="S70" s="44">
        <v>30000</v>
      </c>
      <c r="T70" s="44">
        <v>20000</v>
      </c>
      <c r="U70" s="48" t="s">
        <v>544</v>
      </c>
      <c r="V70" s="44"/>
      <c r="W70" s="53"/>
      <c r="X70" s="53"/>
      <c r="Y70" s="53"/>
      <c r="Z70" s="53"/>
      <c r="AA70" s="53"/>
      <c r="AB70" s="53"/>
      <c r="AC70" s="53"/>
      <c r="AD70" s="44"/>
      <c r="AE70" s="44"/>
      <c r="AF70" s="72">
        <f>S70-T70-V70-X70-Z70-AB70-AD70</f>
        <v>10000</v>
      </c>
      <c r="AG70" s="73"/>
      <c r="AH70" s="73"/>
      <c r="AI70" s="148">
        <f>+T70+V70+X70+Z70+AB70+AD70</f>
        <v>20000</v>
      </c>
      <c r="AJ70" s="145">
        <f t="shared" si="6"/>
        <v>10000</v>
      </c>
      <c r="AK70" s="180">
        <v>5000</v>
      </c>
    </row>
    <row r="71" spans="1:49" ht="37.5" customHeight="1" x14ac:dyDescent="0.25">
      <c r="A71" s="27"/>
      <c r="B71" s="44">
        <v>71</v>
      </c>
      <c r="C71" s="56" t="s">
        <v>548</v>
      </c>
      <c r="D71" s="44" t="s">
        <v>549</v>
      </c>
      <c r="E71" s="56">
        <v>344</v>
      </c>
      <c r="F71" s="56" t="s">
        <v>39</v>
      </c>
      <c r="G71" s="57" t="s">
        <v>573</v>
      </c>
      <c r="H71" s="56" t="s">
        <v>574</v>
      </c>
      <c r="I71" s="56" t="s">
        <v>125</v>
      </c>
      <c r="J71" s="58"/>
      <c r="K71" s="39"/>
      <c r="L71" s="39"/>
      <c r="M71" s="39"/>
      <c r="N71" s="41"/>
      <c r="O71" s="39">
        <v>4200</v>
      </c>
      <c r="P71" s="39">
        <v>4200</v>
      </c>
      <c r="Q71" s="39" t="s">
        <v>1227</v>
      </c>
      <c r="R71" s="41"/>
      <c r="S71" s="56">
        <v>25000</v>
      </c>
      <c r="T71" s="56">
        <v>5000</v>
      </c>
      <c r="U71" s="78" t="s">
        <v>550</v>
      </c>
      <c r="V71" s="58">
        <v>5000</v>
      </c>
      <c r="W71" s="79" t="s">
        <v>1703</v>
      </c>
      <c r="X71" s="42"/>
      <c r="Y71" s="42"/>
      <c r="Z71" s="42"/>
      <c r="AA71" s="42"/>
      <c r="AB71" s="42"/>
      <c r="AC71" s="42"/>
      <c r="AD71" s="39"/>
      <c r="AE71" s="39"/>
      <c r="AF71" s="77">
        <f>S71-T71-V71-X71-Z71-AB71-AD71</f>
        <v>15000</v>
      </c>
      <c r="AG71" s="76"/>
      <c r="AH71" s="76"/>
      <c r="AI71" s="149">
        <f>+T71+V71+X71+Z71+AB71+AD71</f>
        <v>10000</v>
      </c>
      <c r="AJ71" s="145">
        <f t="shared" si="6"/>
        <v>15000</v>
      </c>
      <c r="AK71" s="115"/>
    </row>
    <row r="72" spans="1:49" ht="37.5" customHeight="1" x14ac:dyDescent="0.25">
      <c r="A72" s="27"/>
      <c r="B72" s="44">
        <v>72</v>
      </c>
      <c r="C72" s="44" t="s">
        <v>553</v>
      </c>
      <c r="D72" s="15" t="s">
        <v>554</v>
      </c>
      <c r="E72" s="44">
        <v>398</v>
      </c>
      <c r="F72" s="44" t="s">
        <v>39</v>
      </c>
      <c r="G72" s="46" t="s">
        <v>555</v>
      </c>
      <c r="H72" s="44" t="s">
        <v>556</v>
      </c>
      <c r="I72" s="56" t="s">
        <v>166</v>
      </c>
      <c r="J72" s="44"/>
      <c r="K72" s="44"/>
      <c r="L72" s="44"/>
      <c r="M72" s="44"/>
      <c r="N72" s="142"/>
      <c r="O72" s="39">
        <v>4200</v>
      </c>
      <c r="P72" s="39">
        <v>4200</v>
      </c>
      <c r="Q72" s="39" t="s">
        <v>1309</v>
      </c>
      <c r="R72" s="41"/>
      <c r="S72" s="44">
        <v>30000</v>
      </c>
      <c r="T72" s="44">
        <v>5000</v>
      </c>
      <c r="U72" s="48" t="s">
        <v>557</v>
      </c>
      <c r="V72" s="44">
        <v>5000</v>
      </c>
      <c r="W72" s="53" t="s">
        <v>932</v>
      </c>
      <c r="X72" s="44">
        <v>5000</v>
      </c>
      <c r="Y72" s="53" t="s">
        <v>1705</v>
      </c>
      <c r="Z72" s="44"/>
      <c r="AA72" s="53"/>
      <c r="AB72" s="44"/>
      <c r="AC72" s="53"/>
      <c r="AD72" s="44"/>
      <c r="AE72" s="44"/>
      <c r="AF72" s="72">
        <f>S72-T72-V72-X72-Z72-AB72</f>
        <v>15000</v>
      </c>
      <c r="AG72" s="73"/>
      <c r="AH72" s="73"/>
      <c r="AI72" s="148">
        <f>+T72+V72+X72+Z72+AB72</f>
        <v>15000</v>
      </c>
      <c r="AJ72" s="145">
        <f t="shared" si="6"/>
        <v>15000</v>
      </c>
      <c r="AK72" s="115"/>
    </row>
    <row r="73" spans="1:49" ht="37.5" customHeight="1" x14ac:dyDescent="0.25">
      <c r="A73" s="27"/>
      <c r="B73" s="44">
        <v>73</v>
      </c>
      <c r="C73" s="44" t="s">
        <v>558</v>
      </c>
      <c r="D73" s="44" t="s">
        <v>559</v>
      </c>
      <c r="E73" s="56">
        <v>349</v>
      </c>
      <c r="F73" s="44" t="s">
        <v>589</v>
      </c>
      <c r="G73" s="46" t="s">
        <v>567</v>
      </c>
      <c r="H73" s="44" t="s">
        <v>568</v>
      </c>
      <c r="I73" s="44" t="s">
        <v>569</v>
      </c>
      <c r="J73" s="44"/>
      <c r="K73" s="44"/>
      <c r="L73" s="44"/>
      <c r="M73" s="44"/>
      <c r="N73" s="142"/>
      <c r="O73" s="39">
        <v>4200</v>
      </c>
      <c r="P73" s="39">
        <v>4200</v>
      </c>
      <c r="Q73" s="39" t="s">
        <v>1524</v>
      </c>
      <c r="R73" s="41"/>
      <c r="S73" s="44">
        <v>30000</v>
      </c>
      <c r="T73" s="44">
        <v>5000</v>
      </c>
      <c r="U73" s="48" t="s">
        <v>560</v>
      </c>
      <c r="V73" s="44"/>
      <c r="W73" s="53"/>
      <c r="X73" s="53"/>
      <c r="Y73" s="53"/>
      <c r="Z73" s="53"/>
      <c r="AA73" s="53"/>
      <c r="AB73" s="53"/>
      <c r="AC73" s="53"/>
      <c r="AD73" s="44"/>
      <c r="AE73" s="44"/>
      <c r="AF73" s="72">
        <f>S73-T73-V73-X73-Z73-AB73</f>
        <v>25000</v>
      </c>
      <c r="AG73" s="73"/>
      <c r="AH73" s="73"/>
      <c r="AI73" s="148">
        <f>+T73+V73+X73+Z73+AB73</f>
        <v>5000</v>
      </c>
      <c r="AJ73" s="145">
        <f t="shared" si="6"/>
        <v>25000</v>
      </c>
      <c r="AK73" s="180">
        <v>5000</v>
      </c>
    </row>
    <row r="74" spans="1:49" ht="35.25" customHeight="1" x14ac:dyDescent="0.25">
      <c r="A74" s="27"/>
      <c r="B74" s="44">
        <v>74</v>
      </c>
      <c r="C74" s="44" t="s">
        <v>1562</v>
      </c>
      <c r="D74" s="44" t="s">
        <v>565</v>
      </c>
      <c r="E74" s="56">
        <v>375</v>
      </c>
      <c r="F74" s="44" t="s">
        <v>39</v>
      </c>
      <c r="G74" s="46"/>
      <c r="H74" s="44" t="s">
        <v>324</v>
      </c>
      <c r="I74" s="56" t="s">
        <v>166</v>
      </c>
      <c r="J74" s="44"/>
      <c r="K74" s="44"/>
      <c r="L74" s="44"/>
      <c r="M74" s="44"/>
      <c r="N74" s="142"/>
      <c r="O74" s="39">
        <v>4200</v>
      </c>
      <c r="P74" s="39">
        <v>4200</v>
      </c>
      <c r="Q74" s="39" t="s">
        <v>1563</v>
      </c>
      <c r="R74" s="41"/>
      <c r="S74" s="44">
        <v>30000</v>
      </c>
      <c r="T74" s="44">
        <v>5000</v>
      </c>
      <c r="U74" s="48" t="s">
        <v>566</v>
      </c>
      <c r="V74" s="44">
        <v>5000</v>
      </c>
      <c r="W74" s="53" t="s">
        <v>958</v>
      </c>
      <c r="X74" s="44">
        <v>10000</v>
      </c>
      <c r="Y74" s="53" t="s">
        <v>1808</v>
      </c>
      <c r="Z74" s="44"/>
      <c r="AA74" s="53"/>
      <c r="AB74" s="44"/>
      <c r="AC74" s="53"/>
      <c r="AD74" s="44"/>
      <c r="AE74" s="44"/>
      <c r="AF74" s="72">
        <f>S74-T74-V74-X74-Z74-AB74-AD74</f>
        <v>10000</v>
      </c>
      <c r="AG74" s="73"/>
      <c r="AH74" s="73"/>
      <c r="AI74" s="148">
        <f>+T74+V74+X74+Z74+AB74+AD74</f>
        <v>20000</v>
      </c>
      <c r="AJ74" s="145">
        <f t="shared" si="6"/>
        <v>10000</v>
      </c>
      <c r="AK74" s="115">
        <v>5000</v>
      </c>
    </row>
    <row r="75" spans="1:49" ht="37.5" customHeight="1" x14ac:dyDescent="0.25">
      <c r="A75" s="27"/>
      <c r="B75" s="44">
        <v>75</v>
      </c>
      <c r="C75" s="44" t="s">
        <v>580</v>
      </c>
      <c r="D75" s="44" t="s">
        <v>581</v>
      </c>
      <c r="E75" s="56">
        <v>289</v>
      </c>
      <c r="F75" s="44" t="s">
        <v>40</v>
      </c>
      <c r="G75" s="46" t="s">
        <v>582</v>
      </c>
      <c r="H75" s="44" t="s">
        <v>321</v>
      </c>
      <c r="I75" s="44" t="s">
        <v>583</v>
      </c>
      <c r="J75" s="44"/>
      <c r="K75" s="44"/>
      <c r="L75" s="44"/>
      <c r="M75" s="44"/>
      <c r="N75" s="142"/>
      <c r="O75" s="39">
        <v>4200</v>
      </c>
      <c r="P75" s="39">
        <v>4200</v>
      </c>
      <c r="Q75" s="39" t="s">
        <v>1482</v>
      </c>
      <c r="R75" s="41"/>
      <c r="S75" s="44">
        <v>35000</v>
      </c>
      <c r="T75" s="44">
        <v>5000</v>
      </c>
      <c r="U75" s="48" t="s">
        <v>584</v>
      </c>
      <c r="V75" s="44">
        <v>5000</v>
      </c>
      <c r="W75" s="53" t="s">
        <v>1221</v>
      </c>
      <c r="X75" s="53"/>
      <c r="Y75" s="53"/>
      <c r="Z75" s="53"/>
      <c r="AA75" s="53"/>
      <c r="AB75" s="53"/>
      <c r="AC75" s="53"/>
      <c r="AD75" s="44"/>
      <c r="AE75" s="44"/>
      <c r="AF75" s="72">
        <f>S75-T75-V75-X75-Z75-AB75-AD75</f>
        <v>25000</v>
      </c>
      <c r="AG75" s="73"/>
      <c r="AH75" s="73"/>
      <c r="AI75" s="148">
        <f>+T75+V75+X75+Z75+AB75+AD75</f>
        <v>10000</v>
      </c>
      <c r="AJ75" s="145">
        <f t="shared" si="6"/>
        <v>25000</v>
      </c>
      <c r="AK75" s="115"/>
    </row>
    <row r="76" spans="1:49" s="10" customFormat="1" ht="37.5" customHeight="1" x14ac:dyDescent="0.25">
      <c r="A76" s="27"/>
      <c r="B76" s="44">
        <v>76</v>
      </c>
      <c r="C76" s="44" t="s">
        <v>600</v>
      </c>
      <c r="D76" s="44" t="s">
        <v>601</v>
      </c>
      <c r="E76" s="56">
        <v>469</v>
      </c>
      <c r="F76" s="44" t="s">
        <v>727</v>
      </c>
      <c r="G76" s="46" t="s">
        <v>715</v>
      </c>
      <c r="H76" s="44" t="s">
        <v>32</v>
      </c>
      <c r="I76" s="44" t="s">
        <v>223</v>
      </c>
      <c r="J76" s="44"/>
      <c r="K76" s="44"/>
      <c r="L76" s="142"/>
      <c r="M76" s="44"/>
      <c r="N76" s="142"/>
      <c r="O76" s="39">
        <v>4200</v>
      </c>
      <c r="P76" s="39">
        <v>4200</v>
      </c>
      <c r="Q76" s="39" t="s">
        <v>1391</v>
      </c>
      <c r="R76" s="41"/>
      <c r="S76" s="44">
        <v>35000</v>
      </c>
      <c r="T76" s="44">
        <v>4000</v>
      </c>
      <c r="U76" s="48" t="s">
        <v>602</v>
      </c>
      <c r="V76" s="44">
        <v>5000</v>
      </c>
      <c r="W76" s="53" t="s">
        <v>1813</v>
      </c>
      <c r="X76" s="44"/>
      <c r="Y76" s="53"/>
      <c r="Z76" s="44"/>
      <c r="AA76" s="53"/>
      <c r="AB76" s="44"/>
      <c r="AC76" s="53"/>
      <c r="AD76" s="44"/>
      <c r="AE76" s="44"/>
      <c r="AF76" s="72">
        <f>S76-T76-V76-X76-Z76-AB76</f>
        <v>26000</v>
      </c>
      <c r="AG76" s="73"/>
      <c r="AH76" s="73"/>
      <c r="AI76" s="148">
        <f>+T76+V76+X76+Z76+AB76</f>
        <v>9000</v>
      </c>
      <c r="AJ76" s="145">
        <f t="shared" si="6"/>
        <v>26000</v>
      </c>
      <c r="AK76" s="115">
        <v>5000</v>
      </c>
      <c r="AL76" s="115"/>
      <c r="AM76" s="115" t="s">
        <v>75</v>
      </c>
      <c r="AN76" s="115"/>
      <c r="AO76" s="115"/>
      <c r="AP76" s="115"/>
      <c r="AQ76" s="115"/>
      <c r="AR76" s="12"/>
      <c r="AS76" s="12"/>
      <c r="AT76" s="12"/>
      <c r="AU76" s="12"/>
      <c r="AV76" s="12"/>
      <c r="AW76" s="12"/>
    </row>
    <row r="77" spans="1:49" ht="37.5" customHeight="1" x14ac:dyDescent="0.25">
      <c r="A77" s="27"/>
      <c r="B77" s="44">
        <v>77</v>
      </c>
      <c r="C77" s="44" t="s">
        <v>603</v>
      </c>
      <c r="D77" s="44" t="s">
        <v>604</v>
      </c>
      <c r="E77" s="56">
        <v>538</v>
      </c>
      <c r="F77" s="44" t="s">
        <v>39</v>
      </c>
      <c r="G77" s="46" t="s">
        <v>605</v>
      </c>
      <c r="H77" s="44" t="s">
        <v>606</v>
      </c>
      <c r="I77" s="56" t="s">
        <v>125</v>
      </c>
      <c r="J77" s="44"/>
      <c r="K77" s="44"/>
      <c r="L77" s="44"/>
      <c r="M77" s="44"/>
      <c r="N77" s="142"/>
      <c r="O77" s="39">
        <v>4200</v>
      </c>
      <c r="P77" s="39">
        <v>4200</v>
      </c>
      <c r="Q77" s="39" t="s">
        <v>1491</v>
      </c>
      <c r="R77" s="41"/>
      <c r="S77" s="44">
        <v>10</v>
      </c>
      <c r="T77" s="44"/>
      <c r="U77" s="51"/>
      <c r="V77" s="53"/>
      <c r="W77" s="53"/>
      <c r="X77" s="53"/>
      <c r="Y77" s="53"/>
      <c r="Z77" s="53"/>
      <c r="AA77" s="53"/>
      <c r="AB77" s="53"/>
      <c r="AC77" s="53"/>
      <c r="AD77" s="44"/>
      <c r="AE77" s="44"/>
      <c r="AF77" s="72">
        <f>S77-T77-V77-X77-Z77-AB77-AD77</f>
        <v>10</v>
      </c>
      <c r="AG77" s="73"/>
      <c r="AH77" s="73"/>
      <c r="AI77" s="148">
        <f>+T77+V77+X77+Z77+AB77+AD77:AD77</f>
        <v>0</v>
      </c>
      <c r="AJ77" s="145">
        <f t="shared" si="6"/>
        <v>10</v>
      </c>
      <c r="AK77" s="115"/>
    </row>
    <row r="78" spans="1:49" ht="41.25" customHeight="1" x14ac:dyDescent="0.25">
      <c r="A78" s="27"/>
      <c r="B78" s="44">
        <v>78</v>
      </c>
      <c r="C78" s="56" t="s">
        <v>609</v>
      </c>
      <c r="D78" s="56" t="s">
        <v>610</v>
      </c>
      <c r="E78" s="56">
        <v>371</v>
      </c>
      <c r="F78" s="56" t="s">
        <v>39</v>
      </c>
      <c r="G78" s="57" t="s">
        <v>611</v>
      </c>
      <c r="H78" s="56" t="s">
        <v>612</v>
      </c>
      <c r="I78" s="56" t="s">
        <v>166</v>
      </c>
      <c r="J78" s="58"/>
      <c r="K78" s="39"/>
      <c r="L78" s="39"/>
      <c r="M78" s="39"/>
      <c r="N78" s="41"/>
      <c r="O78" s="39">
        <v>4200</v>
      </c>
      <c r="P78" s="39">
        <v>4200</v>
      </c>
      <c r="Q78" s="39" t="s">
        <v>1323</v>
      </c>
      <c r="R78" s="41"/>
      <c r="S78" s="56">
        <v>24000</v>
      </c>
      <c r="T78" s="56">
        <v>4000</v>
      </c>
      <c r="U78" s="78" t="s">
        <v>613</v>
      </c>
      <c r="V78" s="58"/>
      <c r="W78" s="79"/>
      <c r="X78" s="42"/>
      <c r="Y78" s="42"/>
      <c r="Z78" s="42"/>
      <c r="AA78" s="42"/>
      <c r="AB78" s="42"/>
      <c r="AC78" s="42"/>
      <c r="AD78" s="39"/>
      <c r="AE78" s="39"/>
      <c r="AF78" s="77">
        <f>S78-T78-V78-X78-Z78-AB78</f>
        <v>20000</v>
      </c>
      <c r="AG78" s="76"/>
      <c r="AH78" s="76"/>
      <c r="AI78" s="149">
        <f>+T78+V78+X78+Z78+AB78</f>
        <v>4000</v>
      </c>
      <c r="AJ78" s="145">
        <f t="shared" si="6"/>
        <v>20000</v>
      </c>
      <c r="AK78" s="179">
        <v>5000</v>
      </c>
    </row>
    <row r="79" spans="1:49" s="10" customFormat="1" ht="37.5" customHeight="1" x14ac:dyDescent="0.25">
      <c r="A79" s="75"/>
      <c r="B79" s="44">
        <v>79</v>
      </c>
      <c r="C79" s="44" t="s">
        <v>614</v>
      </c>
      <c r="D79" s="44" t="s">
        <v>615</v>
      </c>
      <c r="E79" s="56">
        <v>408</v>
      </c>
      <c r="F79" s="44" t="s">
        <v>39</v>
      </c>
      <c r="G79" s="46" t="s">
        <v>616</v>
      </c>
      <c r="H79" s="44" t="s">
        <v>324</v>
      </c>
      <c r="I79" s="56" t="s">
        <v>166</v>
      </c>
      <c r="J79" s="44"/>
      <c r="K79" s="44"/>
      <c r="L79" s="44"/>
      <c r="M79" s="44"/>
      <c r="N79" s="142"/>
      <c r="O79" s="39">
        <v>4200</v>
      </c>
      <c r="P79" s="39">
        <v>4200</v>
      </c>
      <c r="Q79" s="39" t="s">
        <v>1564</v>
      </c>
      <c r="R79" s="41"/>
      <c r="S79" s="44">
        <v>30000</v>
      </c>
      <c r="T79" s="44">
        <v>10000</v>
      </c>
      <c r="U79" s="44" t="s">
        <v>617</v>
      </c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72">
        <f>S79-T79-V79-X79-Z79-AB79-AD79</f>
        <v>20000</v>
      </c>
      <c r="AG79" s="73"/>
      <c r="AH79" s="73"/>
      <c r="AI79" s="148">
        <f>+T79+V79+X79+Z79+AB79+AD79</f>
        <v>10000</v>
      </c>
      <c r="AJ79" s="145">
        <f t="shared" si="6"/>
        <v>20000</v>
      </c>
      <c r="AK79" s="180">
        <v>5000</v>
      </c>
      <c r="AL79" s="115"/>
      <c r="AM79" s="115"/>
      <c r="AN79" s="115"/>
      <c r="AO79" s="115"/>
      <c r="AP79" s="115"/>
      <c r="AQ79" s="115"/>
      <c r="AR79" s="12"/>
      <c r="AS79" s="12"/>
      <c r="AT79" s="12"/>
      <c r="AU79" s="12"/>
      <c r="AV79" s="12"/>
      <c r="AW79" s="12"/>
    </row>
    <row r="80" spans="1:49" ht="37.5" customHeight="1" x14ac:dyDescent="0.25">
      <c r="A80" s="27"/>
      <c r="B80" s="44">
        <v>80</v>
      </c>
      <c r="C80" s="44" t="s">
        <v>618</v>
      </c>
      <c r="D80" s="44" t="s">
        <v>619</v>
      </c>
      <c r="E80" s="56">
        <v>421</v>
      </c>
      <c r="F80" s="44" t="s">
        <v>40</v>
      </c>
      <c r="G80" s="46" t="s">
        <v>620</v>
      </c>
      <c r="H80" s="44" t="s">
        <v>278</v>
      </c>
      <c r="I80" s="44" t="s">
        <v>49</v>
      </c>
      <c r="J80" s="44"/>
      <c r="K80" s="44"/>
      <c r="L80" s="44"/>
      <c r="M80" s="44"/>
      <c r="N80" s="142"/>
      <c r="O80" s="39">
        <v>4200</v>
      </c>
      <c r="P80" s="39">
        <v>4200</v>
      </c>
      <c r="Q80" s="39" t="s">
        <v>1583</v>
      </c>
      <c r="R80" s="41"/>
      <c r="S80" s="44">
        <v>26000</v>
      </c>
      <c r="T80" s="44">
        <v>10000</v>
      </c>
      <c r="U80" s="48" t="s">
        <v>621</v>
      </c>
      <c r="V80" s="44">
        <v>10000</v>
      </c>
      <c r="W80" s="53" t="s">
        <v>1781</v>
      </c>
      <c r="X80" s="53"/>
      <c r="Y80" s="53"/>
      <c r="Z80" s="53"/>
      <c r="AA80" s="53"/>
      <c r="AB80" s="53"/>
      <c r="AC80" s="53"/>
      <c r="AD80" s="44"/>
      <c r="AE80" s="44"/>
      <c r="AF80" s="72">
        <f>S80-T80-V80-X80-Z80-AB80-AD80</f>
        <v>6000</v>
      </c>
      <c r="AG80" s="73"/>
      <c r="AH80" s="73"/>
      <c r="AI80" s="148">
        <f>+T80+V80+X80+Z80+AB80+AD80</f>
        <v>20000</v>
      </c>
      <c r="AJ80" s="145">
        <f t="shared" si="6"/>
        <v>6000</v>
      </c>
    </row>
    <row r="81" spans="1:49" ht="37.5" customHeight="1" x14ac:dyDescent="0.25">
      <c r="A81" s="27">
        <v>0</v>
      </c>
      <c r="B81" s="44">
        <v>81</v>
      </c>
      <c r="C81" s="44" t="s">
        <v>1713</v>
      </c>
      <c r="D81" s="44" t="s">
        <v>1001</v>
      </c>
      <c r="E81" s="56"/>
      <c r="F81" s="44" t="s">
        <v>39</v>
      </c>
      <c r="G81" s="46" t="s">
        <v>646</v>
      </c>
      <c r="H81" s="44" t="s">
        <v>268</v>
      </c>
      <c r="I81" s="56" t="s">
        <v>125</v>
      </c>
      <c r="J81" s="44"/>
      <c r="K81" s="44"/>
      <c r="L81" s="44"/>
      <c r="M81" s="44"/>
      <c r="N81" s="142"/>
      <c r="O81" s="39">
        <v>4200</v>
      </c>
      <c r="P81" s="39">
        <v>4200</v>
      </c>
      <c r="Q81" s="39" t="s">
        <v>1714</v>
      </c>
      <c r="R81" s="41"/>
      <c r="S81" s="44">
        <v>35000</v>
      </c>
      <c r="T81" s="44">
        <v>35000</v>
      </c>
      <c r="U81" s="48" t="s">
        <v>637</v>
      </c>
      <c r="V81" s="44"/>
      <c r="W81" s="128"/>
      <c r="X81" s="53"/>
      <c r="Y81" s="53"/>
      <c r="Z81" s="53"/>
      <c r="AA81" s="53"/>
      <c r="AB81" s="53"/>
      <c r="AC81" s="53"/>
      <c r="AD81" s="44"/>
      <c r="AE81" s="44"/>
      <c r="AF81" s="72">
        <f>S81-T81-V81-X81-Z81-AB81</f>
        <v>0</v>
      </c>
      <c r="AG81" s="73"/>
      <c r="AH81" s="73"/>
      <c r="AI81" s="148">
        <f>+T81+V81+X81+Z81+AB81</f>
        <v>35000</v>
      </c>
      <c r="AJ81" s="145">
        <f t="shared" si="6"/>
        <v>0</v>
      </c>
      <c r="AK81" s="180">
        <v>5000</v>
      </c>
    </row>
    <row r="82" spans="1:49" s="10" customFormat="1" ht="37.5" customHeight="1" x14ac:dyDescent="0.25">
      <c r="A82" s="27"/>
      <c r="B82" s="44">
        <v>82</v>
      </c>
      <c r="C82" s="44" t="s">
        <v>1049</v>
      </c>
      <c r="D82" s="44" t="s">
        <v>647</v>
      </c>
      <c r="E82" s="56">
        <v>314</v>
      </c>
      <c r="F82" s="44" t="s">
        <v>40</v>
      </c>
      <c r="G82" s="46" t="s">
        <v>714</v>
      </c>
      <c r="H82" s="44" t="s">
        <v>268</v>
      </c>
      <c r="I82" s="44" t="s">
        <v>49</v>
      </c>
      <c r="J82" s="44"/>
      <c r="K82" s="44"/>
      <c r="L82" s="44"/>
      <c r="M82" s="44"/>
      <c r="N82" s="142"/>
      <c r="O82" s="39">
        <v>4200</v>
      </c>
      <c r="P82" s="39">
        <v>4200</v>
      </c>
      <c r="Q82" s="39" t="s">
        <v>1429</v>
      </c>
      <c r="R82" s="41"/>
      <c r="S82" s="44">
        <v>28000</v>
      </c>
      <c r="T82" s="44">
        <v>2500</v>
      </c>
      <c r="U82" s="48" t="s">
        <v>648</v>
      </c>
      <c r="V82" s="44">
        <v>4000</v>
      </c>
      <c r="W82" s="53" t="s">
        <v>1050</v>
      </c>
      <c r="X82" s="44">
        <v>3000</v>
      </c>
      <c r="Y82" s="53" t="s">
        <v>1772</v>
      </c>
      <c r="Z82" s="44"/>
      <c r="AA82" s="53"/>
      <c r="AB82" s="44"/>
      <c r="AC82" s="53"/>
      <c r="AD82" s="44"/>
      <c r="AE82" s="44"/>
      <c r="AF82" s="72">
        <f>S82-T82-V82-X82-Z82-AB82-AD82</f>
        <v>18500</v>
      </c>
      <c r="AG82" s="73"/>
      <c r="AH82" s="73"/>
      <c r="AI82" s="148">
        <f>+T82+V82+X82+Z82+AB82+AD82</f>
        <v>9500</v>
      </c>
      <c r="AJ82" s="145">
        <f t="shared" si="6"/>
        <v>18500</v>
      </c>
      <c r="AK82" s="179">
        <v>5000</v>
      </c>
      <c r="AL82" s="115"/>
      <c r="AM82" s="115"/>
      <c r="AN82" s="115"/>
      <c r="AO82" s="115"/>
      <c r="AP82" s="115"/>
      <c r="AQ82" s="115"/>
      <c r="AR82" s="12"/>
      <c r="AS82" s="12"/>
      <c r="AT82" s="12"/>
      <c r="AU82" s="12"/>
      <c r="AV82" s="12"/>
      <c r="AW82" s="12"/>
    </row>
    <row r="83" spans="1:49" ht="37.5" customHeight="1" x14ac:dyDescent="0.25">
      <c r="A83" s="27"/>
      <c r="B83" s="44">
        <v>83</v>
      </c>
      <c r="C83" s="44" t="s">
        <v>652</v>
      </c>
      <c r="D83" s="44" t="s">
        <v>653</v>
      </c>
      <c r="E83" s="56">
        <v>311</v>
      </c>
      <c r="F83" s="44" t="s">
        <v>40</v>
      </c>
      <c r="G83" s="46" t="s">
        <v>716</v>
      </c>
      <c r="H83" s="44" t="s">
        <v>324</v>
      </c>
      <c r="I83" s="44" t="s">
        <v>301</v>
      </c>
      <c r="J83" s="44"/>
      <c r="K83" s="44"/>
      <c r="L83" s="44"/>
      <c r="M83" s="44"/>
      <c r="N83" s="142"/>
      <c r="O83" s="39">
        <v>4200</v>
      </c>
      <c r="P83" s="39">
        <v>4200</v>
      </c>
      <c r="Q83" s="39" t="s">
        <v>1547</v>
      </c>
      <c r="R83" s="41"/>
      <c r="S83" s="44">
        <v>33000</v>
      </c>
      <c r="T83" s="44">
        <v>1000</v>
      </c>
      <c r="U83" s="48" t="s">
        <v>654</v>
      </c>
      <c r="V83" s="44">
        <v>5000</v>
      </c>
      <c r="W83" s="53" t="s">
        <v>1786</v>
      </c>
      <c r="X83" s="53"/>
      <c r="Y83" s="53"/>
      <c r="Z83" s="53"/>
      <c r="AA83" s="53"/>
      <c r="AB83" s="53"/>
      <c r="AC83" s="53"/>
      <c r="AD83" s="44"/>
      <c r="AE83" s="44"/>
      <c r="AF83" s="72">
        <f t="shared" ref="AF83:AF89" si="7">S83-T83-V83-X83-Z83-AB83-AD83</f>
        <v>27000</v>
      </c>
      <c r="AG83" s="73"/>
      <c r="AH83" s="73"/>
      <c r="AI83" s="148">
        <f t="shared" ref="AI83:AI89" si="8">+T83+V83+X83+Z83+AB83+AD83</f>
        <v>6000</v>
      </c>
      <c r="AJ83" s="145">
        <f t="shared" si="6"/>
        <v>27000</v>
      </c>
      <c r="AK83" s="179">
        <v>15000</v>
      </c>
    </row>
    <row r="84" spans="1:49" ht="40.5" customHeight="1" x14ac:dyDescent="0.25">
      <c r="A84" s="27"/>
      <c r="B84" s="44">
        <v>84</v>
      </c>
      <c r="C84" s="56" t="s">
        <v>655</v>
      </c>
      <c r="D84" s="56" t="s">
        <v>478</v>
      </c>
      <c r="E84" s="56"/>
      <c r="F84" s="56" t="s">
        <v>727</v>
      </c>
      <c r="G84" s="57" t="s">
        <v>705</v>
      </c>
      <c r="H84" s="56" t="s">
        <v>295</v>
      </c>
      <c r="I84" s="58"/>
      <c r="K84" s="39"/>
      <c r="L84" s="39"/>
      <c r="M84" s="39"/>
      <c r="N84" s="41"/>
      <c r="O84" s="39"/>
      <c r="P84" s="39"/>
      <c r="Q84" s="39"/>
      <c r="R84" s="41"/>
      <c r="S84" s="56">
        <v>33000</v>
      </c>
      <c r="T84" s="56">
        <v>5000</v>
      </c>
      <c r="U84" s="78" t="s">
        <v>656</v>
      </c>
      <c r="V84" s="58"/>
      <c r="W84" s="79"/>
      <c r="X84" s="42"/>
      <c r="Y84" s="42"/>
      <c r="Z84" s="42"/>
      <c r="AA84" s="42"/>
      <c r="AB84" s="42"/>
      <c r="AC84" s="42"/>
      <c r="AD84" s="39"/>
      <c r="AE84" s="39"/>
      <c r="AF84" s="77">
        <f t="shared" si="7"/>
        <v>28000</v>
      </c>
      <c r="AG84" s="76"/>
      <c r="AH84" s="76"/>
      <c r="AI84" s="149">
        <f t="shared" si="8"/>
        <v>5000</v>
      </c>
      <c r="AJ84" s="145">
        <f t="shared" si="6"/>
        <v>28000</v>
      </c>
      <c r="AK84" s="115"/>
    </row>
    <row r="85" spans="1:49" ht="36" customHeight="1" x14ac:dyDescent="0.25">
      <c r="A85" s="27"/>
      <c r="B85" s="44">
        <v>85</v>
      </c>
      <c r="C85" s="44" t="s">
        <v>657</v>
      </c>
      <c r="D85" s="58" t="s">
        <v>658</v>
      </c>
      <c r="E85" s="56">
        <v>401</v>
      </c>
      <c r="F85" s="56" t="s">
        <v>215</v>
      </c>
      <c r="G85" s="103" t="s">
        <v>712</v>
      </c>
      <c r="H85" s="58" t="s">
        <v>246</v>
      </c>
      <c r="I85" s="58"/>
      <c r="J85" s="58"/>
      <c r="K85" s="39"/>
      <c r="L85" s="39"/>
      <c r="M85" s="39"/>
      <c r="N85" s="41"/>
      <c r="O85" s="39">
        <v>4200</v>
      </c>
      <c r="P85" s="39">
        <v>4200</v>
      </c>
      <c r="Q85" s="39" t="s">
        <v>1299</v>
      </c>
      <c r="R85" s="41"/>
      <c r="S85" s="56">
        <v>50000</v>
      </c>
      <c r="T85" s="56">
        <v>5000</v>
      </c>
      <c r="U85" s="94" t="s">
        <v>659</v>
      </c>
      <c r="V85" s="58"/>
      <c r="W85" s="79"/>
      <c r="X85" s="42"/>
      <c r="Y85" s="42"/>
      <c r="Z85" s="42"/>
      <c r="AA85" s="42"/>
      <c r="AB85" s="42"/>
      <c r="AC85" s="42"/>
      <c r="AD85" s="39"/>
      <c r="AE85" s="39"/>
      <c r="AF85" s="77">
        <f t="shared" si="7"/>
        <v>45000</v>
      </c>
      <c r="AG85" s="76"/>
      <c r="AH85" s="76"/>
      <c r="AI85" s="149">
        <f t="shared" si="8"/>
        <v>5000</v>
      </c>
      <c r="AJ85" s="145">
        <f t="shared" si="6"/>
        <v>45000</v>
      </c>
      <c r="AK85" s="115"/>
    </row>
    <row r="86" spans="1:49" ht="32.25" customHeight="1" x14ac:dyDescent="0.25">
      <c r="A86" s="27"/>
      <c r="B86" s="44">
        <v>86</v>
      </c>
      <c r="C86" s="56" t="s">
        <v>662</v>
      </c>
      <c r="D86" s="56" t="s">
        <v>549</v>
      </c>
      <c r="E86" s="56"/>
      <c r="F86" s="56" t="s">
        <v>215</v>
      </c>
      <c r="G86" s="57" t="s">
        <v>698</v>
      </c>
      <c r="H86" s="56" t="s">
        <v>699</v>
      </c>
      <c r="I86" s="56" t="s">
        <v>700</v>
      </c>
      <c r="J86" s="58"/>
      <c r="K86" s="39"/>
      <c r="L86" s="39"/>
      <c r="M86" s="39"/>
      <c r="N86" s="41"/>
      <c r="O86" s="39">
        <v>4200</v>
      </c>
      <c r="P86" s="39">
        <v>4200</v>
      </c>
      <c r="Q86" s="39" t="s">
        <v>1379</v>
      </c>
      <c r="R86" s="41"/>
      <c r="S86" s="56">
        <v>50000</v>
      </c>
      <c r="T86" s="56">
        <v>4000</v>
      </c>
      <c r="U86" s="48" t="s">
        <v>664</v>
      </c>
      <c r="V86" s="58">
        <v>10000</v>
      </c>
      <c r="W86" s="79" t="s">
        <v>1741</v>
      </c>
      <c r="X86" s="42"/>
      <c r="Y86" s="42"/>
      <c r="Z86" s="42"/>
      <c r="AA86" s="42"/>
      <c r="AB86" s="42"/>
      <c r="AC86" s="42"/>
      <c r="AD86" s="39"/>
      <c r="AE86" s="39"/>
      <c r="AF86" s="77">
        <f t="shared" si="7"/>
        <v>36000</v>
      </c>
      <c r="AG86" s="76"/>
      <c r="AH86" s="76"/>
      <c r="AI86" s="149">
        <f t="shared" si="8"/>
        <v>14000</v>
      </c>
      <c r="AJ86" s="145">
        <f t="shared" si="6"/>
        <v>36000</v>
      </c>
      <c r="AK86" s="180">
        <v>5000</v>
      </c>
    </row>
    <row r="87" spans="1:49" ht="37.5" customHeight="1" x14ac:dyDescent="0.25">
      <c r="A87" s="27"/>
      <c r="B87" s="44">
        <v>87</v>
      </c>
      <c r="C87" s="44" t="s">
        <v>673</v>
      </c>
      <c r="D87" s="56" t="s">
        <v>674</v>
      </c>
      <c r="E87" s="56">
        <v>345</v>
      </c>
      <c r="F87" s="56" t="s">
        <v>215</v>
      </c>
      <c r="G87" s="57" t="s">
        <v>717</v>
      </c>
      <c r="H87" s="44" t="s">
        <v>37</v>
      </c>
      <c r="I87" s="44" t="s">
        <v>49</v>
      </c>
      <c r="J87" s="44"/>
      <c r="K87" s="44"/>
      <c r="L87" s="44"/>
      <c r="M87" s="44"/>
      <c r="N87" s="142"/>
      <c r="O87" s="39">
        <v>4200</v>
      </c>
      <c r="P87" s="39">
        <v>4200</v>
      </c>
      <c r="Q87" s="39" t="s">
        <v>1326</v>
      </c>
      <c r="R87" s="41"/>
      <c r="S87" s="44">
        <v>60000</v>
      </c>
      <c r="T87" s="44">
        <v>10000</v>
      </c>
      <c r="U87" s="48" t="s">
        <v>675</v>
      </c>
      <c r="V87" s="44">
        <v>5000</v>
      </c>
      <c r="W87" s="53"/>
      <c r="X87" s="44">
        <v>10000</v>
      </c>
      <c r="Y87" s="53" t="s">
        <v>1212</v>
      </c>
      <c r="Z87" s="53"/>
      <c r="AA87" s="53"/>
      <c r="AB87" s="53"/>
      <c r="AC87" s="53"/>
      <c r="AD87" s="44"/>
      <c r="AE87" s="44"/>
      <c r="AF87" s="72">
        <f t="shared" si="7"/>
        <v>35000</v>
      </c>
      <c r="AG87" s="73"/>
      <c r="AH87" s="73"/>
      <c r="AI87" s="148">
        <f t="shared" si="8"/>
        <v>25000</v>
      </c>
      <c r="AJ87" s="145">
        <f t="shared" si="6"/>
        <v>35000</v>
      </c>
      <c r="AK87" s="179">
        <v>10000</v>
      </c>
    </row>
    <row r="88" spans="1:49" ht="37.5" customHeight="1" x14ac:dyDescent="0.25">
      <c r="A88" s="27"/>
      <c r="B88" s="44">
        <v>88</v>
      </c>
      <c r="C88" s="44" t="s">
        <v>676</v>
      </c>
      <c r="D88" s="44" t="s">
        <v>35</v>
      </c>
      <c r="E88" s="56">
        <v>314</v>
      </c>
      <c r="F88" s="44" t="s">
        <v>40</v>
      </c>
      <c r="G88" s="39">
        <v>3056619663</v>
      </c>
      <c r="H88" s="44" t="s">
        <v>268</v>
      </c>
      <c r="I88" s="44" t="s">
        <v>49</v>
      </c>
      <c r="J88" s="44"/>
      <c r="K88" s="44"/>
      <c r="L88" s="44"/>
      <c r="M88" s="44"/>
      <c r="N88" s="142"/>
      <c r="O88" s="39">
        <v>4200</v>
      </c>
      <c r="P88" s="39">
        <v>4200</v>
      </c>
      <c r="Q88" s="39" t="s">
        <v>1575</v>
      </c>
      <c r="R88" s="41"/>
      <c r="S88" s="44">
        <v>27500</v>
      </c>
      <c r="T88" s="44">
        <v>5000</v>
      </c>
      <c r="U88" s="48" t="s">
        <v>677</v>
      </c>
      <c r="V88" s="44">
        <v>22500</v>
      </c>
      <c r="W88" s="53" t="s">
        <v>1672</v>
      </c>
      <c r="X88" s="53"/>
      <c r="Y88" s="53"/>
      <c r="Z88" s="53"/>
      <c r="AA88" s="53"/>
      <c r="AB88" s="53"/>
      <c r="AC88" s="53"/>
      <c r="AD88" s="44"/>
      <c r="AE88" s="44"/>
      <c r="AF88" s="72">
        <f t="shared" si="7"/>
        <v>0</v>
      </c>
      <c r="AG88" s="73"/>
      <c r="AH88" s="73"/>
      <c r="AI88" s="148">
        <f t="shared" si="8"/>
        <v>27500</v>
      </c>
      <c r="AJ88" s="145">
        <f t="shared" si="6"/>
        <v>0</v>
      </c>
      <c r="AK88" s="115"/>
    </row>
    <row r="89" spans="1:49" s="26" customFormat="1" ht="37.5" customHeight="1" x14ac:dyDescent="0.25">
      <c r="A89" s="27"/>
      <c r="B89" s="44"/>
      <c r="C89" s="56"/>
      <c r="D89" s="56"/>
      <c r="E89" s="56"/>
      <c r="F89" s="44"/>
      <c r="G89" s="57"/>
      <c r="H89" s="56"/>
      <c r="I89" s="56"/>
      <c r="J89" s="56"/>
      <c r="K89" s="39"/>
      <c r="L89" s="39"/>
      <c r="M89" s="39"/>
      <c r="N89" s="39"/>
      <c r="O89" s="39"/>
      <c r="P89" s="39"/>
      <c r="Q89" s="39"/>
      <c r="R89" s="39"/>
      <c r="S89" s="56"/>
      <c r="T89" s="56"/>
      <c r="U89" s="78"/>
      <c r="V89" s="79"/>
      <c r="W89" s="79"/>
      <c r="X89" s="42"/>
      <c r="Y89" s="42"/>
      <c r="Z89" s="42"/>
      <c r="AA89" s="42"/>
      <c r="AB89" s="42"/>
      <c r="AC89" s="42"/>
      <c r="AD89" s="39"/>
      <c r="AE89" s="39"/>
      <c r="AF89" s="72">
        <f t="shared" si="7"/>
        <v>0</v>
      </c>
      <c r="AG89" s="76"/>
      <c r="AH89" s="76"/>
      <c r="AI89" s="148">
        <f t="shared" si="8"/>
        <v>0</v>
      </c>
      <c r="AJ89" s="145">
        <f t="shared" si="6"/>
        <v>0</v>
      </c>
      <c r="AK89" s="120"/>
      <c r="AL89" s="120"/>
      <c r="AM89" s="120"/>
      <c r="AN89" s="120"/>
      <c r="AO89" s="120"/>
      <c r="AP89" s="120"/>
      <c r="AQ89" s="120"/>
      <c r="AR89" s="30"/>
      <c r="AS89" s="30"/>
      <c r="AT89" s="30"/>
      <c r="AU89" s="30"/>
      <c r="AV89" s="30"/>
      <c r="AW89" s="30"/>
    </row>
    <row r="90" spans="1:49" ht="44.25" customHeight="1" x14ac:dyDescent="0.25">
      <c r="A90" s="27"/>
      <c r="B90" s="44">
        <v>90</v>
      </c>
      <c r="C90" s="56" t="s">
        <v>681</v>
      </c>
      <c r="D90" s="56" t="s">
        <v>636</v>
      </c>
      <c r="E90" s="56"/>
      <c r="F90" s="56" t="s">
        <v>39</v>
      </c>
      <c r="G90" s="57" t="s">
        <v>701</v>
      </c>
      <c r="H90" s="56" t="s">
        <v>246</v>
      </c>
      <c r="I90" s="56" t="s">
        <v>702</v>
      </c>
      <c r="J90" s="56"/>
      <c r="K90" s="39"/>
      <c r="L90" s="39"/>
      <c r="M90" s="39"/>
      <c r="N90" s="41"/>
      <c r="O90" s="39">
        <v>4200</v>
      </c>
      <c r="P90" s="39">
        <v>4200</v>
      </c>
      <c r="Q90" s="39" t="s">
        <v>1427</v>
      </c>
      <c r="R90" s="41"/>
      <c r="S90" s="40">
        <v>35000</v>
      </c>
      <c r="T90" s="40">
        <v>20000</v>
      </c>
      <c r="U90" s="38" t="s">
        <v>682</v>
      </c>
      <c r="V90" s="39"/>
      <c r="W90" s="42"/>
      <c r="X90" s="42"/>
      <c r="Y90" s="42"/>
      <c r="Z90" s="42"/>
      <c r="AA90" s="42"/>
      <c r="AB90" s="42"/>
      <c r="AC90" s="42"/>
      <c r="AD90" s="39"/>
      <c r="AE90" s="39"/>
      <c r="AF90" s="77">
        <f>S90-T90-V90-X90-Z90-AB90-AD90</f>
        <v>15000</v>
      </c>
      <c r="AG90" s="76"/>
      <c r="AH90" s="76"/>
      <c r="AI90" s="149">
        <f>+T90+V90+X90+Z90+AB90</f>
        <v>20000</v>
      </c>
      <c r="AJ90" s="145">
        <f t="shared" si="6"/>
        <v>15000</v>
      </c>
      <c r="AK90" s="115">
        <v>5000</v>
      </c>
      <c r="AM90" s="115" t="s">
        <v>67</v>
      </c>
      <c r="AN90" s="115" t="s">
        <v>68</v>
      </c>
      <c r="AO90" s="115" t="s">
        <v>69</v>
      </c>
      <c r="AP90" s="115" t="s">
        <v>70</v>
      </c>
    </row>
    <row r="91" spans="1:49" ht="36" customHeight="1" x14ac:dyDescent="0.25">
      <c r="A91" s="27"/>
      <c r="B91" s="44">
        <v>91</v>
      </c>
      <c r="C91" s="44" t="s">
        <v>684</v>
      </c>
      <c r="D91" s="44" t="s">
        <v>685</v>
      </c>
      <c r="E91" s="56">
        <v>409</v>
      </c>
      <c r="F91" s="44" t="s">
        <v>215</v>
      </c>
      <c r="G91" s="46" t="s">
        <v>718</v>
      </c>
      <c r="H91" s="44" t="s">
        <v>263</v>
      </c>
      <c r="I91" s="44" t="s">
        <v>719</v>
      </c>
      <c r="J91" s="50"/>
      <c r="K91" s="44"/>
      <c r="L91" s="44"/>
      <c r="M91" s="44"/>
      <c r="N91" s="142"/>
      <c r="O91" s="39">
        <v>4200</v>
      </c>
      <c r="P91" s="39">
        <v>4200</v>
      </c>
      <c r="Q91" s="39" t="s">
        <v>1288</v>
      </c>
      <c r="R91" s="41"/>
      <c r="S91" s="44">
        <v>50000</v>
      </c>
      <c r="T91" s="44">
        <v>4000</v>
      </c>
      <c r="U91" s="48" t="s">
        <v>683</v>
      </c>
      <c r="V91" s="44"/>
      <c r="W91" s="53"/>
      <c r="X91" s="53"/>
      <c r="Y91" s="53"/>
      <c r="Z91" s="53"/>
      <c r="AA91" s="119"/>
      <c r="AB91" s="53"/>
      <c r="AC91" s="53"/>
      <c r="AD91" s="44"/>
      <c r="AE91" s="44"/>
      <c r="AF91" s="72">
        <f>S91-T91-V91-X91-Z91-AB91</f>
        <v>46000</v>
      </c>
      <c r="AG91" s="73"/>
      <c r="AH91" s="73"/>
      <c r="AI91" s="148">
        <f>+T91+V91+X91+Z91+AB91</f>
        <v>4000</v>
      </c>
      <c r="AJ91" s="145">
        <f t="shared" si="6"/>
        <v>46000</v>
      </c>
      <c r="AK91" s="115"/>
    </row>
    <row r="92" spans="1:49" ht="51.75" customHeight="1" x14ac:dyDescent="0.25">
      <c r="A92" s="27"/>
      <c r="B92" s="44">
        <v>92</v>
      </c>
      <c r="C92" s="44" t="s">
        <v>688</v>
      </c>
      <c r="D92" s="44" t="s">
        <v>815</v>
      </c>
      <c r="E92" s="56">
        <v>385</v>
      </c>
      <c r="F92" s="44" t="s">
        <v>40</v>
      </c>
      <c r="G92" s="46" t="s">
        <v>720</v>
      </c>
      <c r="H92" s="44" t="s">
        <v>571</v>
      </c>
      <c r="I92" s="56" t="s">
        <v>125</v>
      </c>
      <c r="J92" s="44"/>
      <c r="K92" s="44"/>
      <c r="L92" s="44"/>
      <c r="M92" s="44"/>
      <c r="N92" s="142"/>
      <c r="O92" s="39"/>
      <c r="P92" s="39"/>
      <c r="Q92" s="39"/>
      <c r="R92" s="41"/>
      <c r="S92" s="44">
        <v>30000</v>
      </c>
      <c r="T92" s="44">
        <v>5000</v>
      </c>
      <c r="U92" s="48" t="s">
        <v>689</v>
      </c>
      <c r="V92" s="53">
        <v>5000</v>
      </c>
      <c r="W92" s="53" t="s">
        <v>1755</v>
      </c>
      <c r="X92" s="53"/>
      <c r="Y92" s="53"/>
      <c r="Z92" s="53"/>
      <c r="AA92" s="53"/>
      <c r="AB92" s="53"/>
      <c r="AC92" s="53"/>
      <c r="AD92" s="44"/>
      <c r="AE92" s="44"/>
      <c r="AF92" s="72">
        <f>S92-T92-V92-X92-Z92-AB92</f>
        <v>20000</v>
      </c>
      <c r="AG92" s="73"/>
      <c r="AH92" s="73"/>
      <c r="AI92" s="148">
        <f>+T92+V92+X92+Z92+AB92</f>
        <v>10000</v>
      </c>
      <c r="AJ92" s="145">
        <f t="shared" si="6"/>
        <v>20000</v>
      </c>
      <c r="AK92" s="180">
        <v>5000</v>
      </c>
    </row>
    <row r="93" spans="1:49" ht="37.5" customHeight="1" x14ac:dyDescent="0.25">
      <c r="A93" s="27"/>
      <c r="B93" s="44">
        <v>93</v>
      </c>
      <c r="C93" s="44" t="s">
        <v>338</v>
      </c>
      <c r="D93" s="44" t="s">
        <v>19</v>
      </c>
      <c r="E93" s="56">
        <v>364</v>
      </c>
      <c r="F93" s="44" t="s">
        <v>589</v>
      </c>
      <c r="G93" s="46" t="s">
        <v>722</v>
      </c>
      <c r="H93" s="44" t="s">
        <v>447</v>
      </c>
      <c r="I93" s="56" t="s">
        <v>700</v>
      </c>
      <c r="J93" s="44"/>
      <c r="K93" s="44"/>
      <c r="L93" s="44"/>
      <c r="M93" s="44"/>
      <c r="N93" s="142"/>
      <c r="O93" s="39">
        <v>4200</v>
      </c>
      <c r="P93" s="39">
        <v>4200</v>
      </c>
      <c r="Q93" s="39" t="s">
        <v>1655</v>
      </c>
      <c r="R93" s="41"/>
      <c r="S93" s="44">
        <v>30000</v>
      </c>
      <c r="T93" s="44">
        <v>5000</v>
      </c>
      <c r="U93" s="48" t="s">
        <v>690</v>
      </c>
      <c r="V93" s="53">
        <v>5000</v>
      </c>
      <c r="W93" s="53" t="s">
        <v>1792</v>
      </c>
      <c r="X93" s="53"/>
      <c r="Y93" s="67"/>
      <c r="Z93" s="53"/>
      <c r="AA93" s="53"/>
      <c r="AB93" s="53"/>
      <c r="AC93" s="53"/>
      <c r="AD93" s="44"/>
      <c r="AE93" s="44"/>
      <c r="AF93" s="72">
        <f>S93-T93-V93-X93-Z93-AB93-AD93</f>
        <v>20000</v>
      </c>
      <c r="AG93" s="73"/>
      <c r="AH93" s="73"/>
      <c r="AI93" s="148">
        <f>+T93+V93+X93+Z93+AB93+AD93</f>
        <v>10000</v>
      </c>
      <c r="AJ93" s="145">
        <f t="shared" si="6"/>
        <v>20000</v>
      </c>
      <c r="AK93" s="180">
        <v>5000</v>
      </c>
    </row>
    <row r="94" spans="1:49" ht="37.5" customHeight="1" x14ac:dyDescent="0.25">
      <c r="A94" s="27"/>
      <c r="B94" s="44">
        <v>94</v>
      </c>
      <c r="C94" s="44" t="s">
        <v>723</v>
      </c>
      <c r="D94" s="44" t="s">
        <v>460</v>
      </c>
      <c r="E94" s="56">
        <v>400</v>
      </c>
      <c r="F94" s="44" t="s">
        <v>589</v>
      </c>
      <c r="G94" s="46" t="s">
        <v>724</v>
      </c>
      <c r="H94" s="44" t="s">
        <v>291</v>
      </c>
      <c r="I94" s="44" t="s">
        <v>725</v>
      </c>
      <c r="J94" s="44"/>
      <c r="K94" s="44"/>
      <c r="L94" s="44"/>
      <c r="M94" s="44"/>
      <c r="N94" s="142"/>
      <c r="O94" s="39">
        <v>4200</v>
      </c>
      <c r="P94" s="39">
        <v>4200</v>
      </c>
      <c r="Q94" s="39" t="s">
        <v>1709</v>
      </c>
      <c r="R94" s="41"/>
      <c r="S94" s="44">
        <v>30000</v>
      </c>
      <c r="T94" s="44">
        <v>5000</v>
      </c>
      <c r="U94" s="44" t="s">
        <v>726</v>
      </c>
      <c r="V94" s="44">
        <v>2500</v>
      </c>
      <c r="W94" s="53" t="s">
        <v>1303</v>
      </c>
      <c r="X94" s="53">
        <v>2500</v>
      </c>
      <c r="Y94" s="53" t="s">
        <v>1708</v>
      </c>
      <c r="Z94" s="53"/>
      <c r="AA94" s="53"/>
      <c r="AB94" s="53"/>
      <c r="AC94" s="53"/>
      <c r="AD94" s="44"/>
      <c r="AE94" s="44"/>
      <c r="AF94" s="72">
        <f>S94-T94-V94-X94-Z94-AB94-AD94</f>
        <v>20000</v>
      </c>
      <c r="AG94" s="73"/>
      <c r="AH94" s="73"/>
      <c r="AI94" s="148">
        <f>+T94+V94+X94+Z94+AB94+AD94</f>
        <v>10000</v>
      </c>
      <c r="AJ94" s="145">
        <f t="shared" si="6"/>
        <v>20000</v>
      </c>
      <c r="AK94" s="115">
        <v>10000</v>
      </c>
    </row>
    <row r="95" spans="1:49" ht="37.5" customHeight="1" x14ac:dyDescent="0.25">
      <c r="A95" s="27">
        <v>97</v>
      </c>
      <c r="B95" s="44">
        <v>95</v>
      </c>
      <c r="C95" s="44" t="s">
        <v>738</v>
      </c>
      <c r="D95" s="44" t="s">
        <v>739</v>
      </c>
      <c r="E95" s="56">
        <v>520</v>
      </c>
      <c r="F95" s="44" t="s">
        <v>727</v>
      </c>
      <c r="G95" s="46" t="s">
        <v>740</v>
      </c>
      <c r="H95" s="44" t="s">
        <v>741</v>
      </c>
      <c r="I95" s="44" t="s">
        <v>100</v>
      </c>
      <c r="J95" s="44"/>
      <c r="K95" s="44"/>
      <c r="L95" s="44"/>
      <c r="M95" s="44"/>
      <c r="N95" s="142"/>
      <c r="O95" s="39">
        <v>4200</v>
      </c>
      <c r="P95" s="39">
        <v>4200</v>
      </c>
      <c r="Q95" s="39" t="s">
        <v>1285</v>
      </c>
      <c r="R95" s="41"/>
      <c r="S95" s="44">
        <v>10</v>
      </c>
      <c r="T95" s="44"/>
      <c r="U95" s="48"/>
      <c r="V95" s="44"/>
      <c r="W95" s="53"/>
      <c r="X95" s="53"/>
      <c r="Y95" s="53"/>
      <c r="Z95" s="53"/>
      <c r="AA95" s="53"/>
      <c r="AB95" s="53"/>
      <c r="AC95" s="53"/>
      <c r="AD95" s="44"/>
      <c r="AE95" s="44"/>
      <c r="AF95" s="72">
        <f>S95-T95-V95-X95-Z95-AB95</f>
        <v>10</v>
      </c>
      <c r="AG95" s="73"/>
      <c r="AH95" s="73"/>
      <c r="AI95" s="152">
        <f>+T95+V95+X95+Z95+AB95</f>
        <v>0</v>
      </c>
      <c r="AJ95" s="145">
        <f t="shared" si="6"/>
        <v>10</v>
      </c>
      <c r="AK95" s="179">
        <v>5000</v>
      </c>
    </row>
    <row r="96" spans="1:49" ht="37.5" customHeight="1" x14ac:dyDescent="0.25">
      <c r="A96" s="27"/>
      <c r="B96" s="44">
        <v>96</v>
      </c>
      <c r="C96" s="44" t="s">
        <v>742</v>
      </c>
      <c r="D96" s="44" t="s">
        <v>21</v>
      </c>
      <c r="E96" s="56">
        <v>290</v>
      </c>
      <c r="F96" s="44" t="s">
        <v>40</v>
      </c>
      <c r="G96" s="46" t="s">
        <v>743</v>
      </c>
      <c r="H96" s="44" t="s">
        <v>295</v>
      </c>
      <c r="I96" s="44" t="s">
        <v>744</v>
      </c>
      <c r="J96" s="44"/>
      <c r="K96" s="44"/>
      <c r="L96" s="44"/>
      <c r="M96" s="44"/>
      <c r="N96" s="142"/>
      <c r="O96" s="39"/>
      <c r="P96" s="39"/>
      <c r="Q96" s="39"/>
      <c r="R96" s="41"/>
      <c r="S96" s="44">
        <v>28000</v>
      </c>
      <c r="T96" s="44">
        <v>2000</v>
      </c>
      <c r="U96" s="48" t="s">
        <v>745</v>
      </c>
      <c r="V96" s="44"/>
      <c r="W96" s="53"/>
      <c r="X96" s="53"/>
      <c r="Y96" s="53"/>
      <c r="Z96" s="53"/>
      <c r="AA96" s="53"/>
      <c r="AB96" s="53"/>
      <c r="AC96" s="53"/>
      <c r="AD96" s="44"/>
      <c r="AE96" s="44"/>
      <c r="AF96" s="72">
        <f>S96-T96-V96-X96-Z96-AB96</f>
        <v>26000</v>
      </c>
      <c r="AG96" s="73"/>
      <c r="AH96" s="73"/>
      <c r="AI96" s="152">
        <f>+T96+V96+X96+Z96+AB96</f>
        <v>2000</v>
      </c>
      <c r="AJ96" s="145">
        <f t="shared" si="6"/>
        <v>26000</v>
      </c>
      <c r="AK96" s="115">
        <v>5000</v>
      </c>
    </row>
    <row r="97" spans="1:49" s="24" customFormat="1" ht="37.5" customHeight="1" x14ac:dyDescent="0.25">
      <c r="A97" s="27"/>
      <c r="B97" s="44">
        <v>97</v>
      </c>
      <c r="C97" s="44" t="s">
        <v>18</v>
      </c>
      <c r="D97" s="44" t="s">
        <v>746</v>
      </c>
      <c r="E97" s="56">
        <v>373</v>
      </c>
      <c r="F97" s="44" t="s">
        <v>589</v>
      </c>
      <c r="G97" s="46" t="s">
        <v>747</v>
      </c>
      <c r="H97" s="44" t="s">
        <v>37</v>
      </c>
      <c r="I97" s="44" t="s">
        <v>748</v>
      </c>
      <c r="J97" s="44"/>
      <c r="K97" s="44"/>
      <c r="L97" s="44"/>
      <c r="M97" s="44"/>
      <c r="N97" s="142"/>
      <c r="O97" s="39">
        <v>4200</v>
      </c>
      <c r="P97" s="39">
        <v>4200</v>
      </c>
      <c r="Q97" s="39" t="s">
        <v>1567</v>
      </c>
      <c r="R97" s="41"/>
      <c r="S97" s="44">
        <v>25000</v>
      </c>
      <c r="T97" s="44">
        <v>2000</v>
      </c>
      <c r="U97" s="48" t="s">
        <v>749</v>
      </c>
      <c r="V97" s="44">
        <v>4000</v>
      </c>
      <c r="W97" s="53" t="s">
        <v>1204</v>
      </c>
      <c r="X97" s="53"/>
      <c r="Y97" s="53"/>
      <c r="Z97" s="53"/>
      <c r="AA97" s="53"/>
      <c r="AB97" s="53"/>
      <c r="AC97" s="53"/>
      <c r="AD97" s="44"/>
      <c r="AE97" s="44"/>
      <c r="AF97" s="72">
        <f>S97-T97-V97-X97-Z97-AB97</f>
        <v>19000</v>
      </c>
      <c r="AG97" s="73"/>
      <c r="AH97" s="73"/>
      <c r="AI97" s="148">
        <f>+T97+V97+X97+Z97+AB97</f>
        <v>6000</v>
      </c>
      <c r="AJ97" s="145">
        <f t="shared" si="6"/>
        <v>19000</v>
      </c>
      <c r="AK97" s="115">
        <v>5000</v>
      </c>
      <c r="AL97" s="115"/>
      <c r="AM97" s="115"/>
      <c r="AN97" s="115"/>
      <c r="AO97" s="115"/>
      <c r="AP97" s="115"/>
      <c r="AQ97" s="115"/>
      <c r="AR97" s="12"/>
      <c r="AS97" s="12"/>
      <c r="AT97" s="12"/>
      <c r="AU97" s="12"/>
      <c r="AV97" s="12"/>
      <c r="AW97" s="12"/>
    </row>
    <row r="98" spans="1:49" ht="37.5" customHeight="1" x14ac:dyDescent="0.25">
      <c r="A98" s="27"/>
      <c r="B98" s="44">
        <v>98</v>
      </c>
      <c r="C98" s="44" t="s">
        <v>750</v>
      </c>
      <c r="D98" s="44" t="s">
        <v>751</v>
      </c>
      <c r="E98" s="56"/>
      <c r="F98" s="44" t="s">
        <v>727</v>
      </c>
      <c r="G98" s="46" t="s">
        <v>752</v>
      </c>
      <c r="H98" s="44" t="s">
        <v>37</v>
      </c>
      <c r="I98" s="44"/>
      <c r="J98" s="44"/>
      <c r="K98" s="44"/>
      <c r="L98" s="44"/>
      <c r="M98" s="44"/>
      <c r="N98" s="142"/>
      <c r="O98" s="39">
        <v>4200</v>
      </c>
      <c r="P98" s="39">
        <v>4200</v>
      </c>
      <c r="Q98" s="39" t="s">
        <v>1351</v>
      </c>
      <c r="R98" s="41"/>
      <c r="S98" s="44">
        <v>10</v>
      </c>
      <c r="T98" s="44"/>
      <c r="U98" s="48"/>
      <c r="V98" s="44"/>
      <c r="W98" s="53"/>
      <c r="X98" s="53"/>
      <c r="Y98" s="53"/>
      <c r="Z98" s="53"/>
      <c r="AA98" s="53"/>
      <c r="AB98" s="53"/>
      <c r="AC98" s="53"/>
      <c r="AD98" s="44"/>
      <c r="AE98" s="44"/>
      <c r="AF98" s="72">
        <f>S98-T98-V98-X98-Z98-AB98</f>
        <v>10</v>
      </c>
      <c r="AG98" s="73"/>
      <c r="AH98" s="73"/>
      <c r="AI98" s="148">
        <f>+T98+V98+X98+Z98+AB98</f>
        <v>0</v>
      </c>
      <c r="AJ98" s="145">
        <f t="shared" si="6"/>
        <v>10</v>
      </c>
      <c r="AK98" s="115"/>
    </row>
    <row r="99" spans="1:49" ht="37.5" customHeight="1" x14ac:dyDescent="0.25">
      <c r="A99" s="27"/>
      <c r="B99" s="44">
        <v>99</v>
      </c>
      <c r="C99" s="44" t="s">
        <v>753</v>
      </c>
      <c r="D99" s="44" t="s">
        <v>754</v>
      </c>
      <c r="E99" s="56"/>
      <c r="F99" s="44" t="s">
        <v>40</v>
      </c>
      <c r="G99" s="46" t="s">
        <v>755</v>
      </c>
      <c r="H99" s="44" t="s">
        <v>324</v>
      </c>
      <c r="I99" s="56" t="s">
        <v>166</v>
      </c>
      <c r="J99" s="44"/>
      <c r="K99" s="44"/>
      <c r="L99" s="44"/>
      <c r="M99" s="44"/>
      <c r="N99" s="142"/>
      <c r="O99" s="39">
        <v>4200</v>
      </c>
      <c r="P99" s="39">
        <v>4200</v>
      </c>
      <c r="Q99" s="39" t="s">
        <v>1653</v>
      </c>
      <c r="R99" s="41"/>
      <c r="S99" s="44">
        <v>35000</v>
      </c>
      <c r="T99" s="44">
        <v>5000</v>
      </c>
      <c r="U99" s="48" t="s">
        <v>756</v>
      </c>
      <c r="V99" s="53">
        <v>5000</v>
      </c>
      <c r="W99" s="53" t="s">
        <v>1664</v>
      </c>
      <c r="X99" s="53">
        <v>10000</v>
      </c>
      <c r="Y99" s="119" t="s">
        <v>1730</v>
      </c>
      <c r="Z99" s="53"/>
      <c r="AA99" s="53"/>
      <c r="AB99" s="53"/>
      <c r="AC99" s="53"/>
      <c r="AD99" s="44"/>
      <c r="AE99" s="44"/>
      <c r="AF99" s="72">
        <f>S99-T99-V99-X99-Z99-AB99-AD99</f>
        <v>15000</v>
      </c>
      <c r="AG99" s="73"/>
      <c r="AH99" s="73"/>
      <c r="AI99" s="148">
        <f>+T99+V99+X99+Z99+AB99+AD99</f>
        <v>20000</v>
      </c>
      <c r="AJ99" s="145">
        <f t="shared" si="6"/>
        <v>15000</v>
      </c>
      <c r="AK99" s="115"/>
    </row>
    <row r="100" spans="1:49" s="12" customFormat="1" ht="18.75" customHeight="1" x14ac:dyDescent="0.25">
      <c r="A100" s="27"/>
      <c r="B100" s="44">
        <v>100</v>
      </c>
      <c r="C100" s="56" t="s">
        <v>757</v>
      </c>
      <c r="D100" s="56" t="s">
        <v>758</v>
      </c>
      <c r="E100" s="56">
        <v>313</v>
      </c>
      <c r="F100" s="56" t="s">
        <v>589</v>
      </c>
      <c r="G100" s="57" t="s">
        <v>759</v>
      </c>
      <c r="H100" s="56" t="s">
        <v>568</v>
      </c>
      <c r="I100" s="44" t="s">
        <v>760</v>
      </c>
      <c r="J100" s="56"/>
      <c r="K100" s="39"/>
      <c r="L100" s="39"/>
      <c r="M100" s="39"/>
      <c r="N100" s="41"/>
      <c r="O100" s="39">
        <v>4200</v>
      </c>
      <c r="P100" s="39">
        <v>4200</v>
      </c>
      <c r="Q100" s="39" t="s">
        <v>1519</v>
      </c>
      <c r="R100" s="41"/>
      <c r="S100" s="56">
        <v>35000</v>
      </c>
      <c r="T100" s="56">
        <v>5000</v>
      </c>
      <c r="U100" s="48" t="s">
        <v>761</v>
      </c>
      <c r="V100" s="58">
        <v>5000</v>
      </c>
      <c r="W100" s="79" t="s">
        <v>1748</v>
      </c>
      <c r="X100" s="42"/>
      <c r="Y100" s="42"/>
      <c r="Z100" s="42"/>
      <c r="AA100" s="42"/>
      <c r="AB100" s="42"/>
      <c r="AC100" s="42"/>
      <c r="AD100" s="39"/>
      <c r="AE100" s="39"/>
      <c r="AF100" s="77">
        <f>S100-T100-V100-X100-Z100-AB100-AD100</f>
        <v>25000</v>
      </c>
      <c r="AG100" s="76"/>
      <c r="AH100" s="76"/>
      <c r="AI100" s="149">
        <f>+T100+V100+X100+Z100+AB100+AD100</f>
        <v>10000</v>
      </c>
      <c r="AJ100" s="145">
        <f t="shared" si="6"/>
        <v>25000</v>
      </c>
      <c r="AK100" s="180">
        <v>5000</v>
      </c>
      <c r="AL100" s="115"/>
      <c r="AM100" s="115"/>
      <c r="AN100" s="115"/>
      <c r="AO100" s="115"/>
      <c r="AP100" s="115"/>
      <c r="AQ100" s="115"/>
    </row>
    <row r="101" spans="1:49" ht="37.5" customHeight="1" x14ac:dyDescent="0.25">
      <c r="A101" s="27"/>
      <c r="B101" s="44">
        <v>101</v>
      </c>
      <c r="C101" s="44" t="s">
        <v>762</v>
      </c>
      <c r="D101" s="44" t="s">
        <v>763</v>
      </c>
      <c r="E101" s="56">
        <v>434</v>
      </c>
      <c r="F101" s="56" t="s">
        <v>589</v>
      </c>
      <c r="G101" s="46" t="s">
        <v>764</v>
      </c>
      <c r="H101" s="44" t="s">
        <v>765</v>
      </c>
      <c r="I101" s="44" t="s">
        <v>766</v>
      </c>
      <c r="J101" s="44" t="s">
        <v>297</v>
      </c>
      <c r="K101" s="44"/>
      <c r="L101" s="44"/>
      <c r="M101" s="44"/>
      <c r="N101" s="142"/>
      <c r="O101" s="39">
        <v>4200</v>
      </c>
      <c r="P101" s="39">
        <v>4200</v>
      </c>
      <c r="Q101" s="39" t="s">
        <v>1607</v>
      </c>
      <c r="R101" s="41"/>
      <c r="S101" s="44">
        <v>32000</v>
      </c>
      <c r="T101" s="44">
        <v>5000</v>
      </c>
      <c r="U101" s="48" t="s">
        <v>767</v>
      </c>
      <c r="V101" s="44">
        <v>5000</v>
      </c>
      <c r="W101" s="53" t="s">
        <v>1751</v>
      </c>
      <c r="X101" s="53"/>
      <c r="Y101" s="53"/>
      <c r="Z101" s="53"/>
      <c r="AA101" s="53"/>
      <c r="AB101" s="53"/>
      <c r="AC101" s="53"/>
      <c r="AD101" s="44"/>
      <c r="AE101" s="44"/>
      <c r="AF101" s="72">
        <f>S101-T101-V101-X101-Z101-AB101-AD101</f>
        <v>22000</v>
      </c>
      <c r="AG101" s="73"/>
      <c r="AH101" s="73"/>
      <c r="AI101" s="148">
        <f>+T101+V101+X101+Z101+AB101+AD101</f>
        <v>10000</v>
      </c>
      <c r="AJ101" s="145">
        <f t="shared" si="6"/>
        <v>22000</v>
      </c>
      <c r="AK101" s="115">
        <v>10000</v>
      </c>
    </row>
    <row r="102" spans="1:49" s="175" customFormat="1" ht="54.75" customHeight="1" x14ac:dyDescent="0.25">
      <c r="A102" s="167"/>
      <c r="B102" s="44">
        <v>102</v>
      </c>
      <c r="C102" s="168" t="s">
        <v>768</v>
      </c>
      <c r="D102" s="168" t="s">
        <v>323</v>
      </c>
      <c r="E102" s="165">
        <v>316</v>
      </c>
      <c r="F102" s="168" t="s">
        <v>40</v>
      </c>
      <c r="G102" s="169" t="s">
        <v>769</v>
      </c>
      <c r="H102" s="168" t="s">
        <v>370</v>
      </c>
      <c r="I102" s="44" t="s">
        <v>49</v>
      </c>
      <c r="J102" s="44"/>
      <c r="K102" s="44"/>
      <c r="L102" s="44"/>
      <c r="M102" s="44"/>
      <c r="N102" s="142"/>
      <c r="O102" s="39">
        <v>4200</v>
      </c>
      <c r="P102" s="39">
        <v>4200</v>
      </c>
      <c r="Q102" s="39" t="s">
        <v>1592</v>
      </c>
      <c r="R102" s="41"/>
      <c r="S102" s="44">
        <v>30000</v>
      </c>
      <c r="T102" s="44">
        <v>10000</v>
      </c>
      <c r="U102" s="168" t="s">
        <v>770</v>
      </c>
      <c r="V102" s="168"/>
      <c r="W102" s="168"/>
      <c r="X102" s="168"/>
      <c r="Y102" s="168"/>
      <c r="Z102" s="168"/>
      <c r="AA102" s="168"/>
      <c r="AB102" s="168"/>
      <c r="AC102" s="168"/>
      <c r="AD102" s="168"/>
      <c r="AE102" s="168"/>
      <c r="AF102" s="170">
        <f>S102-T102-V102-X102-Z102-AB102</f>
        <v>20000</v>
      </c>
      <c r="AG102" s="171"/>
      <c r="AH102" s="171"/>
      <c r="AI102" s="172">
        <f>+T102+V102+X102+Z102+AB102</f>
        <v>10000</v>
      </c>
      <c r="AJ102" s="145">
        <f t="shared" si="6"/>
        <v>20000</v>
      </c>
      <c r="AK102" s="173"/>
      <c r="AL102" s="174"/>
      <c r="AM102" s="174"/>
      <c r="AN102" s="174"/>
      <c r="AO102" s="174"/>
      <c r="AP102" s="174"/>
      <c r="AQ102" s="174"/>
    </row>
    <row r="103" spans="1:49" s="81" customFormat="1" ht="36.75" customHeight="1" x14ac:dyDescent="0.25">
      <c r="A103" s="27"/>
      <c r="B103" s="44">
        <v>103</v>
      </c>
      <c r="C103" s="56" t="s">
        <v>771</v>
      </c>
      <c r="D103" s="56" t="s">
        <v>774</v>
      </c>
      <c r="E103" s="56">
        <v>315</v>
      </c>
      <c r="F103" s="44" t="s">
        <v>40</v>
      </c>
      <c r="G103" s="169" t="s">
        <v>772</v>
      </c>
      <c r="H103" s="56" t="s">
        <v>370</v>
      </c>
      <c r="I103" s="56" t="s">
        <v>522</v>
      </c>
      <c r="J103" s="58"/>
      <c r="K103" s="58"/>
      <c r="L103" s="58"/>
      <c r="M103" s="58"/>
      <c r="N103" s="143"/>
      <c r="O103" s="58">
        <v>4200</v>
      </c>
      <c r="P103" s="58">
        <v>4200</v>
      </c>
      <c r="Q103" s="58" t="s">
        <v>1492</v>
      </c>
      <c r="R103" s="143"/>
      <c r="S103" s="56">
        <v>30000</v>
      </c>
      <c r="T103" s="56">
        <v>5000</v>
      </c>
      <c r="U103" s="78" t="s">
        <v>773</v>
      </c>
      <c r="V103" s="58">
        <v>5000</v>
      </c>
      <c r="W103" s="79" t="s">
        <v>773</v>
      </c>
      <c r="X103" s="79">
        <v>5000</v>
      </c>
      <c r="Y103" s="79" t="s">
        <v>1681</v>
      </c>
      <c r="Z103" s="79"/>
      <c r="AA103" s="79"/>
      <c r="AB103" s="79"/>
      <c r="AC103" s="79"/>
      <c r="AD103" s="58"/>
      <c r="AE103" s="58"/>
      <c r="AF103" s="77">
        <f>S103-T103-V103-X103-Z103-AB103-AD103</f>
        <v>15000</v>
      </c>
      <c r="AG103" s="76"/>
      <c r="AH103" s="76"/>
      <c r="AI103" s="149">
        <f>+T103+V103+X103+Z103+AB103+AD103</f>
        <v>15000</v>
      </c>
      <c r="AJ103" s="145">
        <f t="shared" si="6"/>
        <v>15000</v>
      </c>
      <c r="AK103" s="121"/>
      <c r="AL103" s="121"/>
      <c r="AM103" s="121"/>
      <c r="AN103" s="121"/>
      <c r="AO103" s="121"/>
      <c r="AP103" s="121"/>
      <c r="AQ103" s="121"/>
      <c r="AR103" s="80"/>
      <c r="AS103" s="80"/>
      <c r="AT103" s="80"/>
      <c r="AU103" s="80"/>
      <c r="AV103" s="80"/>
      <c r="AW103" s="80"/>
    </row>
    <row r="104" spans="1:49" s="24" customFormat="1" ht="37.5" customHeight="1" x14ac:dyDescent="0.25">
      <c r="A104" s="27"/>
      <c r="B104" s="44">
        <v>104</v>
      </c>
      <c r="C104" s="44" t="s">
        <v>778</v>
      </c>
      <c r="D104" s="44" t="s">
        <v>776</v>
      </c>
      <c r="E104" s="56">
        <v>441</v>
      </c>
      <c r="F104" s="44" t="s">
        <v>39</v>
      </c>
      <c r="G104" s="46" t="s">
        <v>814</v>
      </c>
      <c r="H104" s="44" t="s">
        <v>324</v>
      </c>
      <c r="I104" s="56" t="s">
        <v>125</v>
      </c>
      <c r="J104" s="52"/>
      <c r="K104" s="44"/>
      <c r="L104" s="44"/>
      <c r="M104" s="44"/>
      <c r="N104" s="142"/>
      <c r="O104" s="39">
        <v>4200</v>
      </c>
      <c r="P104" s="39">
        <v>4200</v>
      </c>
      <c r="Q104" s="39" t="s">
        <v>1385</v>
      </c>
      <c r="R104" s="41"/>
      <c r="S104" s="44">
        <v>30000</v>
      </c>
      <c r="T104" s="44">
        <v>5000</v>
      </c>
      <c r="U104" s="48" t="s">
        <v>779</v>
      </c>
      <c r="V104" s="44">
        <v>5000</v>
      </c>
      <c r="W104" s="53" t="s">
        <v>1740</v>
      </c>
      <c r="X104" s="53"/>
      <c r="Y104" s="53"/>
      <c r="Z104" s="53"/>
      <c r="AA104" s="53"/>
      <c r="AB104" s="53"/>
      <c r="AC104" s="53"/>
      <c r="AD104" s="44"/>
      <c r="AE104" s="44"/>
      <c r="AF104" s="72">
        <f>S104-T104-V104-X104-Z104-AB104-AD104</f>
        <v>20000</v>
      </c>
      <c r="AG104" s="73"/>
      <c r="AH104" s="73"/>
      <c r="AI104" s="148">
        <f>+T104+V104+X104+Z104+AB104+AD104</f>
        <v>10000</v>
      </c>
      <c r="AJ104" s="145">
        <f t="shared" si="6"/>
        <v>20000</v>
      </c>
      <c r="AK104" s="179">
        <v>5000</v>
      </c>
      <c r="AL104" s="115"/>
      <c r="AM104" s="115"/>
      <c r="AN104" s="115"/>
      <c r="AO104" s="115"/>
      <c r="AP104" s="115"/>
      <c r="AQ104" s="115"/>
      <c r="AR104" s="12"/>
      <c r="AS104" s="12"/>
      <c r="AT104" s="12"/>
      <c r="AU104" s="12"/>
      <c r="AV104" s="12"/>
      <c r="AW104" s="12"/>
    </row>
    <row r="105" spans="1:49" ht="37.5" customHeight="1" x14ac:dyDescent="0.25">
      <c r="A105" s="27"/>
      <c r="B105" s="44">
        <v>105</v>
      </c>
      <c r="C105" s="44" t="s">
        <v>785</v>
      </c>
      <c r="D105" s="44" t="s">
        <v>786</v>
      </c>
      <c r="E105" s="56">
        <v>452</v>
      </c>
      <c r="F105" s="44" t="s">
        <v>727</v>
      </c>
      <c r="G105" s="46" t="s">
        <v>787</v>
      </c>
      <c r="H105" s="44" t="s">
        <v>37</v>
      </c>
      <c r="I105" s="44" t="s">
        <v>375</v>
      </c>
      <c r="J105" s="44"/>
      <c r="K105" s="44"/>
      <c r="L105" s="44"/>
      <c r="M105" s="44"/>
      <c r="N105" s="142"/>
      <c r="O105" s="39">
        <v>4200</v>
      </c>
      <c r="P105" s="39">
        <v>4200</v>
      </c>
      <c r="Q105" s="39" t="s">
        <v>1806</v>
      </c>
      <c r="R105" s="41"/>
      <c r="S105" s="44">
        <v>30000</v>
      </c>
      <c r="T105" s="44">
        <v>5000</v>
      </c>
      <c r="U105" s="48" t="s">
        <v>788</v>
      </c>
      <c r="V105" s="44"/>
      <c r="W105" s="53"/>
      <c r="X105" s="53"/>
      <c r="Y105" s="53"/>
      <c r="Z105" s="53"/>
      <c r="AA105" s="53"/>
      <c r="AB105" s="53"/>
      <c r="AC105" s="53"/>
      <c r="AD105" s="44"/>
      <c r="AE105" s="44"/>
      <c r="AF105" s="72">
        <f>S105-T105-V105-X105-Z105-AB105-AD105</f>
        <v>25000</v>
      </c>
      <c r="AG105" s="73"/>
      <c r="AH105" s="73"/>
      <c r="AI105" s="148">
        <f>+T105+V105+X105+Z105+AB105+AD105</f>
        <v>5000</v>
      </c>
      <c r="AJ105" s="145">
        <f t="shared" si="6"/>
        <v>25000</v>
      </c>
      <c r="AK105" s="179">
        <v>10000</v>
      </c>
    </row>
    <row r="106" spans="1:49" ht="37.5" customHeight="1" x14ac:dyDescent="0.25">
      <c r="A106" s="27"/>
      <c r="B106" s="44">
        <v>106</v>
      </c>
      <c r="C106" s="44" t="s">
        <v>797</v>
      </c>
      <c r="D106" s="44" t="s">
        <v>373</v>
      </c>
      <c r="E106" s="56">
        <v>249</v>
      </c>
      <c r="F106" s="44" t="s">
        <v>589</v>
      </c>
      <c r="G106" s="46" t="s">
        <v>798</v>
      </c>
      <c r="H106" s="44" t="s">
        <v>222</v>
      </c>
      <c r="I106" s="44" t="s">
        <v>49</v>
      </c>
      <c r="J106" s="44"/>
      <c r="K106" s="44"/>
      <c r="L106" s="44"/>
      <c r="M106" s="44"/>
      <c r="N106" s="142"/>
      <c r="O106" s="39">
        <v>4200</v>
      </c>
      <c r="P106" s="39">
        <v>4200</v>
      </c>
      <c r="Q106" s="39" t="s">
        <v>1320</v>
      </c>
      <c r="R106" s="41"/>
      <c r="S106" s="44">
        <v>32000</v>
      </c>
      <c r="T106" s="44">
        <v>5000</v>
      </c>
      <c r="U106" s="48" t="s">
        <v>799</v>
      </c>
      <c r="V106" s="44"/>
      <c r="W106" s="53"/>
      <c r="X106" s="53"/>
      <c r="Y106" s="53"/>
      <c r="Z106" s="53"/>
      <c r="AA106" s="53"/>
      <c r="AB106" s="53"/>
      <c r="AC106" s="53"/>
      <c r="AD106" s="44"/>
      <c r="AE106" s="44"/>
      <c r="AF106" s="72">
        <f>S106-T106-V106-X106-Z106-AB106-AD106</f>
        <v>27000</v>
      </c>
      <c r="AG106" s="73"/>
      <c r="AH106" s="73"/>
      <c r="AI106" s="148">
        <f>+T106+V106+X106+Z106+AB106+AD106</f>
        <v>5000</v>
      </c>
      <c r="AJ106" s="145">
        <f t="shared" si="6"/>
        <v>27000</v>
      </c>
      <c r="AK106" s="115">
        <v>10000</v>
      </c>
    </row>
    <row r="107" spans="1:49" s="81" customFormat="1" ht="27.75" customHeight="1" x14ac:dyDescent="0.25">
      <c r="A107" s="27"/>
      <c r="B107" s="44">
        <v>107</v>
      </c>
      <c r="C107" s="56" t="s">
        <v>1497</v>
      </c>
      <c r="D107" s="56" t="s">
        <v>189</v>
      </c>
      <c r="E107" s="56">
        <v>386</v>
      </c>
      <c r="F107" s="56" t="s">
        <v>39</v>
      </c>
      <c r="G107" s="57" t="s">
        <v>801</v>
      </c>
      <c r="H107" s="56" t="s">
        <v>252</v>
      </c>
      <c r="I107" s="56" t="s">
        <v>802</v>
      </c>
      <c r="J107" s="58"/>
      <c r="K107" s="58"/>
      <c r="L107" s="58"/>
      <c r="M107" s="58"/>
      <c r="N107" s="143"/>
      <c r="O107" s="58">
        <v>4200</v>
      </c>
      <c r="P107" s="58">
        <v>4200</v>
      </c>
      <c r="Q107" s="58" t="s">
        <v>1498</v>
      </c>
      <c r="R107" s="143"/>
      <c r="S107" s="56">
        <v>30000</v>
      </c>
      <c r="T107" s="56">
        <v>2000</v>
      </c>
      <c r="U107" s="78" t="s">
        <v>803</v>
      </c>
      <c r="V107" s="58">
        <v>5000</v>
      </c>
      <c r="W107" s="79" t="s">
        <v>1692</v>
      </c>
      <c r="X107" s="58"/>
      <c r="Y107" s="79"/>
      <c r="Z107" s="58"/>
      <c r="AA107" s="79"/>
      <c r="AB107" s="58"/>
      <c r="AC107" s="79"/>
      <c r="AD107" s="58"/>
      <c r="AE107" s="58"/>
      <c r="AF107" s="77">
        <f>S107-T107-V107-X107-Z107-AB107-AD107</f>
        <v>23000</v>
      </c>
      <c r="AG107" s="76"/>
      <c r="AH107" s="76"/>
      <c r="AI107" s="149">
        <f>+T107+V107+X107+Z107+AB107+AD107</f>
        <v>7000</v>
      </c>
      <c r="AJ107" s="145">
        <f t="shared" si="6"/>
        <v>23000</v>
      </c>
      <c r="AK107" s="121"/>
      <c r="AL107" s="121"/>
      <c r="AM107" s="121"/>
      <c r="AN107" s="121"/>
      <c r="AO107" s="121"/>
      <c r="AP107" s="121"/>
      <c r="AQ107" s="121"/>
      <c r="AR107" s="80"/>
      <c r="AS107" s="80"/>
      <c r="AT107" s="80"/>
      <c r="AU107" s="80"/>
      <c r="AV107" s="80"/>
      <c r="AW107" s="80"/>
    </row>
    <row r="108" spans="1:49" ht="37.5" customHeight="1" x14ac:dyDescent="0.25">
      <c r="A108" s="27"/>
      <c r="B108" s="44">
        <v>108</v>
      </c>
      <c r="C108" s="44" t="s">
        <v>804</v>
      </c>
      <c r="D108" s="44" t="s">
        <v>805</v>
      </c>
      <c r="E108" s="56">
        <v>450</v>
      </c>
      <c r="F108" s="56" t="s">
        <v>40</v>
      </c>
      <c r="G108" s="46" t="s">
        <v>806</v>
      </c>
      <c r="H108" s="44" t="s">
        <v>278</v>
      </c>
      <c r="I108" s="44" t="s">
        <v>163</v>
      </c>
      <c r="J108" s="44"/>
      <c r="K108" s="44"/>
      <c r="L108" s="44"/>
      <c r="M108" s="44"/>
      <c r="N108" s="142"/>
      <c r="O108" s="39">
        <v>4200</v>
      </c>
      <c r="P108" s="39">
        <v>4200</v>
      </c>
      <c r="Q108" s="39" t="s">
        <v>1605</v>
      </c>
      <c r="R108" s="41"/>
      <c r="S108" s="44">
        <v>27000</v>
      </c>
      <c r="T108" s="44">
        <v>5000</v>
      </c>
      <c r="U108" s="48" t="s">
        <v>807</v>
      </c>
      <c r="V108" s="44"/>
      <c r="W108" s="53"/>
      <c r="X108" s="53"/>
      <c r="Y108" s="53"/>
      <c r="Z108" s="53"/>
      <c r="AA108" s="53"/>
      <c r="AB108" s="53"/>
      <c r="AC108" s="53"/>
      <c r="AD108" s="44"/>
      <c r="AE108" s="44"/>
      <c r="AF108" s="72">
        <f>S108-T108-V108-X108-Z108-AB108</f>
        <v>22000</v>
      </c>
      <c r="AG108" s="73"/>
      <c r="AH108" s="73"/>
      <c r="AI108" s="148">
        <f>+T108+V108+X108+Z108+AB108</f>
        <v>5000</v>
      </c>
      <c r="AJ108" s="145">
        <f t="shared" si="6"/>
        <v>22000</v>
      </c>
      <c r="AK108" s="115"/>
    </row>
    <row r="109" spans="1:49" ht="35.25" customHeight="1" x14ac:dyDescent="0.25">
      <c r="A109" s="27"/>
      <c r="B109" s="44">
        <v>109</v>
      </c>
      <c r="C109" s="44" t="s">
        <v>808</v>
      </c>
      <c r="D109" s="44" t="s">
        <v>809</v>
      </c>
      <c r="E109" s="56">
        <v>474</v>
      </c>
      <c r="F109" s="56" t="s">
        <v>589</v>
      </c>
      <c r="G109" s="46" t="s">
        <v>810</v>
      </c>
      <c r="H109" s="44" t="s">
        <v>370</v>
      </c>
      <c r="I109" s="56" t="s">
        <v>125</v>
      </c>
      <c r="J109" s="44"/>
      <c r="K109" s="44"/>
      <c r="L109" s="44"/>
      <c r="M109" s="44"/>
      <c r="N109" s="142"/>
      <c r="O109" s="39">
        <v>4200</v>
      </c>
      <c r="P109" s="39">
        <v>4200</v>
      </c>
      <c r="Q109" s="39" t="s">
        <v>1392</v>
      </c>
      <c r="R109" s="41"/>
      <c r="S109" s="44">
        <v>20000</v>
      </c>
      <c r="T109" s="44">
        <v>10000</v>
      </c>
      <c r="U109" s="48" t="s">
        <v>811</v>
      </c>
      <c r="V109" s="44"/>
      <c r="W109" s="53"/>
      <c r="X109" s="53"/>
      <c r="Y109" s="53"/>
      <c r="Z109" s="53"/>
      <c r="AA109" s="53"/>
      <c r="AB109" s="53"/>
      <c r="AC109" s="53"/>
      <c r="AD109" s="44"/>
      <c r="AE109" s="44"/>
      <c r="AF109" s="72">
        <f>S109-T109-V109-X109-Z109-AB109-AD109</f>
        <v>10000</v>
      </c>
      <c r="AG109" s="73"/>
      <c r="AH109" s="73"/>
      <c r="AI109" s="148">
        <f>+T109+V109+X109+Z109+AB109+AD109</f>
        <v>10000</v>
      </c>
      <c r="AJ109" s="145">
        <f t="shared" si="6"/>
        <v>10000</v>
      </c>
      <c r="AK109" s="115"/>
    </row>
    <row r="110" spans="1:49" ht="45.75" customHeight="1" x14ac:dyDescent="0.25">
      <c r="A110" s="27"/>
      <c r="B110" s="44">
        <v>110</v>
      </c>
      <c r="C110" s="56" t="s">
        <v>821</v>
      </c>
      <c r="D110" s="56" t="s">
        <v>822</v>
      </c>
      <c r="E110" s="56">
        <v>479</v>
      </c>
      <c r="F110" s="56" t="s">
        <v>727</v>
      </c>
      <c r="G110" s="57" t="s">
        <v>818</v>
      </c>
      <c r="H110" s="56" t="s">
        <v>568</v>
      </c>
      <c r="I110" s="56" t="s">
        <v>823</v>
      </c>
      <c r="J110" s="58"/>
      <c r="K110" s="39"/>
      <c r="L110" s="39"/>
      <c r="M110" s="39"/>
      <c r="N110" s="41"/>
      <c r="O110" s="39">
        <v>5200</v>
      </c>
      <c r="P110" s="39">
        <v>5200</v>
      </c>
      <c r="Q110" s="39" t="s">
        <v>1732</v>
      </c>
      <c r="R110" s="41"/>
      <c r="S110" s="56">
        <v>25000</v>
      </c>
      <c r="T110" s="56">
        <v>2500</v>
      </c>
      <c r="U110" s="78" t="s">
        <v>824</v>
      </c>
      <c r="V110" s="58">
        <v>2500</v>
      </c>
      <c r="W110" s="79" t="s">
        <v>1253</v>
      </c>
      <c r="X110" s="42"/>
      <c r="Y110" s="42"/>
      <c r="Z110" s="42"/>
      <c r="AA110" s="42"/>
      <c r="AB110" s="42"/>
      <c r="AC110" s="42"/>
      <c r="AD110" s="39"/>
      <c r="AE110" s="39"/>
      <c r="AF110" s="77">
        <f>S110-T110-V110-X110-Z110-AB110-AD110</f>
        <v>20000</v>
      </c>
      <c r="AG110" s="76"/>
      <c r="AH110" s="76"/>
      <c r="AI110" s="149">
        <f>+T110+V110+X110+Z110+AB110+AD110</f>
        <v>5000</v>
      </c>
      <c r="AJ110" s="145">
        <f t="shared" si="6"/>
        <v>20000</v>
      </c>
      <c r="AK110" s="115"/>
    </row>
    <row r="111" spans="1:49" ht="37.5" customHeight="1" x14ac:dyDescent="0.25">
      <c r="A111" s="27"/>
      <c r="B111" s="44">
        <v>111</v>
      </c>
      <c r="C111" s="56" t="s">
        <v>825</v>
      </c>
      <c r="D111" s="56" t="s">
        <v>826</v>
      </c>
      <c r="E111" s="56"/>
      <c r="F111" s="44" t="s">
        <v>589</v>
      </c>
      <c r="G111" s="57" t="s">
        <v>827</v>
      </c>
      <c r="H111" s="56" t="s">
        <v>828</v>
      </c>
      <c r="I111" s="56" t="s">
        <v>125</v>
      </c>
      <c r="J111" s="58"/>
      <c r="K111" s="39"/>
      <c r="L111" s="39"/>
      <c r="M111" s="39"/>
      <c r="N111" s="39"/>
      <c r="O111" s="39"/>
      <c r="P111" s="39"/>
      <c r="Q111" s="39"/>
      <c r="R111" s="39"/>
      <c r="S111" s="56">
        <v>25000</v>
      </c>
      <c r="T111" s="56">
        <v>2000</v>
      </c>
      <c r="U111" s="78" t="s">
        <v>829</v>
      </c>
      <c r="V111" s="44"/>
      <c r="W111" s="53"/>
      <c r="X111" s="53"/>
      <c r="Y111" s="53"/>
      <c r="Z111" s="53"/>
      <c r="AA111" s="53"/>
      <c r="AB111" s="53"/>
      <c r="AC111" s="53"/>
      <c r="AD111" s="44"/>
      <c r="AE111" s="44"/>
      <c r="AF111" s="72">
        <f>S111-T111-V111-X111-Z111-AB111</f>
        <v>23000</v>
      </c>
      <c r="AG111" s="73"/>
      <c r="AH111" s="73"/>
      <c r="AI111" s="148">
        <f>+T111+V111+X111+Z111+AB111</f>
        <v>2000</v>
      </c>
      <c r="AJ111" s="145">
        <f t="shared" si="6"/>
        <v>23000</v>
      </c>
      <c r="AK111" s="115"/>
    </row>
    <row r="112" spans="1:49" s="10" customFormat="1" ht="51" customHeight="1" x14ac:dyDescent="0.25">
      <c r="A112" s="75"/>
      <c r="B112" s="44">
        <v>112</v>
      </c>
      <c r="C112" s="44" t="s">
        <v>831</v>
      </c>
      <c r="D112" s="44" t="s">
        <v>832</v>
      </c>
      <c r="E112" s="56">
        <v>283</v>
      </c>
      <c r="F112" s="44" t="s">
        <v>40</v>
      </c>
      <c r="G112" s="46" t="s">
        <v>856</v>
      </c>
      <c r="H112" s="44" t="s">
        <v>268</v>
      </c>
      <c r="I112" s="44" t="s">
        <v>857</v>
      </c>
      <c r="J112" s="44"/>
      <c r="K112" s="44"/>
      <c r="L112" s="44"/>
      <c r="M112" s="44"/>
      <c r="N112" s="142"/>
      <c r="O112" s="39">
        <v>4200</v>
      </c>
      <c r="P112" s="39">
        <v>4200</v>
      </c>
      <c r="Q112" s="39" t="s">
        <v>1357</v>
      </c>
      <c r="R112" s="41"/>
      <c r="S112" s="44">
        <v>30000</v>
      </c>
      <c r="T112" s="44">
        <v>5000</v>
      </c>
      <c r="U112" s="176" t="s">
        <v>833</v>
      </c>
      <c r="V112" s="44">
        <v>15000</v>
      </c>
      <c r="W112" s="44" t="s">
        <v>1818</v>
      </c>
      <c r="X112" s="44"/>
      <c r="Y112" s="44"/>
      <c r="Z112" s="44"/>
      <c r="AA112" s="44"/>
      <c r="AB112" s="44"/>
      <c r="AC112" s="44"/>
      <c r="AD112" s="44"/>
      <c r="AE112" s="44"/>
      <c r="AF112" s="136">
        <f>S112-T112-V112-X112-Z112-AB112-AD112</f>
        <v>10000</v>
      </c>
      <c r="AG112" s="137"/>
      <c r="AH112" s="137"/>
      <c r="AI112" s="148">
        <f>+T112+V112+X112+Z112+AB112+AD112</f>
        <v>20000</v>
      </c>
      <c r="AJ112" s="145">
        <f t="shared" si="6"/>
        <v>10000</v>
      </c>
      <c r="AK112" s="115">
        <v>5</v>
      </c>
      <c r="AL112" s="115"/>
      <c r="AM112" s="115"/>
      <c r="AN112" s="115"/>
      <c r="AO112" s="115"/>
      <c r="AP112" s="115"/>
      <c r="AQ112" s="115"/>
      <c r="AR112" s="12"/>
      <c r="AS112" s="12"/>
      <c r="AT112" s="12"/>
      <c r="AU112" s="12"/>
      <c r="AV112" s="12"/>
      <c r="AW112" s="12"/>
    </row>
    <row r="113" spans="1:49" ht="38.25" customHeight="1" x14ac:dyDescent="0.25">
      <c r="A113" s="27"/>
      <c r="B113" s="44">
        <v>113</v>
      </c>
      <c r="C113" s="55" t="s">
        <v>837</v>
      </c>
      <c r="D113" s="55" t="s">
        <v>838</v>
      </c>
      <c r="E113" s="55">
        <v>320</v>
      </c>
      <c r="F113" s="44" t="s">
        <v>215</v>
      </c>
      <c r="G113" s="46" t="s">
        <v>859</v>
      </c>
      <c r="H113" s="55" t="s">
        <v>452</v>
      </c>
      <c r="I113" s="55" t="s">
        <v>365</v>
      </c>
      <c r="J113" s="58"/>
      <c r="K113" s="9"/>
      <c r="L113" s="9"/>
      <c r="M113" s="9"/>
      <c r="N113" s="11"/>
      <c r="O113" s="9">
        <v>4200</v>
      </c>
      <c r="P113" s="9">
        <v>4200</v>
      </c>
      <c r="Q113" s="9" t="s">
        <v>1314</v>
      </c>
      <c r="R113" s="11"/>
      <c r="S113" s="56">
        <v>50000</v>
      </c>
      <c r="T113" s="56">
        <v>5000</v>
      </c>
      <c r="U113" s="78" t="s">
        <v>839</v>
      </c>
      <c r="V113" s="58">
        <v>5000</v>
      </c>
      <c r="W113" s="79" t="s">
        <v>1123</v>
      </c>
      <c r="X113" s="42"/>
      <c r="Y113" s="42"/>
      <c r="Z113" s="42"/>
      <c r="AA113" s="42"/>
      <c r="AB113" s="42"/>
      <c r="AC113" s="42"/>
      <c r="AD113" s="39"/>
      <c r="AE113" s="39"/>
      <c r="AF113" s="77">
        <f>S113-T113-V113-X113-Z113-AB113-AD113</f>
        <v>40000</v>
      </c>
      <c r="AG113" s="76"/>
      <c r="AH113" s="76"/>
      <c r="AI113" s="149">
        <f>+T113+V113+X113+Z113+AB113+AD113</f>
        <v>10000</v>
      </c>
      <c r="AJ113" s="145">
        <f t="shared" si="6"/>
        <v>40000</v>
      </c>
      <c r="AK113" s="180">
        <v>5000</v>
      </c>
    </row>
    <row r="114" spans="1:49" s="12" customFormat="1" ht="37.5" customHeight="1" x14ac:dyDescent="0.25">
      <c r="A114" s="27"/>
      <c r="B114" s="44">
        <v>114</v>
      </c>
      <c r="C114" s="56" t="s">
        <v>840</v>
      </c>
      <c r="D114" s="57" t="s">
        <v>841</v>
      </c>
      <c r="E114" s="56"/>
      <c r="F114" s="44" t="s">
        <v>40</v>
      </c>
      <c r="G114" s="57" t="s">
        <v>865</v>
      </c>
      <c r="H114" s="56" t="s">
        <v>278</v>
      </c>
      <c r="I114" s="56" t="s">
        <v>866</v>
      </c>
      <c r="J114" s="58"/>
      <c r="K114" s="39"/>
      <c r="L114" s="39"/>
      <c r="M114" s="39"/>
      <c r="N114" s="41"/>
      <c r="O114" s="39">
        <v>4200</v>
      </c>
      <c r="P114" s="39">
        <v>4200</v>
      </c>
      <c r="Q114" s="39" t="s">
        <v>1487</v>
      </c>
      <c r="R114" s="41"/>
      <c r="S114" s="56">
        <v>32000</v>
      </c>
      <c r="T114" s="56">
        <v>5000</v>
      </c>
      <c r="U114" s="78" t="s">
        <v>842</v>
      </c>
      <c r="V114" s="58">
        <v>10000</v>
      </c>
      <c r="W114" s="79" t="s">
        <v>1780</v>
      </c>
      <c r="X114" s="42"/>
      <c r="Y114" s="42"/>
      <c r="Z114" s="42"/>
      <c r="AA114" s="42"/>
      <c r="AB114" s="42"/>
      <c r="AC114" s="42"/>
      <c r="AD114" s="39"/>
      <c r="AE114" s="39"/>
      <c r="AF114" s="77">
        <f>S114-T114-V114-X114-Z114-AB114-AD114</f>
        <v>17000</v>
      </c>
      <c r="AG114" s="76"/>
      <c r="AH114" s="76"/>
      <c r="AI114" s="149">
        <f>+T114+V114+X114+Z114+AB114+AD114</f>
        <v>15000</v>
      </c>
      <c r="AJ114" s="145">
        <f t="shared" si="6"/>
        <v>17000</v>
      </c>
      <c r="AK114" s="115"/>
      <c r="AL114" s="115"/>
      <c r="AM114" s="115"/>
      <c r="AN114" s="115"/>
      <c r="AO114" s="115"/>
      <c r="AP114" s="115"/>
      <c r="AQ114" s="115"/>
    </row>
    <row r="115" spans="1:49" ht="37.5" customHeight="1" x14ac:dyDescent="0.25">
      <c r="A115" s="27"/>
      <c r="B115" s="44">
        <v>115</v>
      </c>
      <c r="C115" s="56" t="s">
        <v>272</v>
      </c>
      <c r="D115" s="56" t="s">
        <v>843</v>
      </c>
      <c r="E115" s="56"/>
      <c r="F115" s="44" t="s">
        <v>40</v>
      </c>
      <c r="G115" s="57" t="s">
        <v>851</v>
      </c>
      <c r="H115" s="56" t="s">
        <v>852</v>
      </c>
      <c r="I115" s="44" t="s">
        <v>853</v>
      </c>
      <c r="J115" s="58"/>
      <c r="K115" s="39"/>
      <c r="L115" s="39"/>
      <c r="M115" s="39"/>
      <c r="N115" s="41"/>
      <c r="O115" s="39">
        <v>4200</v>
      </c>
      <c r="P115" s="39">
        <v>4200</v>
      </c>
      <c r="Q115" s="39" t="s">
        <v>1446</v>
      </c>
      <c r="R115" s="41"/>
      <c r="S115" s="56">
        <v>28000</v>
      </c>
      <c r="T115" s="56">
        <v>2000</v>
      </c>
      <c r="U115" s="78" t="s">
        <v>844</v>
      </c>
      <c r="V115" s="58">
        <v>5000</v>
      </c>
      <c r="W115" s="79" t="s">
        <v>1178</v>
      </c>
      <c r="X115" s="39">
        <v>5000</v>
      </c>
      <c r="Y115" s="42" t="s">
        <v>1693</v>
      </c>
      <c r="Z115" s="39"/>
      <c r="AA115" s="42"/>
      <c r="AB115" s="39"/>
      <c r="AC115" s="42"/>
      <c r="AD115" s="39"/>
      <c r="AE115" s="39"/>
      <c r="AF115" s="77">
        <f>S115-T115-V115-X115-Z115-AB115</f>
        <v>16000</v>
      </c>
      <c r="AG115" s="76"/>
      <c r="AH115" s="76"/>
      <c r="AI115" s="149">
        <f>+T115+V115+X115+Z115+AB115</f>
        <v>12000</v>
      </c>
      <c r="AJ115" s="145">
        <f t="shared" si="6"/>
        <v>16000</v>
      </c>
      <c r="AK115" s="180">
        <v>5000</v>
      </c>
    </row>
    <row r="116" spans="1:49" ht="37.5" customHeight="1" x14ac:dyDescent="0.25">
      <c r="A116" s="27"/>
      <c r="B116" s="44">
        <v>116</v>
      </c>
      <c r="C116" s="56" t="s">
        <v>846</v>
      </c>
      <c r="D116" s="56" t="s">
        <v>847</v>
      </c>
      <c r="E116" s="56"/>
      <c r="F116" s="56" t="s">
        <v>40</v>
      </c>
      <c r="G116" s="57" t="s">
        <v>858</v>
      </c>
      <c r="H116" s="56" t="s">
        <v>278</v>
      </c>
      <c r="I116" s="56" t="s">
        <v>125</v>
      </c>
      <c r="J116" s="58"/>
      <c r="K116" s="39"/>
      <c r="L116" s="39"/>
      <c r="M116" s="39"/>
      <c r="N116" s="41"/>
      <c r="O116" s="39">
        <v>4200</v>
      </c>
      <c r="P116" s="39">
        <v>4200</v>
      </c>
      <c r="Q116" s="39" t="s">
        <v>1528</v>
      </c>
      <c r="R116" s="41"/>
      <c r="S116" s="56">
        <v>30000</v>
      </c>
      <c r="T116" s="58">
        <v>22500</v>
      </c>
      <c r="U116" s="79" t="s">
        <v>848</v>
      </c>
      <c r="V116" s="39"/>
      <c r="W116" s="42"/>
      <c r="X116" s="42"/>
      <c r="Y116" s="42"/>
      <c r="Z116" s="42"/>
      <c r="AA116" s="42"/>
      <c r="AB116" s="42"/>
      <c r="AC116" s="42"/>
      <c r="AD116" s="39"/>
      <c r="AE116" s="39"/>
      <c r="AF116" s="77">
        <f>S116-T116-V116-X116-Z116-AB116</f>
        <v>7500</v>
      </c>
      <c r="AG116" s="76"/>
      <c r="AH116" s="76"/>
      <c r="AI116" s="149">
        <f>+T116+V116+X116+Z116+AB116</f>
        <v>22500</v>
      </c>
      <c r="AJ116" s="145">
        <f t="shared" si="6"/>
        <v>7500</v>
      </c>
      <c r="AK116" s="180">
        <v>5000</v>
      </c>
    </row>
    <row r="117" spans="1:49" ht="37.5" customHeight="1" x14ac:dyDescent="0.25">
      <c r="A117" s="27"/>
      <c r="B117" s="44">
        <v>117</v>
      </c>
      <c r="C117" s="56" t="s">
        <v>18</v>
      </c>
      <c r="D117" s="56" t="s">
        <v>847</v>
      </c>
      <c r="E117" s="56">
        <v>405</v>
      </c>
      <c r="F117" s="56" t="s">
        <v>40</v>
      </c>
      <c r="G117" s="57" t="s">
        <v>858</v>
      </c>
      <c r="H117" s="56" t="s">
        <v>278</v>
      </c>
      <c r="I117" s="56" t="s">
        <v>125</v>
      </c>
      <c r="J117" s="58"/>
      <c r="K117" s="39"/>
      <c r="L117" s="39"/>
      <c r="M117" s="39"/>
      <c r="N117" s="41"/>
      <c r="O117" s="39">
        <v>4200</v>
      </c>
      <c r="P117" s="39">
        <v>4200</v>
      </c>
      <c r="Q117" s="39" t="s">
        <v>1527</v>
      </c>
      <c r="R117" s="41"/>
      <c r="S117" s="56">
        <v>30000</v>
      </c>
      <c r="T117" s="56">
        <v>22500</v>
      </c>
      <c r="U117" s="78" t="s">
        <v>849</v>
      </c>
      <c r="V117" s="58"/>
      <c r="W117" s="79"/>
      <c r="X117" s="42"/>
      <c r="Y117" s="42"/>
      <c r="Z117" s="42"/>
      <c r="AA117" s="42"/>
      <c r="AB117" s="42"/>
      <c r="AC117" s="42"/>
      <c r="AD117" s="39"/>
      <c r="AE117" s="39"/>
      <c r="AF117" s="77">
        <f>S117-T117-V117-X117-Z117-AB117</f>
        <v>7500</v>
      </c>
      <c r="AG117" s="76"/>
      <c r="AH117" s="76"/>
      <c r="AI117" s="149">
        <f>+T117+V117+X117+Z117+AB117</f>
        <v>22500</v>
      </c>
      <c r="AJ117" s="145">
        <f t="shared" si="6"/>
        <v>7500</v>
      </c>
      <c r="AK117" s="115"/>
    </row>
    <row r="118" spans="1:49" ht="37.5" customHeight="1" x14ac:dyDescent="0.25">
      <c r="A118" s="27"/>
      <c r="B118" s="44">
        <v>118</v>
      </c>
      <c r="C118" s="56" t="s">
        <v>860</v>
      </c>
      <c r="D118" s="56" t="s">
        <v>861</v>
      </c>
      <c r="E118" s="56">
        <v>391</v>
      </c>
      <c r="F118" s="56" t="s">
        <v>39</v>
      </c>
      <c r="G118" s="57" t="s">
        <v>862</v>
      </c>
      <c r="H118" s="56" t="s">
        <v>863</v>
      </c>
      <c r="I118" s="56" t="s">
        <v>864</v>
      </c>
      <c r="J118" s="44"/>
      <c r="K118" s="39"/>
      <c r="L118" s="39"/>
      <c r="M118" s="39"/>
      <c r="N118" s="41"/>
      <c r="O118" s="39">
        <v>4200</v>
      </c>
      <c r="P118" s="39">
        <v>4200</v>
      </c>
      <c r="Q118" s="39" t="s">
        <v>1455</v>
      </c>
      <c r="R118" s="41"/>
      <c r="S118" s="56">
        <v>30000</v>
      </c>
      <c r="T118" s="56">
        <v>5000</v>
      </c>
      <c r="U118" s="78" t="s">
        <v>935</v>
      </c>
      <c r="V118" s="58"/>
      <c r="W118" s="79"/>
      <c r="X118" s="42"/>
      <c r="Y118" s="42"/>
      <c r="Z118" s="42"/>
      <c r="AA118" s="42"/>
      <c r="AB118" s="42"/>
      <c r="AC118" s="42"/>
      <c r="AD118" s="39"/>
      <c r="AE118" s="39"/>
      <c r="AF118" s="77">
        <f>S118-T118-V118-X118-Z118-AB118-AD118</f>
        <v>25000</v>
      </c>
      <c r="AG118" s="76"/>
      <c r="AH118" s="76"/>
      <c r="AI118" s="149">
        <f>+T118+V118+X118+Z118+AB118+AD118</f>
        <v>5000</v>
      </c>
      <c r="AJ118" s="145">
        <f t="shared" si="6"/>
        <v>25000</v>
      </c>
      <c r="AK118" s="115">
        <v>5000</v>
      </c>
    </row>
    <row r="119" spans="1:49" ht="37.5" customHeight="1" x14ac:dyDescent="0.25">
      <c r="A119" s="27"/>
      <c r="B119" s="44">
        <v>119</v>
      </c>
      <c r="C119" s="56" t="s">
        <v>867</v>
      </c>
      <c r="D119" s="56" t="s">
        <v>868</v>
      </c>
      <c r="E119" s="56">
        <v>398</v>
      </c>
      <c r="F119" s="56" t="s">
        <v>39</v>
      </c>
      <c r="G119" s="57" t="s">
        <v>869</v>
      </c>
      <c r="H119" s="56" t="s">
        <v>37</v>
      </c>
      <c r="I119" s="56"/>
      <c r="J119" s="58"/>
      <c r="K119" s="39"/>
      <c r="L119" s="39"/>
      <c r="M119" s="39"/>
      <c r="N119" s="41"/>
      <c r="O119" s="39">
        <v>4200</v>
      </c>
      <c r="P119" s="39">
        <v>4200</v>
      </c>
      <c r="Q119" s="39" t="s">
        <v>1583</v>
      </c>
      <c r="R119" s="41"/>
      <c r="S119" s="56">
        <v>25000</v>
      </c>
      <c r="T119" s="56">
        <v>5000</v>
      </c>
      <c r="U119" s="78" t="s">
        <v>870</v>
      </c>
      <c r="V119" s="58"/>
      <c r="W119" s="79"/>
      <c r="X119" s="42"/>
      <c r="Y119" s="42"/>
      <c r="Z119" s="42"/>
      <c r="AA119" s="42"/>
      <c r="AB119" s="42"/>
      <c r="AC119" s="116"/>
      <c r="AD119" s="39"/>
      <c r="AE119" s="154"/>
      <c r="AF119" s="77">
        <f>S119-T119-V119-X119-Z119-AB119-AD119</f>
        <v>20000</v>
      </c>
      <c r="AG119" s="76"/>
      <c r="AH119" s="76"/>
      <c r="AI119" s="149">
        <f>+T119+V119+X119+Z119+AB119+AD119</f>
        <v>5000</v>
      </c>
      <c r="AJ119" s="145">
        <f t="shared" si="6"/>
        <v>20000</v>
      </c>
      <c r="AK119" s="115"/>
    </row>
    <row r="120" spans="1:49" ht="37.5" customHeight="1" x14ac:dyDescent="0.25">
      <c r="A120" s="27"/>
      <c r="B120" s="44">
        <v>120</v>
      </c>
      <c r="C120" s="56" t="s">
        <v>1509</v>
      </c>
      <c r="D120" s="56" t="s">
        <v>871</v>
      </c>
      <c r="E120" s="56">
        <v>330</v>
      </c>
      <c r="F120" s="56" t="s">
        <v>39</v>
      </c>
      <c r="G120" s="57" t="s">
        <v>872</v>
      </c>
      <c r="H120" s="56" t="s">
        <v>359</v>
      </c>
      <c r="I120" s="56" t="s">
        <v>873</v>
      </c>
      <c r="J120" s="58"/>
      <c r="K120" s="39"/>
      <c r="L120" s="39"/>
      <c r="M120" s="39"/>
      <c r="N120" s="41"/>
      <c r="O120" s="39">
        <v>4200</v>
      </c>
      <c r="P120" s="39">
        <v>4200</v>
      </c>
      <c r="Q120" s="39" t="s">
        <v>1513</v>
      </c>
      <c r="R120" s="41"/>
      <c r="S120" s="56">
        <v>25000</v>
      </c>
      <c r="T120" s="56">
        <v>5000</v>
      </c>
      <c r="U120" s="78" t="s">
        <v>874</v>
      </c>
      <c r="V120" s="58">
        <v>5000</v>
      </c>
      <c r="W120" s="79" t="s">
        <v>1788</v>
      </c>
      <c r="X120" s="42"/>
      <c r="Y120" s="42"/>
      <c r="Z120" s="42"/>
      <c r="AA120" s="42"/>
      <c r="AB120" s="42"/>
      <c r="AC120" s="42"/>
      <c r="AD120" s="39"/>
      <c r="AE120" s="39"/>
      <c r="AF120" s="77">
        <f>S120-T120-V120-X120-Z120-AB120-AD120</f>
        <v>15000</v>
      </c>
      <c r="AG120" s="76"/>
      <c r="AH120" s="76"/>
      <c r="AI120" s="149">
        <f>+T120+V120+X120+Z120+AB120+AD120</f>
        <v>10000</v>
      </c>
      <c r="AJ120" s="145">
        <f t="shared" si="6"/>
        <v>15000</v>
      </c>
      <c r="AK120" s="115"/>
    </row>
    <row r="121" spans="1:49" ht="37.5" customHeight="1" x14ac:dyDescent="0.25">
      <c r="A121" s="27"/>
      <c r="B121" s="44">
        <v>121</v>
      </c>
      <c r="C121" s="56" t="s">
        <v>875</v>
      </c>
      <c r="D121" s="56" t="s">
        <v>861</v>
      </c>
      <c r="E121" s="56"/>
      <c r="F121" s="56" t="s">
        <v>40</v>
      </c>
      <c r="G121" s="57" t="s">
        <v>862</v>
      </c>
      <c r="H121" s="56" t="s">
        <v>863</v>
      </c>
      <c r="I121" s="56" t="s">
        <v>864</v>
      </c>
      <c r="J121" s="44"/>
      <c r="K121" s="39"/>
      <c r="L121" s="39"/>
      <c r="M121" s="39"/>
      <c r="N121" s="41"/>
      <c r="O121" s="39">
        <v>7000</v>
      </c>
      <c r="P121" s="39">
        <v>7000</v>
      </c>
      <c r="Q121" s="39" t="s">
        <v>1456</v>
      </c>
      <c r="R121" s="41"/>
      <c r="S121" s="56">
        <v>30000</v>
      </c>
      <c r="T121" s="56">
        <v>5000</v>
      </c>
      <c r="U121" s="78" t="s">
        <v>876</v>
      </c>
      <c r="V121" s="58"/>
      <c r="W121" s="79"/>
      <c r="X121" s="42"/>
      <c r="Y121" s="42"/>
      <c r="Z121" s="42"/>
      <c r="AA121" s="42"/>
      <c r="AB121" s="42"/>
      <c r="AC121" s="42"/>
      <c r="AD121" s="39"/>
      <c r="AE121" s="39"/>
      <c r="AF121" s="77">
        <f t="shared" ref="AF121:AF152" si="9">S121-T121-V121-X121-Z121-AB121</f>
        <v>25000</v>
      </c>
      <c r="AG121" s="76"/>
      <c r="AH121" s="76"/>
      <c r="AI121" s="149">
        <f t="shared" ref="AI121:AI152" si="10">+T121+V121+X121+Z121+AB121</f>
        <v>5000</v>
      </c>
      <c r="AJ121" s="145">
        <f t="shared" si="6"/>
        <v>25000</v>
      </c>
      <c r="AK121" s="115"/>
    </row>
    <row r="122" spans="1:49" ht="36" customHeight="1" x14ac:dyDescent="0.25">
      <c r="A122" s="27"/>
      <c r="B122" s="44">
        <v>122</v>
      </c>
      <c r="C122" s="56" t="s">
        <v>882</v>
      </c>
      <c r="D122" s="56" t="s">
        <v>763</v>
      </c>
      <c r="E122" s="56">
        <v>366</v>
      </c>
      <c r="F122" s="56" t="s">
        <v>727</v>
      </c>
      <c r="G122" s="56">
        <v>3007896746</v>
      </c>
      <c r="H122" s="56" t="s">
        <v>883</v>
      </c>
      <c r="I122" s="56" t="s">
        <v>884</v>
      </c>
      <c r="J122" s="58"/>
      <c r="K122" s="39"/>
      <c r="L122" s="39"/>
      <c r="M122" s="39"/>
      <c r="N122" s="41"/>
      <c r="O122" s="39">
        <v>4200</v>
      </c>
      <c r="P122" s="39">
        <v>4200</v>
      </c>
      <c r="Q122" s="39" t="s">
        <v>1355</v>
      </c>
      <c r="R122" s="41"/>
      <c r="S122" s="56">
        <v>20000</v>
      </c>
      <c r="T122" s="56">
        <v>5000</v>
      </c>
      <c r="U122" s="78" t="s">
        <v>885</v>
      </c>
      <c r="V122" s="58">
        <v>5000</v>
      </c>
      <c r="W122" s="79" t="s">
        <v>1791</v>
      </c>
      <c r="X122" s="42"/>
      <c r="Y122" s="42"/>
      <c r="Z122" s="42"/>
      <c r="AA122" s="42"/>
      <c r="AB122" s="42"/>
      <c r="AC122" s="116"/>
      <c r="AD122" s="39"/>
      <c r="AE122" s="39"/>
      <c r="AF122" s="77">
        <f>S122-T122-V122-X122-Z122-AB122-AD122</f>
        <v>10000</v>
      </c>
      <c r="AG122" s="76"/>
      <c r="AH122" s="76"/>
      <c r="AI122" s="149">
        <f>+T122+V122+X122+Z122+AB122+AD122</f>
        <v>10000</v>
      </c>
      <c r="AJ122" s="145">
        <f t="shared" si="6"/>
        <v>10000</v>
      </c>
      <c r="AK122" s="179">
        <v>5000</v>
      </c>
    </row>
    <row r="123" spans="1:49" ht="36" customHeight="1" x14ac:dyDescent="0.25">
      <c r="A123" s="27"/>
      <c r="B123" s="44">
        <v>123</v>
      </c>
      <c r="C123" s="56" t="s">
        <v>886</v>
      </c>
      <c r="D123" s="56" t="s">
        <v>887</v>
      </c>
      <c r="E123" s="56">
        <v>460</v>
      </c>
      <c r="F123" s="44" t="s">
        <v>589</v>
      </c>
      <c r="G123" s="57" t="s">
        <v>888</v>
      </c>
      <c r="H123" s="56" t="s">
        <v>889</v>
      </c>
      <c r="I123" s="44" t="s">
        <v>864</v>
      </c>
      <c r="J123" s="58"/>
      <c r="K123" s="39"/>
      <c r="L123" s="39"/>
      <c r="M123" s="39"/>
      <c r="N123" s="41"/>
      <c r="O123" s="39">
        <v>4200</v>
      </c>
      <c r="P123" s="39">
        <v>4200</v>
      </c>
      <c r="Q123" s="39" t="s">
        <v>1544</v>
      </c>
      <c r="R123" s="41"/>
      <c r="S123" s="40">
        <v>25000</v>
      </c>
      <c r="T123" s="40">
        <v>5000</v>
      </c>
      <c r="U123" s="78" t="s">
        <v>890</v>
      </c>
      <c r="V123" s="39"/>
      <c r="W123" s="42"/>
      <c r="X123" s="39"/>
      <c r="Y123" s="42"/>
      <c r="Z123" s="39"/>
      <c r="AA123" s="42"/>
      <c r="AB123" s="39"/>
      <c r="AC123" s="42"/>
      <c r="AD123" s="39"/>
      <c r="AE123" s="39"/>
      <c r="AF123" s="77">
        <f t="shared" si="9"/>
        <v>20000</v>
      </c>
      <c r="AG123" s="76"/>
      <c r="AH123" s="76"/>
      <c r="AI123" s="149">
        <f t="shared" si="10"/>
        <v>5000</v>
      </c>
      <c r="AJ123" s="145">
        <f t="shared" si="6"/>
        <v>20000</v>
      </c>
      <c r="AK123" s="179">
        <v>5000</v>
      </c>
    </row>
    <row r="124" spans="1:49" ht="37.5" customHeight="1" x14ac:dyDescent="0.25">
      <c r="A124" s="27" t="s">
        <v>1658</v>
      </c>
      <c r="B124" s="44">
        <v>124</v>
      </c>
      <c r="C124" s="56" t="s">
        <v>891</v>
      </c>
      <c r="D124" s="56" t="s">
        <v>892</v>
      </c>
      <c r="E124" s="56">
        <v>459</v>
      </c>
      <c r="F124" s="44" t="s">
        <v>589</v>
      </c>
      <c r="G124" s="57" t="s">
        <v>893</v>
      </c>
      <c r="H124" s="56" t="s">
        <v>894</v>
      </c>
      <c r="I124" s="56" t="s">
        <v>522</v>
      </c>
      <c r="J124" s="58"/>
      <c r="K124" s="39"/>
      <c r="L124" s="39"/>
      <c r="M124" s="39"/>
      <c r="N124" s="41"/>
      <c r="O124" s="39">
        <v>4200</v>
      </c>
      <c r="P124" s="39">
        <v>4200</v>
      </c>
      <c r="Q124" s="39" t="s">
        <v>1803</v>
      </c>
      <c r="R124" s="41"/>
      <c r="S124" s="56">
        <v>32000</v>
      </c>
      <c r="T124" s="56">
        <v>15000</v>
      </c>
      <c r="U124" s="78" t="s">
        <v>895</v>
      </c>
      <c r="V124" s="58">
        <v>2500</v>
      </c>
      <c r="W124" s="79" t="s">
        <v>1541</v>
      </c>
      <c r="X124" s="42"/>
      <c r="Y124" s="42"/>
      <c r="Z124" s="42"/>
      <c r="AA124" s="42"/>
      <c r="AB124" s="42"/>
      <c r="AC124" s="42"/>
      <c r="AD124" s="39"/>
      <c r="AE124" s="39"/>
      <c r="AF124" s="77">
        <f>S124-T124-V124-X124-Z124-AB124-AD124</f>
        <v>14500</v>
      </c>
      <c r="AG124" s="76"/>
      <c r="AH124" s="76"/>
      <c r="AI124" s="58">
        <f>+T124+V124+X124+Z124+AB124+AD124</f>
        <v>17500</v>
      </c>
      <c r="AJ124" s="145">
        <f t="shared" si="6"/>
        <v>14500</v>
      </c>
      <c r="AK124" s="115"/>
    </row>
    <row r="125" spans="1:49" s="29" customFormat="1" ht="37.5" customHeight="1" x14ac:dyDescent="0.25">
      <c r="A125" s="27"/>
      <c r="B125" s="44">
        <v>125</v>
      </c>
      <c r="C125" s="59" t="s">
        <v>905</v>
      </c>
      <c r="D125" s="59" t="s">
        <v>906</v>
      </c>
      <c r="E125" s="59">
        <v>350</v>
      </c>
      <c r="F125" s="44" t="s">
        <v>215</v>
      </c>
      <c r="G125" s="60" t="s">
        <v>907</v>
      </c>
      <c r="H125" s="59" t="s">
        <v>908</v>
      </c>
      <c r="I125" s="44"/>
      <c r="J125" s="61"/>
      <c r="K125" s="39"/>
      <c r="L125" s="146"/>
      <c r="M125" s="146"/>
      <c r="N125" s="146"/>
      <c r="O125" s="146">
        <v>4200</v>
      </c>
      <c r="P125" s="146">
        <v>4200</v>
      </c>
      <c r="Q125" s="146" t="s">
        <v>1289</v>
      </c>
      <c r="R125" s="146"/>
      <c r="S125" s="59">
        <v>44000</v>
      </c>
      <c r="T125" s="59">
        <v>4000</v>
      </c>
      <c r="U125" s="95" t="s">
        <v>909</v>
      </c>
      <c r="V125" s="61"/>
      <c r="W125" s="113"/>
      <c r="X125" s="69"/>
      <c r="Y125" s="69"/>
      <c r="Z125" s="69"/>
      <c r="AA125" s="69"/>
      <c r="AB125" s="69"/>
      <c r="AC125" s="69"/>
      <c r="AD125" s="146"/>
      <c r="AE125" s="146"/>
      <c r="AF125" s="98">
        <f t="shared" si="9"/>
        <v>40000</v>
      </c>
      <c r="AG125" s="98"/>
      <c r="AH125" s="98"/>
      <c r="AI125" s="61">
        <f t="shared" si="10"/>
        <v>4000</v>
      </c>
      <c r="AJ125" s="145">
        <f t="shared" si="6"/>
        <v>40000</v>
      </c>
      <c r="AK125" s="181">
        <v>5000</v>
      </c>
      <c r="AL125" s="122"/>
      <c r="AM125" s="122"/>
      <c r="AN125" s="122"/>
      <c r="AO125" s="122"/>
      <c r="AP125" s="122"/>
      <c r="AQ125" s="122"/>
      <c r="AR125" s="74"/>
      <c r="AS125" s="74"/>
      <c r="AT125" s="74"/>
      <c r="AU125" s="74"/>
      <c r="AV125" s="74"/>
      <c r="AW125" s="74"/>
    </row>
    <row r="126" spans="1:49" ht="37.5" customHeight="1" x14ac:dyDescent="0.25">
      <c r="A126" s="27"/>
      <c r="B126" s="44">
        <v>126</v>
      </c>
      <c r="C126" s="56" t="s">
        <v>272</v>
      </c>
      <c r="D126" s="56" t="s">
        <v>910</v>
      </c>
      <c r="E126" s="56">
        <v>389</v>
      </c>
      <c r="F126" s="44" t="s">
        <v>40</v>
      </c>
      <c r="G126" s="57" t="s">
        <v>911</v>
      </c>
      <c r="H126" s="56" t="s">
        <v>353</v>
      </c>
      <c r="I126" s="44" t="s">
        <v>49</v>
      </c>
      <c r="J126" s="58"/>
      <c r="K126" s="39"/>
      <c r="L126" s="39"/>
      <c r="M126" s="39"/>
      <c r="N126" s="41"/>
      <c r="O126" s="39">
        <v>4200</v>
      </c>
      <c r="P126" s="39">
        <v>4200</v>
      </c>
      <c r="Q126" s="39" t="s">
        <v>1548</v>
      </c>
      <c r="R126" s="41"/>
      <c r="S126" s="56">
        <v>30000</v>
      </c>
      <c r="T126" s="56">
        <v>5000</v>
      </c>
      <c r="U126" s="78" t="s">
        <v>912</v>
      </c>
      <c r="V126" s="79"/>
      <c r="W126" s="79"/>
      <c r="X126" s="42"/>
      <c r="Y126" s="42"/>
      <c r="Z126" s="42"/>
      <c r="AA126" s="42"/>
      <c r="AB126" s="42"/>
      <c r="AC126" s="42"/>
      <c r="AD126" s="39"/>
      <c r="AE126" s="39"/>
      <c r="AF126" s="77">
        <f>S126-T126-V126-X126-Z126-AB126-AD126</f>
        <v>25000</v>
      </c>
      <c r="AG126" s="76"/>
      <c r="AH126" s="76"/>
      <c r="AI126" s="149">
        <f>+T126+V126+X126+Z126+AB126+AD126</f>
        <v>5000</v>
      </c>
      <c r="AJ126" s="145">
        <f t="shared" si="6"/>
        <v>25000</v>
      </c>
      <c r="AK126" s="180">
        <v>5000</v>
      </c>
    </row>
    <row r="127" spans="1:49" ht="50.25" customHeight="1" x14ac:dyDescent="0.25">
      <c r="A127" s="27"/>
      <c r="B127" s="44">
        <v>127</v>
      </c>
      <c r="C127" s="56" t="s">
        <v>913</v>
      </c>
      <c r="D127" s="56" t="s">
        <v>914</v>
      </c>
      <c r="E127" s="56">
        <v>372</v>
      </c>
      <c r="F127" s="56" t="s">
        <v>215</v>
      </c>
      <c r="G127" s="57" t="s">
        <v>915</v>
      </c>
      <c r="H127" s="56" t="s">
        <v>324</v>
      </c>
      <c r="I127" s="56" t="s">
        <v>324</v>
      </c>
      <c r="J127" s="58"/>
      <c r="K127" s="39"/>
      <c r="L127" s="39"/>
      <c r="M127" s="39"/>
      <c r="N127" s="41"/>
      <c r="O127" s="39"/>
      <c r="P127" s="39"/>
      <c r="Q127" s="39"/>
      <c r="R127" s="41"/>
      <c r="S127" s="56">
        <v>50000</v>
      </c>
      <c r="T127" s="56">
        <v>5000</v>
      </c>
      <c r="U127" s="78" t="s">
        <v>916</v>
      </c>
      <c r="V127" s="58">
        <v>5000</v>
      </c>
      <c r="W127" s="79" t="s">
        <v>1821</v>
      </c>
      <c r="X127" s="39"/>
      <c r="Y127" s="42"/>
      <c r="Z127" s="39"/>
      <c r="AA127" s="42"/>
      <c r="AB127" s="39"/>
      <c r="AC127" s="42"/>
      <c r="AD127" s="39"/>
      <c r="AE127" s="39"/>
      <c r="AF127" s="77">
        <f>S127-T127-V127-X127-Z127-AB127-AD127</f>
        <v>40000</v>
      </c>
      <c r="AG127" s="76"/>
      <c r="AH127" s="76"/>
      <c r="AI127" s="149">
        <f>+T127+V127+X127+Z127+AB127+AD127</f>
        <v>10000</v>
      </c>
      <c r="AJ127" s="145">
        <f t="shared" si="6"/>
        <v>40000</v>
      </c>
      <c r="AK127" s="115"/>
    </row>
    <row r="128" spans="1:49" ht="37.5" customHeight="1" x14ac:dyDescent="0.25">
      <c r="A128" s="27"/>
      <c r="B128" s="44">
        <v>128</v>
      </c>
      <c r="C128" s="56" t="s">
        <v>272</v>
      </c>
      <c r="D128" s="56" t="s">
        <v>21</v>
      </c>
      <c r="E128" s="56">
        <v>340</v>
      </c>
      <c r="F128" s="56" t="s">
        <v>727</v>
      </c>
      <c r="G128" s="57" t="s">
        <v>917</v>
      </c>
      <c r="H128" s="56" t="s">
        <v>918</v>
      </c>
      <c r="I128" s="56" t="s">
        <v>125</v>
      </c>
      <c r="J128" s="58"/>
      <c r="K128" s="39"/>
      <c r="L128" s="39"/>
      <c r="M128" s="39"/>
      <c r="N128" s="41"/>
      <c r="O128" s="39">
        <v>4200</v>
      </c>
      <c r="P128" s="39">
        <v>4200</v>
      </c>
      <c r="Q128" s="39" t="s">
        <v>1584</v>
      </c>
      <c r="R128" s="41"/>
      <c r="S128" s="56">
        <v>24000</v>
      </c>
      <c r="T128" s="56">
        <v>1000</v>
      </c>
      <c r="U128" s="78" t="s">
        <v>919</v>
      </c>
      <c r="V128" s="79"/>
      <c r="W128" s="79"/>
      <c r="X128" s="42"/>
      <c r="Y128" s="42"/>
      <c r="Z128" s="42"/>
      <c r="AA128" s="42"/>
      <c r="AB128" s="42"/>
      <c r="AC128" s="42"/>
      <c r="AD128" s="39"/>
      <c r="AE128" s="39"/>
      <c r="AF128" s="77">
        <f>S128-T128-V128-X128-Z128-AB128+AD128</f>
        <v>23000</v>
      </c>
      <c r="AG128" s="76"/>
      <c r="AH128" s="76"/>
      <c r="AI128" s="149">
        <f>+T128+V128+X128+Z128+AB128+AD128</f>
        <v>1000</v>
      </c>
      <c r="AJ128" s="145">
        <f t="shared" si="6"/>
        <v>23000</v>
      </c>
      <c r="AK128" s="115">
        <v>8000</v>
      </c>
    </row>
    <row r="129" spans="1:49" s="141" customFormat="1" ht="37.5" customHeight="1" x14ac:dyDescent="0.25">
      <c r="A129" s="138"/>
      <c r="B129" s="44">
        <v>129</v>
      </c>
      <c r="C129" s="56" t="s">
        <v>338</v>
      </c>
      <c r="D129" s="56" t="s">
        <v>920</v>
      </c>
      <c r="E129" s="56">
        <v>438</v>
      </c>
      <c r="F129" s="56" t="s">
        <v>727</v>
      </c>
      <c r="G129" s="57" t="s">
        <v>917</v>
      </c>
      <c r="H129" s="56" t="s">
        <v>918</v>
      </c>
      <c r="I129" s="56" t="s">
        <v>125</v>
      </c>
      <c r="J129" s="58"/>
      <c r="K129" s="39"/>
      <c r="L129" s="39"/>
      <c r="M129" s="39"/>
      <c r="N129" s="41"/>
      <c r="O129" s="39">
        <v>4200</v>
      </c>
      <c r="P129" s="39">
        <v>4200</v>
      </c>
      <c r="Q129" s="39" t="s">
        <v>1521</v>
      </c>
      <c r="R129" s="41"/>
      <c r="S129" s="56">
        <v>30000</v>
      </c>
      <c r="T129" s="56">
        <v>1000</v>
      </c>
      <c r="U129" s="56" t="s">
        <v>921</v>
      </c>
      <c r="V129" s="58">
        <v>3000</v>
      </c>
      <c r="W129" s="58" t="s">
        <v>1055</v>
      </c>
      <c r="X129" s="39"/>
      <c r="Y129" s="39"/>
      <c r="Z129" s="39"/>
      <c r="AA129" s="39"/>
      <c r="AB129" s="39"/>
      <c r="AC129" s="39"/>
      <c r="AD129" s="39"/>
      <c r="AE129" s="39"/>
      <c r="AF129" s="77">
        <f t="shared" si="9"/>
        <v>26000</v>
      </c>
      <c r="AG129" s="76"/>
      <c r="AH129" s="76"/>
      <c r="AI129" s="76">
        <f t="shared" si="10"/>
        <v>4000</v>
      </c>
      <c r="AJ129" s="145">
        <f t="shared" si="6"/>
        <v>26000</v>
      </c>
      <c r="AK129" s="115"/>
      <c r="AL129" s="115"/>
      <c r="AM129" s="115"/>
      <c r="AN129" s="115"/>
      <c r="AO129" s="115"/>
      <c r="AP129" s="115"/>
      <c r="AQ129" s="115"/>
      <c r="AR129" s="12"/>
      <c r="AS129" s="12"/>
      <c r="AT129" s="12"/>
      <c r="AU129" s="12"/>
      <c r="AV129" s="12"/>
      <c r="AW129" s="12"/>
    </row>
    <row r="130" spans="1:49" ht="37.5" customHeight="1" x14ac:dyDescent="0.25">
      <c r="A130" s="27"/>
      <c r="B130" s="44">
        <v>130</v>
      </c>
      <c r="C130" s="44" t="s">
        <v>1659</v>
      </c>
      <c r="D130" s="44" t="s">
        <v>922</v>
      </c>
      <c r="E130" s="56">
        <v>299</v>
      </c>
      <c r="F130" s="56" t="s">
        <v>40</v>
      </c>
      <c r="G130" s="62" t="s">
        <v>923</v>
      </c>
      <c r="H130" s="56"/>
      <c r="I130" s="56" t="s">
        <v>125</v>
      </c>
      <c r="J130" s="58"/>
      <c r="K130" s="39"/>
      <c r="L130" s="39"/>
      <c r="M130" s="39"/>
      <c r="N130" s="41"/>
      <c r="O130" s="39">
        <v>4200</v>
      </c>
      <c r="P130" s="39">
        <v>4200</v>
      </c>
      <c r="Q130" s="39" t="s">
        <v>1425</v>
      </c>
      <c r="R130" s="41"/>
      <c r="S130" s="56">
        <v>15000</v>
      </c>
      <c r="T130" s="44">
        <v>5000</v>
      </c>
      <c r="U130" s="48" t="s">
        <v>924</v>
      </c>
      <c r="V130" s="58"/>
      <c r="W130" s="79"/>
      <c r="X130" s="42"/>
      <c r="Y130" s="42"/>
      <c r="Z130" s="42"/>
      <c r="AA130" s="42"/>
      <c r="AB130" s="42"/>
      <c r="AC130" s="42"/>
      <c r="AD130" s="39"/>
      <c r="AE130" s="39"/>
      <c r="AF130" s="77">
        <f>S130-T130-V130-X130-Z130-AB130-AD130</f>
        <v>10000</v>
      </c>
      <c r="AG130" s="76"/>
      <c r="AH130" s="76"/>
      <c r="AI130" s="149">
        <f>+T130+V130+X130+Z130+AB130+AD130</f>
        <v>5000</v>
      </c>
      <c r="AJ130" s="145">
        <f t="shared" ref="AJ130:AJ192" si="11">AF130+R130+N130-AG130+AH130</f>
        <v>10000</v>
      </c>
      <c r="AK130" s="115"/>
    </row>
    <row r="131" spans="1:49" ht="37.5" customHeight="1" x14ac:dyDescent="0.25">
      <c r="A131" s="27"/>
      <c r="B131" s="44">
        <v>131</v>
      </c>
      <c r="C131" s="56" t="s">
        <v>925</v>
      </c>
      <c r="D131" s="56" t="s">
        <v>926</v>
      </c>
      <c r="E131" s="56">
        <v>466</v>
      </c>
      <c r="F131" s="44"/>
      <c r="G131" s="57" t="s">
        <v>927</v>
      </c>
      <c r="H131" s="56" t="s">
        <v>37</v>
      </c>
      <c r="I131" s="56" t="s">
        <v>49</v>
      </c>
      <c r="J131" s="58"/>
      <c r="K131" s="39"/>
      <c r="L131" s="39"/>
      <c r="M131" s="39"/>
      <c r="N131" s="41"/>
      <c r="O131" s="39">
        <v>4200</v>
      </c>
      <c r="P131" s="39">
        <v>4200</v>
      </c>
      <c r="Q131" s="39" t="s">
        <v>1601</v>
      </c>
      <c r="R131" s="41"/>
      <c r="S131" s="56">
        <v>15000</v>
      </c>
      <c r="T131" s="56">
        <v>3000</v>
      </c>
      <c r="U131" s="78" t="s">
        <v>928</v>
      </c>
      <c r="V131" s="58">
        <v>3000</v>
      </c>
      <c r="W131" s="79" t="s">
        <v>1222</v>
      </c>
      <c r="X131" s="42"/>
      <c r="Y131" s="42"/>
      <c r="Z131" s="42"/>
      <c r="AA131" s="42"/>
      <c r="AB131" s="42"/>
      <c r="AC131" s="42"/>
      <c r="AD131" s="39"/>
      <c r="AE131" s="39"/>
      <c r="AF131" s="77">
        <f t="shared" si="9"/>
        <v>9000</v>
      </c>
      <c r="AG131" s="76"/>
      <c r="AH131" s="76"/>
      <c r="AI131" s="149">
        <f t="shared" si="10"/>
        <v>6000</v>
      </c>
      <c r="AJ131" s="145">
        <f t="shared" si="11"/>
        <v>9000</v>
      </c>
      <c r="AK131" s="115">
        <v>5000</v>
      </c>
    </row>
    <row r="132" spans="1:49" s="81" customFormat="1" ht="37.5" customHeight="1" x14ac:dyDescent="0.25">
      <c r="A132" s="27"/>
      <c r="B132" s="44">
        <v>132</v>
      </c>
      <c r="C132" s="56" t="s">
        <v>930</v>
      </c>
      <c r="D132" s="56" t="s">
        <v>478</v>
      </c>
      <c r="E132" s="56"/>
      <c r="F132" s="56" t="s">
        <v>39</v>
      </c>
      <c r="G132" s="57" t="s">
        <v>1017</v>
      </c>
      <c r="H132" s="56" t="s">
        <v>37</v>
      </c>
      <c r="I132" s="56" t="s">
        <v>125</v>
      </c>
      <c r="J132" s="58"/>
      <c r="K132" s="58"/>
      <c r="L132" s="58"/>
      <c r="M132" s="58"/>
      <c r="N132" s="143"/>
      <c r="O132" s="58">
        <v>4200</v>
      </c>
      <c r="P132" s="58">
        <v>4200</v>
      </c>
      <c r="Q132" s="58" t="s">
        <v>1389</v>
      </c>
      <c r="R132" s="143"/>
      <c r="S132" s="56">
        <v>30000</v>
      </c>
      <c r="T132" s="56">
        <v>5000</v>
      </c>
      <c r="U132" s="78" t="s">
        <v>931</v>
      </c>
      <c r="V132" s="58">
        <v>10000</v>
      </c>
      <c r="W132" s="79" t="s">
        <v>1758</v>
      </c>
      <c r="X132" s="79"/>
      <c r="Y132" s="79"/>
      <c r="Z132" s="79"/>
      <c r="AA132" s="79"/>
      <c r="AB132" s="79"/>
      <c r="AC132" s="79"/>
      <c r="AD132" s="58"/>
      <c r="AE132" s="58"/>
      <c r="AF132" s="77">
        <f t="shared" si="9"/>
        <v>15000</v>
      </c>
      <c r="AG132" s="76"/>
      <c r="AH132" s="76"/>
      <c r="AI132" s="149">
        <f t="shared" si="10"/>
        <v>15000</v>
      </c>
      <c r="AJ132" s="145">
        <f t="shared" si="11"/>
        <v>15000</v>
      </c>
      <c r="AK132" s="121"/>
      <c r="AL132" s="121"/>
      <c r="AM132" s="121"/>
      <c r="AN132" s="121"/>
      <c r="AO132" s="121"/>
      <c r="AP132" s="121"/>
      <c r="AQ132" s="121"/>
      <c r="AR132" s="80"/>
      <c r="AS132" s="80"/>
      <c r="AT132" s="80"/>
      <c r="AU132" s="80"/>
      <c r="AV132" s="80"/>
      <c r="AW132" s="80"/>
    </row>
    <row r="133" spans="1:49" s="83" customFormat="1" ht="37.5" customHeight="1" x14ac:dyDescent="0.25">
      <c r="A133" s="27"/>
      <c r="B133" s="44">
        <v>133</v>
      </c>
      <c r="C133" s="56" t="s">
        <v>938</v>
      </c>
      <c r="D133" s="56" t="s">
        <v>939</v>
      </c>
      <c r="E133" s="56">
        <v>375</v>
      </c>
      <c r="F133" s="56" t="s">
        <v>663</v>
      </c>
      <c r="G133" s="57" t="s">
        <v>940</v>
      </c>
      <c r="H133" s="56" t="s">
        <v>941</v>
      </c>
      <c r="I133" s="56" t="s">
        <v>264</v>
      </c>
      <c r="J133" s="58"/>
      <c r="K133" s="58"/>
      <c r="L133" s="58"/>
      <c r="M133" s="58"/>
      <c r="N133" s="143"/>
      <c r="O133" s="58">
        <v>4200</v>
      </c>
      <c r="P133" s="58">
        <v>4200</v>
      </c>
      <c r="Q133" s="58" t="s">
        <v>1290</v>
      </c>
      <c r="R133" s="143"/>
      <c r="S133" s="56">
        <v>50000</v>
      </c>
      <c r="T133" s="56">
        <v>10000</v>
      </c>
      <c r="U133" s="78" t="s">
        <v>942</v>
      </c>
      <c r="V133" s="58"/>
      <c r="W133" s="79"/>
      <c r="X133" s="79"/>
      <c r="Y133" s="79"/>
      <c r="Z133" s="79"/>
      <c r="AA133" s="79"/>
      <c r="AB133" s="79"/>
      <c r="AC133" s="79"/>
      <c r="AD133" s="58"/>
      <c r="AE133" s="58"/>
      <c r="AF133" s="77">
        <f t="shared" si="9"/>
        <v>40000</v>
      </c>
      <c r="AG133" s="76"/>
      <c r="AH133" s="76"/>
      <c r="AI133" s="149">
        <f t="shared" si="10"/>
        <v>10000</v>
      </c>
      <c r="AJ133" s="145">
        <f t="shared" si="11"/>
        <v>40000</v>
      </c>
      <c r="AK133" s="180">
        <v>5000</v>
      </c>
      <c r="AL133" s="121"/>
      <c r="AM133" s="121"/>
      <c r="AN133" s="121"/>
      <c r="AO133" s="121"/>
      <c r="AP133" s="121"/>
      <c r="AQ133" s="121"/>
      <c r="AR133" s="80"/>
      <c r="AS133" s="80"/>
      <c r="AT133" s="80"/>
      <c r="AU133" s="80"/>
      <c r="AV133" s="80"/>
      <c r="AW133" s="80"/>
    </row>
    <row r="134" spans="1:49" s="81" customFormat="1" ht="37.5" customHeight="1" x14ac:dyDescent="0.25">
      <c r="A134" s="27"/>
      <c r="B134" s="44">
        <v>134</v>
      </c>
      <c r="C134" s="56" t="s">
        <v>943</v>
      </c>
      <c r="D134" s="56" t="s">
        <v>404</v>
      </c>
      <c r="E134" s="56">
        <v>322</v>
      </c>
      <c r="F134" s="56" t="s">
        <v>40</v>
      </c>
      <c r="G134" s="57" t="s">
        <v>944</v>
      </c>
      <c r="H134" s="56" t="s">
        <v>278</v>
      </c>
      <c r="I134" s="56" t="s">
        <v>522</v>
      </c>
      <c r="J134" s="58"/>
      <c r="K134" s="58"/>
      <c r="L134" s="58"/>
      <c r="M134" s="58"/>
      <c r="N134" s="143"/>
      <c r="O134" s="58">
        <v>4200</v>
      </c>
      <c r="P134" s="58">
        <v>4200</v>
      </c>
      <c r="Q134" s="58" t="s">
        <v>1566</v>
      </c>
      <c r="R134" s="143"/>
      <c r="S134" s="56">
        <v>25000</v>
      </c>
      <c r="T134" s="56">
        <v>3000</v>
      </c>
      <c r="U134" s="78" t="s">
        <v>945</v>
      </c>
      <c r="V134" s="163"/>
      <c r="W134" s="112"/>
      <c r="X134" s="79"/>
      <c r="Y134" s="112"/>
      <c r="Z134" s="79"/>
      <c r="AA134" s="112"/>
      <c r="AB134" s="79"/>
      <c r="AC134" s="112"/>
      <c r="AD134" s="58"/>
      <c r="AE134" s="58"/>
      <c r="AF134" s="77">
        <f>S134-T134-V134-X134-Z134-AB134-AD134</f>
        <v>22000</v>
      </c>
      <c r="AG134" s="76"/>
      <c r="AH134" s="76"/>
      <c r="AI134" s="149">
        <f>+T134+V134+X134+Z134+AB134+AD134</f>
        <v>3000</v>
      </c>
      <c r="AJ134" s="145">
        <f t="shared" si="11"/>
        <v>22000</v>
      </c>
      <c r="AK134" s="121"/>
      <c r="AL134" s="121"/>
      <c r="AM134" s="121"/>
      <c r="AN134" s="121"/>
      <c r="AO134" s="121"/>
      <c r="AP134" s="121"/>
      <c r="AQ134" s="121"/>
      <c r="AR134" s="80"/>
      <c r="AS134" s="80"/>
      <c r="AT134" s="80"/>
      <c r="AU134" s="80"/>
      <c r="AV134" s="80"/>
      <c r="AW134" s="80"/>
    </row>
    <row r="135" spans="1:49" s="81" customFormat="1" ht="37.5" customHeight="1" x14ac:dyDescent="0.25">
      <c r="A135" s="27"/>
      <c r="B135" s="44">
        <v>135</v>
      </c>
      <c r="C135" s="56" t="s">
        <v>946</v>
      </c>
      <c r="D135" s="56" t="s">
        <v>947</v>
      </c>
      <c r="E135" s="56"/>
      <c r="F135" s="56" t="s">
        <v>589</v>
      </c>
      <c r="G135" s="57" t="s">
        <v>948</v>
      </c>
      <c r="H135" s="56" t="s">
        <v>949</v>
      </c>
      <c r="I135" s="56"/>
      <c r="J135" s="58"/>
      <c r="K135" s="58"/>
      <c r="L135" s="58"/>
      <c r="M135" s="58"/>
      <c r="N135" s="143"/>
      <c r="O135" s="58">
        <v>4200</v>
      </c>
      <c r="P135" s="58">
        <v>4200</v>
      </c>
      <c r="Q135" s="58" t="s">
        <v>1382</v>
      </c>
      <c r="R135" s="143"/>
      <c r="S135" s="56">
        <v>30000</v>
      </c>
      <c r="T135" s="56">
        <v>15000</v>
      </c>
      <c r="U135" s="78" t="s">
        <v>950</v>
      </c>
      <c r="V135" s="58"/>
      <c r="W135" s="112"/>
      <c r="X135" s="79"/>
      <c r="Y135" s="112"/>
      <c r="Z135" s="79"/>
      <c r="AA135" s="112"/>
      <c r="AB135" s="79"/>
      <c r="AC135" s="112"/>
      <c r="AD135" s="58"/>
      <c r="AE135" s="58"/>
      <c r="AF135" s="77">
        <f t="shared" si="9"/>
        <v>15000</v>
      </c>
      <c r="AG135" s="76"/>
      <c r="AH135" s="76"/>
      <c r="AI135" s="58">
        <f t="shared" si="10"/>
        <v>15000</v>
      </c>
      <c r="AJ135" s="145">
        <f t="shared" si="11"/>
        <v>15000</v>
      </c>
      <c r="AK135" s="121"/>
      <c r="AL135" s="121"/>
      <c r="AM135" s="121"/>
      <c r="AN135" s="121"/>
      <c r="AO135" s="121"/>
      <c r="AP135" s="121"/>
      <c r="AQ135" s="121"/>
      <c r="AR135" s="80"/>
      <c r="AS135" s="80"/>
      <c r="AT135" s="80"/>
      <c r="AU135" s="80"/>
      <c r="AV135" s="80"/>
      <c r="AW135" s="80"/>
    </row>
    <row r="136" spans="1:49" s="81" customFormat="1" ht="37.5" customHeight="1" x14ac:dyDescent="0.25">
      <c r="A136" s="27"/>
      <c r="B136" s="44">
        <v>136</v>
      </c>
      <c r="C136" s="56" t="s">
        <v>266</v>
      </c>
      <c r="D136" s="56" t="s">
        <v>960</v>
      </c>
      <c r="E136" s="56"/>
      <c r="F136" s="57" t="s">
        <v>589</v>
      </c>
      <c r="G136" s="57" t="s">
        <v>1018</v>
      </c>
      <c r="H136" s="56" t="s">
        <v>196</v>
      </c>
      <c r="I136" s="56" t="s">
        <v>522</v>
      </c>
      <c r="J136" s="58"/>
      <c r="K136" s="58"/>
      <c r="L136" s="58"/>
      <c r="M136" s="58"/>
      <c r="N136" s="143"/>
      <c r="O136" s="58">
        <v>4200</v>
      </c>
      <c r="P136" s="58">
        <v>4200</v>
      </c>
      <c r="Q136" s="58" t="s">
        <v>1488</v>
      </c>
      <c r="R136" s="143"/>
      <c r="S136" s="56">
        <v>30000</v>
      </c>
      <c r="T136" s="56">
        <v>2500</v>
      </c>
      <c r="U136" s="78" t="s">
        <v>954</v>
      </c>
      <c r="V136" s="58">
        <v>2500</v>
      </c>
      <c r="W136" s="79" t="s">
        <v>1208</v>
      </c>
      <c r="X136" s="79">
        <v>2500</v>
      </c>
      <c r="Y136" s="79" t="s">
        <v>1774</v>
      </c>
      <c r="Z136" s="79"/>
      <c r="AA136" s="79"/>
      <c r="AB136" s="79"/>
      <c r="AC136" s="79"/>
      <c r="AD136" s="58"/>
      <c r="AE136" s="58"/>
      <c r="AF136" s="77">
        <f t="shared" si="9"/>
        <v>22500</v>
      </c>
      <c r="AG136" s="76"/>
      <c r="AH136" s="76"/>
      <c r="AI136" s="149">
        <f t="shared" si="10"/>
        <v>7500</v>
      </c>
      <c r="AJ136" s="145">
        <f t="shared" si="11"/>
        <v>22500</v>
      </c>
      <c r="AK136" s="179">
        <v>5000</v>
      </c>
      <c r="AL136" s="121"/>
      <c r="AM136" s="121"/>
      <c r="AN136" s="121"/>
      <c r="AO136" s="121"/>
      <c r="AP136" s="121"/>
      <c r="AQ136" s="121"/>
      <c r="AR136" s="80"/>
      <c r="AS136" s="80"/>
      <c r="AT136" s="80"/>
      <c r="AU136" s="80"/>
      <c r="AV136" s="80"/>
      <c r="AW136" s="80"/>
    </row>
    <row r="137" spans="1:49" s="81" customFormat="1" ht="37.5" customHeight="1" x14ac:dyDescent="0.25">
      <c r="A137" s="27"/>
      <c r="B137" s="44">
        <v>137</v>
      </c>
      <c r="C137" s="56" t="s">
        <v>956</v>
      </c>
      <c r="D137" s="56" t="s">
        <v>43</v>
      </c>
      <c r="E137" s="56">
        <v>464</v>
      </c>
      <c r="F137" s="56" t="s">
        <v>39</v>
      </c>
      <c r="G137" s="57" t="s">
        <v>1015</v>
      </c>
      <c r="H137" s="56" t="s">
        <v>1016</v>
      </c>
      <c r="I137" s="56"/>
      <c r="J137" s="58"/>
      <c r="K137" s="58"/>
      <c r="L137" s="58"/>
      <c r="M137" s="58"/>
      <c r="N137" s="143"/>
      <c r="O137" s="58">
        <v>4200</v>
      </c>
      <c r="P137" s="58">
        <v>4200</v>
      </c>
      <c r="Q137" s="58" t="s">
        <v>1324</v>
      </c>
      <c r="R137" s="143"/>
      <c r="S137" s="56">
        <v>25000</v>
      </c>
      <c r="T137" s="56">
        <v>5000</v>
      </c>
      <c r="U137" s="78" t="s">
        <v>957</v>
      </c>
      <c r="V137" s="58">
        <v>10000</v>
      </c>
      <c r="W137" s="79" t="s">
        <v>1743</v>
      </c>
      <c r="X137" s="79"/>
      <c r="Y137" s="79"/>
      <c r="Z137" s="79"/>
      <c r="AA137" s="112"/>
      <c r="AB137" s="79"/>
      <c r="AC137" s="79"/>
      <c r="AD137" s="58"/>
      <c r="AE137" s="58"/>
      <c r="AF137" s="77">
        <f>S137-T137-V137-X137-Z137-AB137-AD137</f>
        <v>10000</v>
      </c>
      <c r="AG137" s="76"/>
      <c r="AH137" s="76"/>
      <c r="AI137" s="149">
        <f>+T137+V137+X137+Z137+AB137+AD137</f>
        <v>15000</v>
      </c>
      <c r="AJ137" s="145">
        <f t="shared" si="11"/>
        <v>10000</v>
      </c>
      <c r="AK137" s="180">
        <v>5000</v>
      </c>
      <c r="AL137" s="121"/>
      <c r="AM137" s="121"/>
      <c r="AN137" s="121"/>
      <c r="AO137" s="121"/>
      <c r="AP137" s="121"/>
      <c r="AQ137" s="121"/>
      <c r="AR137" s="80"/>
      <c r="AS137" s="80"/>
      <c r="AT137" s="80"/>
      <c r="AU137" s="80"/>
      <c r="AV137" s="80"/>
      <c r="AW137" s="80"/>
    </row>
    <row r="138" spans="1:49" s="89" customFormat="1" ht="39" customHeight="1" x14ac:dyDescent="0.25">
      <c r="A138" s="27"/>
      <c r="B138" s="44">
        <v>139</v>
      </c>
      <c r="C138" s="56" t="s">
        <v>1361</v>
      </c>
      <c r="D138" s="56" t="s">
        <v>976</v>
      </c>
      <c r="E138" s="56"/>
      <c r="F138" s="56" t="s">
        <v>589</v>
      </c>
      <c r="G138" s="57" t="s">
        <v>979</v>
      </c>
      <c r="H138" s="56" t="s">
        <v>241</v>
      </c>
      <c r="I138" s="56" t="s">
        <v>980</v>
      </c>
      <c r="J138" s="58"/>
      <c r="K138" s="86"/>
      <c r="L138" s="86"/>
      <c r="M138" s="86"/>
      <c r="N138" s="188"/>
      <c r="O138" s="86"/>
      <c r="P138" s="86"/>
      <c r="Q138" s="86"/>
      <c r="R138" s="188"/>
      <c r="S138" s="56">
        <v>30000</v>
      </c>
      <c r="T138" s="56">
        <v>2000</v>
      </c>
      <c r="U138" s="78" t="s">
        <v>977</v>
      </c>
      <c r="V138" s="58">
        <v>8000</v>
      </c>
      <c r="W138" s="79" t="s">
        <v>1231</v>
      </c>
      <c r="X138" s="87"/>
      <c r="Y138" s="87"/>
      <c r="Z138" s="87"/>
      <c r="AA138" s="87"/>
      <c r="AB138" s="87"/>
      <c r="AC138" s="87"/>
      <c r="AD138" s="86"/>
      <c r="AE138" s="86"/>
      <c r="AF138" s="77">
        <f t="shared" si="9"/>
        <v>20000</v>
      </c>
      <c r="AG138" s="76"/>
      <c r="AH138" s="76"/>
      <c r="AI138" s="149">
        <f t="shared" si="10"/>
        <v>10000</v>
      </c>
      <c r="AJ138" s="145">
        <f t="shared" si="11"/>
        <v>20000</v>
      </c>
      <c r="AK138" s="179">
        <v>5000</v>
      </c>
      <c r="AL138" s="123"/>
      <c r="AM138" s="123"/>
      <c r="AN138" s="123"/>
      <c r="AO138" s="123"/>
      <c r="AP138" s="123"/>
      <c r="AQ138" s="123"/>
      <c r="AR138" s="88"/>
      <c r="AS138" s="88"/>
      <c r="AT138" s="88"/>
      <c r="AU138" s="88"/>
      <c r="AV138" s="88"/>
      <c r="AW138" s="88"/>
    </row>
    <row r="139" spans="1:49" s="89" customFormat="1" ht="43.5" customHeight="1" x14ac:dyDescent="0.25">
      <c r="A139" s="27"/>
      <c r="B139" s="44">
        <v>140</v>
      </c>
      <c r="C139" s="125" t="s">
        <v>990</v>
      </c>
      <c r="D139" s="125" t="s">
        <v>991</v>
      </c>
      <c r="E139" s="125"/>
      <c r="F139" s="44" t="s">
        <v>215</v>
      </c>
      <c r="G139" s="126" t="s">
        <v>992</v>
      </c>
      <c r="H139" s="125" t="s">
        <v>993</v>
      </c>
      <c r="I139" s="186" t="s">
        <v>994</v>
      </c>
      <c r="J139" s="58"/>
      <c r="K139" s="86"/>
      <c r="L139" s="86"/>
      <c r="M139" s="86"/>
      <c r="N139" s="188"/>
      <c r="O139" s="86"/>
      <c r="P139" s="86"/>
      <c r="Q139" s="86"/>
      <c r="R139" s="188"/>
      <c r="S139" s="56">
        <v>55000</v>
      </c>
      <c r="T139" s="56">
        <v>5000</v>
      </c>
      <c r="U139" s="78" t="s">
        <v>995</v>
      </c>
      <c r="V139" s="58"/>
      <c r="W139" s="79"/>
      <c r="X139" s="87"/>
      <c r="Y139" s="87"/>
      <c r="Z139" s="87"/>
      <c r="AA139" s="87"/>
      <c r="AB139" s="87"/>
      <c r="AC139" s="87"/>
      <c r="AD139" s="86"/>
      <c r="AE139" s="86"/>
      <c r="AF139" s="77">
        <f>S139-T139-V139-X139-Z139-AB139</f>
        <v>50000</v>
      </c>
      <c r="AG139" s="76"/>
      <c r="AH139" s="76"/>
      <c r="AI139" s="149">
        <f t="shared" si="10"/>
        <v>5000</v>
      </c>
      <c r="AJ139" s="145">
        <f t="shared" si="11"/>
        <v>50000</v>
      </c>
      <c r="AK139" s="123"/>
      <c r="AL139" s="123"/>
      <c r="AM139" s="123"/>
      <c r="AN139" s="123"/>
      <c r="AO139" s="123"/>
      <c r="AP139" s="123"/>
      <c r="AQ139" s="123"/>
      <c r="AR139" s="88"/>
      <c r="AS139" s="88"/>
      <c r="AT139" s="88"/>
      <c r="AU139" s="88"/>
      <c r="AV139" s="88"/>
      <c r="AW139" s="88"/>
    </row>
    <row r="140" spans="1:49" s="81" customFormat="1" ht="37.5" customHeight="1" x14ac:dyDescent="0.25">
      <c r="A140" s="27"/>
      <c r="B140" s="44">
        <v>141</v>
      </c>
      <c r="C140" s="56" t="s">
        <v>1002</v>
      </c>
      <c r="D140" s="56" t="s">
        <v>1003</v>
      </c>
      <c r="E140" s="56"/>
      <c r="F140" s="56" t="s">
        <v>39</v>
      </c>
      <c r="G140" s="57" t="s">
        <v>1004</v>
      </c>
      <c r="H140" s="56" t="s">
        <v>222</v>
      </c>
      <c r="I140" s="56"/>
      <c r="J140" s="58"/>
      <c r="K140" s="58"/>
      <c r="L140" s="58"/>
      <c r="M140" s="58"/>
      <c r="N140" s="143"/>
      <c r="O140" s="58">
        <v>4200</v>
      </c>
      <c r="P140" s="58">
        <v>4200</v>
      </c>
      <c r="Q140" s="58" t="s">
        <v>1637</v>
      </c>
      <c r="R140" s="143"/>
      <c r="S140" s="56">
        <v>25000</v>
      </c>
      <c r="T140" s="56">
        <v>2000</v>
      </c>
      <c r="U140" s="78" t="s">
        <v>1005</v>
      </c>
      <c r="V140" s="58"/>
      <c r="W140" s="79"/>
      <c r="X140" s="79"/>
      <c r="Y140" s="79"/>
      <c r="Z140" s="79"/>
      <c r="AA140" s="79"/>
      <c r="AB140" s="79"/>
      <c r="AC140" s="79"/>
      <c r="AD140" s="58"/>
      <c r="AE140" s="58"/>
      <c r="AF140" s="77">
        <f>S140-T140-V140-X140-Z140-AB140-AD140</f>
        <v>23000</v>
      </c>
      <c r="AG140" s="76"/>
      <c r="AH140" s="76"/>
      <c r="AI140" s="149">
        <f>+T140+V140+X140+Z140+AB140+AD140</f>
        <v>2000</v>
      </c>
      <c r="AJ140" s="145">
        <f t="shared" si="11"/>
        <v>23000</v>
      </c>
      <c r="AK140" s="121"/>
      <c r="AL140" s="121"/>
      <c r="AM140" s="121"/>
      <c r="AN140" s="121"/>
      <c r="AO140" s="121"/>
      <c r="AP140" s="121"/>
      <c r="AQ140" s="121"/>
      <c r="AR140" s="80"/>
      <c r="AS140" s="80"/>
      <c r="AT140" s="80"/>
      <c r="AU140" s="80"/>
      <c r="AV140" s="80"/>
      <c r="AW140" s="80"/>
    </row>
    <row r="141" spans="1:49" s="81" customFormat="1" ht="37.5" customHeight="1" x14ac:dyDescent="0.25">
      <c r="A141" s="27"/>
      <c r="B141" s="44">
        <v>142</v>
      </c>
      <c r="C141" s="56" t="s">
        <v>1019</v>
      </c>
      <c r="D141" s="56" t="s">
        <v>1020</v>
      </c>
      <c r="E141" s="56"/>
      <c r="F141" s="44" t="s">
        <v>39</v>
      </c>
      <c r="G141" s="57" t="s">
        <v>1021</v>
      </c>
      <c r="H141" s="56" t="s">
        <v>1022</v>
      </c>
      <c r="I141" s="186" t="s">
        <v>994</v>
      </c>
      <c r="J141" s="58" t="s">
        <v>1023</v>
      </c>
      <c r="K141" s="58"/>
      <c r="L141" s="58"/>
      <c r="M141" s="58"/>
      <c r="N141" s="143"/>
      <c r="O141" s="58">
        <v>4200</v>
      </c>
      <c r="P141" s="58">
        <v>4200</v>
      </c>
      <c r="Q141" s="58" t="s">
        <v>1543</v>
      </c>
      <c r="R141" s="143"/>
      <c r="S141" s="56">
        <v>10</v>
      </c>
      <c r="T141" s="56"/>
      <c r="U141" s="134"/>
      <c r="V141" s="79"/>
      <c r="W141" s="79"/>
      <c r="X141" s="79"/>
      <c r="Y141" s="79"/>
      <c r="Z141" s="79"/>
      <c r="AA141" s="112"/>
      <c r="AB141" s="79"/>
      <c r="AC141" s="79"/>
      <c r="AD141" s="58"/>
      <c r="AE141" s="58"/>
      <c r="AF141" s="77">
        <f>S141-T141-V141-X141-Z141-AB141-AD141</f>
        <v>10</v>
      </c>
      <c r="AG141" s="76"/>
      <c r="AH141" s="76"/>
      <c r="AI141" s="149">
        <f>+T141+V141+X141+Z141+AB141+AD141</f>
        <v>0</v>
      </c>
      <c r="AJ141" s="145">
        <f t="shared" si="11"/>
        <v>10</v>
      </c>
      <c r="AK141" s="121">
        <v>5000</v>
      </c>
      <c r="AL141" s="121"/>
      <c r="AM141" s="121"/>
      <c r="AN141" s="121"/>
      <c r="AO141" s="121"/>
      <c r="AP141" s="121"/>
      <c r="AQ141" s="121"/>
      <c r="AR141" s="80"/>
      <c r="AS141" s="80"/>
      <c r="AT141" s="80"/>
      <c r="AU141" s="80"/>
      <c r="AV141" s="80"/>
      <c r="AW141" s="80"/>
    </row>
    <row r="142" spans="1:49" ht="37.5" customHeight="1" x14ac:dyDescent="0.25">
      <c r="A142" s="27"/>
      <c r="B142" s="44">
        <v>143</v>
      </c>
      <c r="C142" s="56" t="s">
        <v>1024</v>
      </c>
      <c r="D142" s="56" t="s">
        <v>1025</v>
      </c>
      <c r="E142" s="56"/>
      <c r="F142" s="56" t="s">
        <v>40</v>
      </c>
      <c r="G142" s="57" t="s">
        <v>1026</v>
      </c>
      <c r="H142" s="56" t="s">
        <v>852</v>
      </c>
      <c r="I142" s="44"/>
      <c r="J142" s="58"/>
      <c r="K142" s="39"/>
      <c r="L142" s="39"/>
      <c r="M142" s="39"/>
      <c r="N142" s="41"/>
      <c r="O142" s="39"/>
      <c r="P142" s="39"/>
      <c r="Q142" s="39"/>
      <c r="R142" s="41"/>
      <c r="S142" s="56">
        <v>35000</v>
      </c>
      <c r="T142" s="56"/>
      <c r="U142" s="78"/>
      <c r="V142" s="58"/>
      <c r="W142" s="79"/>
      <c r="X142" s="42"/>
      <c r="Y142" s="42"/>
      <c r="Z142" s="42"/>
      <c r="AA142" s="42"/>
      <c r="AB142" s="42"/>
      <c r="AC142" s="42"/>
      <c r="AD142" s="39"/>
      <c r="AE142" s="39"/>
      <c r="AF142" s="77">
        <f>S142-T142-V142-X142-Z142-AB142-AD142</f>
        <v>35000</v>
      </c>
      <c r="AG142" s="76"/>
      <c r="AH142" s="76"/>
      <c r="AI142" s="149">
        <f>+T142+V142+X142+Z142+AB142+AD142</f>
        <v>0</v>
      </c>
      <c r="AJ142" s="145">
        <f t="shared" si="11"/>
        <v>35000</v>
      </c>
      <c r="AK142" s="115">
        <v>5000</v>
      </c>
    </row>
    <row r="143" spans="1:49" ht="28.5" customHeight="1" x14ac:dyDescent="0.25">
      <c r="A143" s="27"/>
      <c r="B143" s="44">
        <v>144</v>
      </c>
      <c r="C143" s="56" t="s">
        <v>1027</v>
      </c>
      <c r="D143" s="56" t="s">
        <v>1028</v>
      </c>
      <c r="E143" s="56"/>
      <c r="F143" s="56" t="s">
        <v>589</v>
      </c>
      <c r="G143" s="57" t="s">
        <v>1029</v>
      </c>
      <c r="H143" s="56" t="s">
        <v>37</v>
      </c>
      <c r="I143" s="56" t="s">
        <v>125</v>
      </c>
      <c r="J143" s="58"/>
      <c r="K143" s="39"/>
      <c r="L143" s="39"/>
      <c r="M143" s="39"/>
      <c r="N143" s="41"/>
      <c r="O143" s="39">
        <v>4200</v>
      </c>
      <c r="P143" s="39">
        <v>4200</v>
      </c>
      <c r="Q143" s="39" t="s">
        <v>1381</v>
      </c>
      <c r="R143" s="41"/>
      <c r="S143" s="56">
        <v>30000</v>
      </c>
      <c r="T143" s="56">
        <v>2000</v>
      </c>
      <c r="U143" s="78" t="s">
        <v>1037</v>
      </c>
      <c r="V143" s="56">
        <v>5000</v>
      </c>
      <c r="W143" s="78"/>
      <c r="X143" s="42"/>
      <c r="Y143" s="42"/>
      <c r="Z143" s="42"/>
      <c r="AA143" s="42"/>
      <c r="AB143" s="42"/>
      <c r="AC143" s="42"/>
      <c r="AD143" s="39"/>
      <c r="AE143" s="39"/>
      <c r="AF143" s="77">
        <f>S143-T143-V143-X143-Z143-AB143-AD143</f>
        <v>23000</v>
      </c>
      <c r="AG143" s="76"/>
      <c r="AH143" s="76"/>
      <c r="AI143" s="149">
        <f>+T143+V143+X143+Z143+AB143+AD143</f>
        <v>7000</v>
      </c>
      <c r="AJ143" s="145">
        <f t="shared" si="11"/>
        <v>23000</v>
      </c>
      <c r="AK143" s="115"/>
    </row>
    <row r="144" spans="1:49" s="12" customFormat="1" ht="37.5" customHeight="1" x14ac:dyDescent="0.25">
      <c r="A144" s="27"/>
      <c r="B144" s="44">
        <v>145</v>
      </c>
      <c r="C144" s="56" t="s">
        <v>1030</v>
      </c>
      <c r="D144" s="56" t="s">
        <v>1031</v>
      </c>
      <c r="E144" s="56"/>
      <c r="F144" s="56" t="s">
        <v>589</v>
      </c>
      <c r="G144" s="57" t="s">
        <v>1032</v>
      </c>
      <c r="H144" s="56" t="s">
        <v>406</v>
      </c>
      <c r="I144" s="56"/>
      <c r="J144" s="58"/>
      <c r="K144" s="39"/>
      <c r="L144" s="39"/>
      <c r="M144" s="39"/>
      <c r="N144" s="41"/>
      <c r="O144" s="39">
        <v>4200</v>
      </c>
      <c r="P144" s="39">
        <v>4200</v>
      </c>
      <c r="Q144" s="39" t="s">
        <v>1525</v>
      </c>
      <c r="R144" s="41"/>
      <c r="S144" s="56">
        <v>25000</v>
      </c>
      <c r="T144" s="56">
        <v>2000</v>
      </c>
      <c r="U144" s="78" t="s">
        <v>1038</v>
      </c>
      <c r="V144" s="58"/>
      <c r="W144" s="112"/>
      <c r="X144" s="42"/>
      <c r="Y144" s="42"/>
      <c r="Z144" s="42"/>
      <c r="AA144" s="42"/>
      <c r="AB144" s="42"/>
      <c r="AC144" s="42"/>
      <c r="AD144" s="39"/>
      <c r="AE144" s="39"/>
      <c r="AF144" s="77">
        <f t="shared" si="9"/>
        <v>23000</v>
      </c>
      <c r="AG144" s="76"/>
      <c r="AH144" s="76"/>
      <c r="AI144" s="149">
        <f t="shared" si="10"/>
        <v>2000</v>
      </c>
      <c r="AJ144" s="145">
        <f t="shared" si="11"/>
        <v>23000</v>
      </c>
      <c r="AK144" s="115"/>
      <c r="AL144" s="115"/>
      <c r="AM144" s="115"/>
      <c r="AN144" s="115"/>
      <c r="AO144" s="115"/>
      <c r="AP144" s="115"/>
      <c r="AQ144" s="115"/>
    </row>
    <row r="145" spans="1:49" ht="37.5" customHeight="1" x14ac:dyDescent="0.25">
      <c r="A145" s="27"/>
      <c r="B145" s="44">
        <v>146</v>
      </c>
      <c r="C145" s="56" t="s">
        <v>1034</v>
      </c>
      <c r="D145" s="56" t="s">
        <v>1035</v>
      </c>
      <c r="E145" s="56"/>
      <c r="F145" s="56" t="s">
        <v>40</v>
      </c>
      <c r="G145" s="57"/>
      <c r="H145" s="56"/>
      <c r="I145" s="56"/>
      <c r="J145" s="58"/>
      <c r="K145" s="39"/>
      <c r="L145" s="39"/>
      <c r="M145" s="39"/>
      <c r="N145" s="41"/>
      <c r="O145" s="39">
        <v>7000</v>
      </c>
      <c r="P145" s="39">
        <v>7000</v>
      </c>
      <c r="Q145" s="39"/>
      <c r="R145" s="41"/>
      <c r="S145" s="56">
        <v>20000</v>
      </c>
      <c r="T145" s="56">
        <v>2000</v>
      </c>
      <c r="U145" s="78" t="s">
        <v>1036</v>
      </c>
      <c r="V145" s="58"/>
      <c r="W145" s="79"/>
      <c r="X145" s="42"/>
      <c r="Y145" s="42"/>
      <c r="Z145" s="42"/>
      <c r="AA145" s="42"/>
      <c r="AB145" s="42"/>
      <c r="AC145" s="42"/>
      <c r="AD145" s="39"/>
      <c r="AE145" s="39"/>
      <c r="AF145" s="77">
        <f t="shared" si="9"/>
        <v>18000</v>
      </c>
      <c r="AG145" s="76"/>
      <c r="AH145" s="76"/>
      <c r="AI145" s="149">
        <f t="shared" si="10"/>
        <v>2000</v>
      </c>
      <c r="AJ145" s="145">
        <f t="shared" si="11"/>
        <v>18000</v>
      </c>
      <c r="AK145" s="115">
        <v>5000</v>
      </c>
    </row>
    <row r="146" spans="1:49" ht="37.5" customHeight="1" x14ac:dyDescent="0.25">
      <c r="A146" s="27"/>
      <c r="B146" s="44">
        <v>147</v>
      </c>
      <c r="C146" s="56" t="s">
        <v>1042</v>
      </c>
      <c r="D146" s="56" t="s">
        <v>1043</v>
      </c>
      <c r="E146" s="56"/>
      <c r="F146" s="44" t="s">
        <v>39</v>
      </c>
      <c r="G146" s="57" t="s">
        <v>1044</v>
      </c>
      <c r="H146" s="56" t="s">
        <v>406</v>
      </c>
      <c r="I146" s="186" t="s">
        <v>994</v>
      </c>
      <c r="J146" s="58"/>
      <c r="K146" s="39"/>
      <c r="L146" s="39"/>
      <c r="M146" s="39"/>
      <c r="N146" s="41"/>
      <c r="O146" s="39">
        <v>4200</v>
      </c>
      <c r="P146" s="39">
        <v>4200</v>
      </c>
      <c r="Q146" s="39" t="s">
        <v>1489</v>
      </c>
      <c r="R146" s="41"/>
      <c r="S146" s="56">
        <v>25000</v>
      </c>
      <c r="T146" s="56">
        <v>5000</v>
      </c>
      <c r="U146" s="78" t="s">
        <v>1056</v>
      </c>
      <c r="V146" s="58">
        <v>5000</v>
      </c>
      <c r="W146" s="79" t="s">
        <v>1738</v>
      </c>
      <c r="X146" s="42"/>
      <c r="Y146" s="42"/>
      <c r="Z146" s="42"/>
      <c r="AA146" s="42"/>
      <c r="AB146" s="42"/>
      <c r="AC146" s="42"/>
      <c r="AD146" s="39"/>
      <c r="AE146" s="39"/>
      <c r="AF146" s="77">
        <f t="shared" si="9"/>
        <v>15000</v>
      </c>
      <c r="AG146" s="76"/>
      <c r="AH146" s="76"/>
      <c r="AI146" s="149">
        <f t="shared" si="10"/>
        <v>10000</v>
      </c>
      <c r="AJ146" s="145">
        <f t="shared" si="11"/>
        <v>15000</v>
      </c>
      <c r="AK146" s="115"/>
    </row>
    <row r="147" spans="1:49" ht="37.5" customHeight="1" x14ac:dyDescent="0.25">
      <c r="A147" s="27"/>
      <c r="B147" s="44">
        <v>148</v>
      </c>
      <c r="C147" s="56" t="s">
        <v>1045</v>
      </c>
      <c r="D147" s="56" t="s">
        <v>1046</v>
      </c>
      <c r="E147" s="56"/>
      <c r="F147" s="56" t="s">
        <v>589</v>
      </c>
      <c r="G147" s="57" t="s">
        <v>1047</v>
      </c>
      <c r="H147" s="56" t="s">
        <v>406</v>
      </c>
      <c r="I147" s="56" t="s">
        <v>1048</v>
      </c>
      <c r="K147" s="39"/>
      <c r="L147" s="39"/>
      <c r="M147" s="39"/>
      <c r="N147" s="41"/>
      <c r="O147" s="39">
        <v>4200</v>
      </c>
      <c r="P147" s="39">
        <v>4200</v>
      </c>
      <c r="Q147" s="39" t="s">
        <v>1486</v>
      </c>
      <c r="R147" s="41"/>
      <c r="S147" s="56">
        <v>30000</v>
      </c>
      <c r="T147" s="56">
        <v>3000</v>
      </c>
      <c r="U147" s="78" t="s">
        <v>1051</v>
      </c>
      <c r="V147" s="58"/>
      <c r="W147" s="79"/>
      <c r="X147" s="42"/>
      <c r="Y147" s="42"/>
      <c r="Z147" s="42"/>
      <c r="AA147" s="42"/>
      <c r="AB147" s="42"/>
      <c r="AC147" s="42"/>
      <c r="AD147" s="39"/>
      <c r="AE147" s="39"/>
      <c r="AF147" s="77">
        <f>S147-T147-V147-X147-Z147-AB147-AD147</f>
        <v>27000</v>
      </c>
      <c r="AG147" s="76"/>
      <c r="AH147" s="76"/>
      <c r="AI147" s="149">
        <f>+T147+V147+X147+Z147+AB147+AD147</f>
        <v>3000</v>
      </c>
      <c r="AJ147" s="145">
        <f t="shared" si="11"/>
        <v>27000</v>
      </c>
      <c r="AK147" s="115"/>
    </row>
    <row r="148" spans="1:49" s="24" customFormat="1" ht="42" customHeight="1" x14ac:dyDescent="0.25">
      <c r="A148" s="27"/>
      <c r="B148" s="44">
        <v>149</v>
      </c>
      <c r="C148" s="56" t="s">
        <v>1057</v>
      </c>
      <c r="D148" s="56" t="s">
        <v>565</v>
      </c>
      <c r="E148" s="56"/>
      <c r="F148" s="56" t="s">
        <v>40</v>
      </c>
      <c r="G148" s="57" t="s">
        <v>1058</v>
      </c>
      <c r="H148" s="56" t="s">
        <v>978</v>
      </c>
      <c r="I148" s="92"/>
      <c r="J148" s="58"/>
      <c r="K148" s="39"/>
      <c r="L148" s="39"/>
      <c r="M148" s="39"/>
      <c r="N148" s="41"/>
      <c r="O148" s="39">
        <v>4200</v>
      </c>
      <c r="P148" s="39">
        <v>4200</v>
      </c>
      <c r="Q148" s="39" t="s">
        <v>1578</v>
      </c>
      <c r="R148" s="41"/>
      <c r="S148" s="56">
        <v>30000</v>
      </c>
      <c r="T148" s="56">
        <v>5000</v>
      </c>
      <c r="U148" s="78" t="s">
        <v>1059</v>
      </c>
      <c r="V148" s="58">
        <v>3000</v>
      </c>
      <c r="W148" s="79" t="s">
        <v>1682</v>
      </c>
      <c r="X148" s="42"/>
      <c r="Y148" s="42"/>
      <c r="Z148" s="42"/>
      <c r="AA148" s="42"/>
      <c r="AB148" s="42"/>
      <c r="AC148" s="42"/>
      <c r="AD148" s="39"/>
      <c r="AE148" s="39"/>
      <c r="AF148" s="77">
        <f t="shared" si="9"/>
        <v>22000</v>
      </c>
      <c r="AG148" s="76"/>
      <c r="AH148" s="76"/>
      <c r="AI148" s="58">
        <f t="shared" si="10"/>
        <v>8000</v>
      </c>
      <c r="AJ148" s="145">
        <f t="shared" si="11"/>
        <v>22000</v>
      </c>
      <c r="AK148" s="179">
        <v>10000</v>
      </c>
      <c r="AL148" s="115"/>
      <c r="AM148" s="115"/>
      <c r="AN148" s="115"/>
      <c r="AO148" s="115"/>
      <c r="AP148" s="115"/>
      <c r="AQ148" s="115"/>
      <c r="AR148" s="12"/>
      <c r="AS148" s="12"/>
      <c r="AT148" s="12"/>
      <c r="AU148" s="12"/>
      <c r="AV148" s="12"/>
      <c r="AW148" s="12"/>
    </row>
    <row r="149" spans="1:49" ht="24.75" customHeight="1" x14ac:dyDescent="0.25">
      <c r="A149" s="27">
        <v>153</v>
      </c>
      <c r="B149" s="44">
        <v>150</v>
      </c>
      <c r="C149" s="56" t="s">
        <v>1061</v>
      </c>
      <c r="D149" s="56" t="s">
        <v>1062</v>
      </c>
      <c r="E149" s="56"/>
      <c r="F149" s="56" t="s">
        <v>589</v>
      </c>
      <c r="G149" s="57" t="s">
        <v>1104</v>
      </c>
      <c r="H149" s="56"/>
      <c r="I149" s="56"/>
      <c r="J149" s="58"/>
      <c r="K149" s="39"/>
      <c r="L149" s="39"/>
      <c r="M149" s="39"/>
      <c r="N149" s="41"/>
      <c r="O149" s="39">
        <v>4200</v>
      </c>
      <c r="P149" s="39">
        <v>4200</v>
      </c>
      <c r="Q149" s="39" t="s">
        <v>1617</v>
      </c>
      <c r="R149" s="41"/>
      <c r="S149" s="56">
        <v>30000</v>
      </c>
      <c r="T149" s="56">
        <v>8000</v>
      </c>
      <c r="U149" s="78" t="s">
        <v>1067</v>
      </c>
      <c r="V149" s="42"/>
      <c r="W149" s="42"/>
      <c r="X149" s="42"/>
      <c r="Y149" s="42"/>
      <c r="Z149" s="42"/>
      <c r="AA149" s="42"/>
      <c r="AB149" s="42"/>
      <c r="AC149" s="42"/>
      <c r="AD149" s="39"/>
      <c r="AE149" s="39"/>
      <c r="AF149" s="77">
        <f t="shared" si="9"/>
        <v>22000</v>
      </c>
      <c r="AG149" s="76"/>
      <c r="AH149" s="76"/>
      <c r="AI149" s="149">
        <f t="shared" si="10"/>
        <v>8000</v>
      </c>
      <c r="AJ149" s="145">
        <f t="shared" si="11"/>
        <v>22000</v>
      </c>
      <c r="AK149" s="115"/>
    </row>
    <row r="150" spans="1:49" ht="29.25" customHeight="1" x14ac:dyDescent="0.25">
      <c r="A150" s="27"/>
      <c r="B150" s="44">
        <v>151</v>
      </c>
      <c r="C150" s="56" t="s">
        <v>1065</v>
      </c>
      <c r="D150" s="56" t="s">
        <v>763</v>
      </c>
      <c r="E150" s="56"/>
      <c r="F150" s="44" t="s">
        <v>39</v>
      </c>
      <c r="G150" s="57" t="s">
        <v>1066</v>
      </c>
      <c r="H150" s="56" t="s">
        <v>370</v>
      </c>
      <c r="I150" s="56"/>
      <c r="J150" s="58"/>
      <c r="K150" s="39"/>
      <c r="L150" s="39"/>
      <c r="M150" s="39"/>
      <c r="N150" s="41"/>
      <c r="O150" s="39">
        <v>4200</v>
      </c>
      <c r="P150" s="39">
        <v>4200</v>
      </c>
      <c r="Q150" s="39" t="s">
        <v>1618</v>
      </c>
      <c r="R150" s="41"/>
      <c r="S150" s="56">
        <v>28000</v>
      </c>
      <c r="T150" s="56">
        <v>5000</v>
      </c>
      <c r="U150" s="78" t="s">
        <v>1068</v>
      </c>
      <c r="V150" s="79">
        <v>5000</v>
      </c>
      <c r="W150" s="79" t="s">
        <v>1663</v>
      </c>
      <c r="X150" s="39"/>
      <c r="Y150" s="42"/>
      <c r="Z150" s="39"/>
      <c r="AA150" s="42"/>
      <c r="AB150" s="39"/>
      <c r="AC150" s="42"/>
      <c r="AD150" s="39"/>
      <c r="AE150" s="39"/>
      <c r="AF150" s="77">
        <f>S150-T150-V150-X150-Z150-AB150-AD150</f>
        <v>18000</v>
      </c>
      <c r="AG150" s="76"/>
      <c r="AH150" s="76"/>
      <c r="AI150" s="149">
        <f>+T150+V150+X150+Z150+AB150+AD150</f>
        <v>10000</v>
      </c>
      <c r="AJ150" s="145">
        <f t="shared" si="11"/>
        <v>18000</v>
      </c>
      <c r="AK150" s="115">
        <v>5000</v>
      </c>
    </row>
    <row r="151" spans="1:49" ht="37.5" customHeight="1" x14ac:dyDescent="0.25">
      <c r="A151" s="27"/>
      <c r="B151" s="44">
        <v>152</v>
      </c>
      <c r="C151" s="56" t="s">
        <v>1071</v>
      </c>
      <c r="D151" s="56" t="s">
        <v>189</v>
      </c>
      <c r="E151" s="56"/>
      <c r="F151" s="44" t="s">
        <v>589</v>
      </c>
      <c r="G151" s="57" t="s">
        <v>1096</v>
      </c>
      <c r="H151" s="56" t="s">
        <v>1097</v>
      </c>
      <c r="I151" s="56"/>
      <c r="J151" s="58"/>
      <c r="K151" s="39"/>
      <c r="L151" s="39"/>
      <c r="M151" s="39"/>
      <c r="N151" s="41"/>
      <c r="O151" s="39">
        <v>4200</v>
      </c>
      <c r="P151" s="39">
        <v>4200</v>
      </c>
      <c r="Q151" s="39" t="s">
        <v>1310</v>
      </c>
      <c r="R151" s="41"/>
      <c r="S151" s="56">
        <v>30000</v>
      </c>
      <c r="T151" s="56">
        <v>10000</v>
      </c>
      <c r="U151" s="78" t="s">
        <v>1075</v>
      </c>
      <c r="V151" s="58"/>
      <c r="W151" s="79"/>
      <c r="X151" s="42"/>
      <c r="Y151" s="42"/>
      <c r="Z151" s="42"/>
      <c r="AA151" s="42"/>
      <c r="AB151" s="42"/>
      <c r="AC151" s="42"/>
      <c r="AD151" s="39"/>
      <c r="AE151" s="39"/>
      <c r="AF151" s="77">
        <f t="shared" si="9"/>
        <v>20000</v>
      </c>
      <c r="AG151" s="76"/>
      <c r="AH151" s="76"/>
      <c r="AI151" s="58">
        <f t="shared" si="10"/>
        <v>10000</v>
      </c>
      <c r="AJ151" s="145">
        <f t="shared" si="11"/>
        <v>20000</v>
      </c>
      <c r="AK151" s="115">
        <v>5000</v>
      </c>
    </row>
    <row r="152" spans="1:49" ht="37.5" customHeight="1" x14ac:dyDescent="0.25">
      <c r="A152" s="27"/>
      <c r="B152" s="44">
        <v>153</v>
      </c>
      <c r="C152" s="90" t="s">
        <v>1072</v>
      </c>
      <c r="D152" s="90" t="s">
        <v>1073</v>
      </c>
      <c r="E152" s="90"/>
      <c r="F152" s="44" t="s">
        <v>40</v>
      </c>
      <c r="G152" s="57" t="s">
        <v>1095</v>
      </c>
      <c r="H152" s="56" t="s">
        <v>268</v>
      </c>
      <c r="I152" s="56"/>
      <c r="J152" s="58"/>
      <c r="K152" s="39"/>
      <c r="L152" s="155"/>
      <c r="M152" s="155"/>
      <c r="N152" s="189"/>
      <c r="O152" s="155"/>
      <c r="P152" s="155"/>
      <c r="Q152" s="155"/>
      <c r="R152" s="189"/>
      <c r="S152" s="90">
        <v>30000</v>
      </c>
      <c r="T152" s="90">
        <v>5000</v>
      </c>
      <c r="U152" s="96" t="s">
        <v>1074</v>
      </c>
      <c r="V152" s="56">
        <v>5000</v>
      </c>
      <c r="W152" s="78" t="s">
        <v>1782</v>
      </c>
      <c r="X152" s="78"/>
      <c r="Y152" s="70"/>
      <c r="Z152" s="70"/>
      <c r="AA152" s="70"/>
      <c r="AB152" s="70"/>
      <c r="AC152" s="70"/>
      <c r="AD152" s="155"/>
      <c r="AE152" s="155"/>
      <c r="AF152" s="99">
        <f t="shared" si="9"/>
        <v>20000</v>
      </c>
      <c r="AG152" s="100"/>
      <c r="AH152" s="100"/>
      <c r="AI152" s="58">
        <f t="shared" si="10"/>
        <v>10000</v>
      </c>
      <c r="AJ152" s="145">
        <f t="shared" si="11"/>
        <v>20000</v>
      </c>
      <c r="AK152" s="115">
        <v>5000</v>
      </c>
    </row>
    <row r="153" spans="1:49" s="1" customFormat="1" ht="34.5" customHeight="1" x14ac:dyDescent="0.25">
      <c r="A153" s="27"/>
      <c r="B153" s="44">
        <v>154</v>
      </c>
      <c r="C153" s="56" t="s">
        <v>1079</v>
      </c>
      <c r="D153" s="56" t="s">
        <v>1080</v>
      </c>
      <c r="E153" s="56"/>
      <c r="F153" s="92" t="s">
        <v>215</v>
      </c>
      <c r="G153" s="93" t="s">
        <v>1094</v>
      </c>
      <c r="H153" s="92" t="s">
        <v>278</v>
      </c>
      <c r="I153" s="44" t="s">
        <v>49</v>
      </c>
      <c r="J153" s="106"/>
      <c r="K153" s="39"/>
      <c r="L153" s="39"/>
      <c r="M153" s="39"/>
      <c r="N153" s="41"/>
      <c r="O153" s="39">
        <v>4200</v>
      </c>
      <c r="P153" s="39">
        <v>4200</v>
      </c>
      <c r="Q153" s="39" t="s">
        <v>1735</v>
      </c>
      <c r="R153" s="41"/>
      <c r="S153" s="56">
        <v>50000</v>
      </c>
      <c r="T153" s="56">
        <v>5000</v>
      </c>
      <c r="U153" s="78" t="s">
        <v>1081</v>
      </c>
      <c r="V153" s="58"/>
      <c r="W153" s="79"/>
      <c r="X153" s="42"/>
      <c r="Y153" s="42"/>
      <c r="Z153" s="42"/>
      <c r="AA153" s="42"/>
      <c r="AB153" s="42"/>
      <c r="AC153" s="42"/>
      <c r="AD153" s="39"/>
      <c r="AE153" s="39"/>
      <c r="AF153" s="77">
        <f>S153-T153-V153-X153-Z153-AB153-AD153</f>
        <v>45000</v>
      </c>
      <c r="AG153" s="76"/>
      <c r="AH153" s="76"/>
      <c r="AI153" s="149">
        <f>+T153+V153+X153+Z153+AB153+AD153</f>
        <v>5000</v>
      </c>
      <c r="AJ153" s="145">
        <f t="shared" si="11"/>
        <v>45000</v>
      </c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</row>
    <row r="154" spans="1:49" ht="41.25" customHeight="1" x14ac:dyDescent="0.25">
      <c r="A154" s="27"/>
      <c r="B154" s="44">
        <v>155</v>
      </c>
      <c r="C154" s="92" t="s">
        <v>272</v>
      </c>
      <c r="D154" s="92" t="s">
        <v>1082</v>
      </c>
      <c r="E154" s="92"/>
      <c r="F154" s="92" t="s">
        <v>215</v>
      </c>
      <c r="G154" s="93" t="s">
        <v>1099</v>
      </c>
      <c r="H154" s="92"/>
      <c r="I154" s="92"/>
      <c r="J154" s="106"/>
      <c r="K154" s="39"/>
      <c r="L154" s="156"/>
      <c r="M154" s="156"/>
      <c r="N154" s="190"/>
      <c r="O154" s="156">
        <v>4200</v>
      </c>
      <c r="P154" s="156">
        <v>4200</v>
      </c>
      <c r="Q154" s="156" t="s">
        <v>1327</v>
      </c>
      <c r="R154" s="190"/>
      <c r="S154" s="92">
        <v>30000</v>
      </c>
      <c r="T154" s="92">
        <v>5000</v>
      </c>
      <c r="U154" s="97" t="s">
        <v>1083</v>
      </c>
      <c r="V154" s="39">
        <v>5000</v>
      </c>
      <c r="W154" s="42" t="s">
        <v>1725</v>
      </c>
      <c r="X154" s="71">
        <v>25000</v>
      </c>
      <c r="Y154" s="71" t="s">
        <v>1816</v>
      </c>
      <c r="Z154" s="71"/>
      <c r="AA154" s="71"/>
      <c r="AB154" s="71"/>
      <c r="AC154" s="71"/>
      <c r="AD154" s="156"/>
      <c r="AE154" s="156"/>
      <c r="AF154" s="101">
        <f>S154-T154-V154-X154-Z154-AB154-AD154</f>
        <v>-5000</v>
      </c>
      <c r="AG154" s="102"/>
      <c r="AH154" s="102"/>
      <c r="AI154" s="149">
        <f>+T154+V154+X154+Z154+AB154+AD154</f>
        <v>35000</v>
      </c>
      <c r="AJ154" s="145">
        <f t="shared" si="11"/>
        <v>-5000</v>
      </c>
      <c r="AK154" s="115">
        <v>5000</v>
      </c>
    </row>
    <row r="155" spans="1:49" ht="37.5" customHeight="1" x14ac:dyDescent="0.25">
      <c r="A155" s="27"/>
      <c r="B155" s="44">
        <v>156</v>
      </c>
      <c r="C155" s="56" t="s">
        <v>1086</v>
      </c>
      <c r="D155" s="56" t="s">
        <v>1087</v>
      </c>
      <c r="E155" s="56"/>
      <c r="F155" s="92" t="s">
        <v>589</v>
      </c>
      <c r="G155" s="57" t="s">
        <v>1101</v>
      </c>
      <c r="H155" s="56" t="s">
        <v>574</v>
      </c>
      <c r="I155" s="56"/>
      <c r="J155" s="58"/>
      <c r="K155" s="39"/>
      <c r="L155" s="39"/>
      <c r="M155" s="39"/>
      <c r="N155" s="41"/>
      <c r="O155" s="39">
        <v>4200</v>
      </c>
      <c r="P155" s="39">
        <v>4200</v>
      </c>
      <c r="Q155" s="39" t="s">
        <v>1321</v>
      </c>
      <c r="R155" s="41"/>
      <c r="S155" s="56">
        <v>28000</v>
      </c>
      <c r="T155" s="56">
        <v>5000</v>
      </c>
      <c r="U155" s="78" t="s">
        <v>1088</v>
      </c>
      <c r="V155" s="58">
        <v>10000</v>
      </c>
      <c r="W155" s="79" t="s">
        <v>1698</v>
      </c>
      <c r="X155" s="39"/>
      <c r="Y155" s="42"/>
      <c r="Z155" s="39"/>
      <c r="AA155" s="42"/>
      <c r="AB155" s="39"/>
      <c r="AC155" s="42"/>
      <c r="AD155" s="39"/>
      <c r="AE155" s="39"/>
      <c r="AF155" s="77">
        <f>S155-T155-V155-X155-Z155-AB155-AD155</f>
        <v>13000</v>
      </c>
      <c r="AG155" s="76"/>
      <c r="AH155" s="76"/>
      <c r="AI155" s="149">
        <f>+T155+V155+X155+Z155+AB155+AD155</f>
        <v>15000</v>
      </c>
      <c r="AJ155" s="145">
        <f t="shared" si="11"/>
        <v>13000</v>
      </c>
      <c r="AK155" s="115">
        <v>5000</v>
      </c>
    </row>
    <row r="156" spans="1:49" ht="31.5" customHeight="1" x14ac:dyDescent="0.25">
      <c r="A156" s="27"/>
      <c r="B156" s="44">
        <v>157</v>
      </c>
      <c r="C156" s="56" t="s">
        <v>272</v>
      </c>
      <c r="D156" s="56" t="s">
        <v>1508</v>
      </c>
      <c r="E156" s="56"/>
      <c r="F156" s="56" t="s">
        <v>40</v>
      </c>
      <c r="G156" s="57" t="s">
        <v>1102</v>
      </c>
      <c r="H156" s="56" t="s">
        <v>1103</v>
      </c>
      <c r="I156" s="56"/>
      <c r="J156" s="58"/>
      <c r="K156" s="39"/>
      <c r="L156" s="39"/>
      <c r="M156" s="39"/>
      <c r="N156" s="41"/>
      <c r="O156" s="39">
        <v>4200</v>
      </c>
      <c r="P156" s="39">
        <v>4200</v>
      </c>
      <c r="Q156" s="39" t="s">
        <v>1520</v>
      </c>
      <c r="R156" s="41"/>
      <c r="S156" s="56">
        <v>25000</v>
      </c>
      <c r="T156" s="56">
        <v>10000</v>
      </c>
      <c r="U156" s="78" t="s">
        <v>1090</v>
      </c>
      <c r="V156" s="58">
        <v>5000</v>
      </c>
      <c r="W156" s="79" t="s">
        <v>1753</v>
      </c>
      <c r="X156" s="42"/>
      <c r="Y156" s="42"/>
      <c r="Z156" s="42"/>
      <c r="AA156" s="42"/>
      <c r="AB156" s="42"/>
      <c r="AC156" s="42"/>
      <c r="AD156" s="39"/>
      <c r="AE156" s="39"/>
      <c r="AF156" s="77">
        <f t="shared" ref="AF156:AF171" si="12">S156-T156-V156-X156-Z156-AB156</f>
        <v>10000</v>
      </c>
      <c r="AG156" s="76"/>
      <c r="AH156" s="76"/>
      <c r="AI156" s="149">
        <f t="shared" ref="AI156:AI216" si="13">+T156+V156+X156+Z156+AB156</f>
        <v>15000</v>
      </c>
      <c r="AJ156" s="145">
        <f t="shared" si="11"/>
        <v>10000</v>
      </c>
      <c r="AK156" s="115" t="s">
        <v>57</v>
      </c>
    </row>
    <row r="157" spans="1:49" ht="37.5" customHeight="1" x14ac:dyDescent="0.25">
      <c r="A157" s="27"/>
      <c r="B157" s="44">
        <v>158</v>
      </c>
      <c r="C157" s="56" t="s">
        <v>1091</v>
      </c>
      <c r="D157" s="56" t="s">
        <v>1092</v>
      </c>
      <c r="E157" s="56"/>
      <c r="F157" s="56"/>
      <c r="G157" s="57"/>
      <c r="H157" s="56"/>
      <c r="I157" s="56"/>
      <c r="J157" s="58"/>
      <c r="K157" s="39"/>
      <c r="L157" s="39"/>
      <c r="M157" s="39"/>
      <c r="N157" s="41"/>
      <c r="O157" s="39"/>
      <c r="P157" s="39"/>
      <c r="Q157" s="39"/>
      <c r="R157" s="41"/>
      <c r="S157" s="56"/>
      <c r="T157" s="56">
        <v>5000</v>
      </c>
      <c r="U157" s="78" t="s">
        <v>1093</v>
      </c>
      <c r="V157" s="58"/>
      <c r="W157" s="79"/>
      <c r="X157" s="42"/>
      <c r="Y157" s="42"/>
      <c r="Z157" s="42"/>
      <c r="AA157" s="42"/>
      <c r="AB157" s="42"/>
      <c r="AC157" s="42"/>
      <c r="AD157" s="39"/>
      <c r="AE157" s="39"/>
      <c r="AF157" s="77">
        <f>S157-T157-V157-X157-Z157-AB157-AD157</f>
        <v>-5000</v>
      </c>
      <c r="AG157" s="76"/>
      <c r="AH157" s="76"/>
      <c r="AI157" s="149">
        <f>+T157+V157+X157+Z157+AB157+AD157</f>
        <v>5000</v>
      </c>
      <c r="AJ157" s="145">
        <f t="shared" si="11"/>
        <v>-5000</v>
      </c>
      <c r="AK157" s="179">
        <v>5000</v>
      </c>
    </row>
    <row r="158" spans="1:49" ht="37.5" customHeight="1" x14ac:dyDescent="0.25">
      <c r="A158" s="27">
        <v>0</v>
      </c>
      <c r="B158" s="44">
        <v>159</v>
      </c>
      <c r="C158" s="56" t="s">
        <v>1111</v>
      </c>
      <c r="D158" s="56" t="s">
        <v>1112</v>
      </c>
      <c r="E158" s="56"/>
      <c r="F158" s="56" t="s">
        <v>40</v>
      </c>
      <c r="G158" s="57" t="s">
        <v>1114</v>
      </c>
      <c r="H158" s="56" t="s">
        <v>1115</v>
      </c>
      <c r="I158" s="92"/>
      <c r="J158" s="58"/>
      <c r="K158" s="39"/>
      <c r="L158" s="39"/>
      <c r="M158" s="39"/>
      <c r="N158" s="41"/>
      <c r="O158" s="39">
        <v>4200</v>
      </c>
      <c r="P158" s="39">
        <v>4200</v>
      </c>
      <c r="Q158" s="39" t="s">
        <v>1478</v>
      </c>
      <c r="R158" s="41"/>
      <c r="S158" s="56">
        <v>30000</v>
      </c>
      <c r="T158" s="56">
        <v>2000</v>
      </c>
      <c r="U158" s="78" t="s">
        <v>1113</v>
      </c>
      <c r="V158" s="58"/>
      <c r="W158" s="79"/>
      <c r="X158" s="42"/>
      <c r="Y158" s="42"/>
      <c r="Z158" s="42"/>
      <c r="AA158" s="42"/>
      <c r="AB158" s="42"/>
      <c r="AC158" s="42"/>
      <c r="AD158" s="39"/>
      <c r="AE158" s="39"/>
      <c r="AF158" s="77">
        <f t="shared" si="12"/>
        <v>28000</v>
      </c>
      <c r="AG158" s="76"/>
      <c r="AH158" s="76"/>
      <c r="AI158" s="149">
        <f t="shared" si="13"/>
        <v>2000</v>
      </c>
      <c r="AJ158" s="145">
        <f t="shared" si="11"/>
        <v>28000</v>
      </c>
      <c r="AK158" s="115">
        <v>5000</v>
      </c>
    </row>
    <row r="159" spans="1:49" ht="37.5" customHeight="1" x14ac:dyDescent="0.25">
      <c r="A159" s="27"/>
      <c r="B159" s="44">
        <v>160</v>
      </c>
      <c r="C159" s="56" t="s">
        <v>1116</v>
      </c>
      <c r="D159" s="56" t="s">
        <v>1117</v>
      </c>
      <c r="E159" s="56"/>
      <c r="F159" s="56" t="s">
        <v>40</v>
      </c>
      <c r="G159" s="57" t="s">
        <v>1118</v>
      </c>
      <c r="H159" s="56" t="s">
        <v>1007</v>
      </c>
      <c r="I159" s="56"/>
      <c r="J159" s="58"/>
      <c r="K159" s="39"/>
      <c r="L159" s="39"/>
      <c r="M159" s="39"/>
      <c r="N159" s="41"/>
      <c r="O159" s="39"/>
      <c r="P159" s="39"/>
      <c r="Q159" s="39"/>
      <c r="R159" s="41"/>
      <c r="S159" s="56">
        <v>30000</v>
      </c>
      <c r="T159" s="56">
        <v>2500</v>
      </c>
      <c r="U159" s="78" t="s">
        <v>1119</v>
      </c>
      <c r="V159" s="58">
        <v>12000</v>
      </c>
      <c r="W159" s="79" t="s">
        <v>1788</v>
      </c>
      <c r="X159" s="58">
        <v>500</v>
      </c>
      <c r="Y159" s="79" t="s">
        <v>1787</v>
      </c>
      <c r="Z159" s="42"/>
      <c r="AA159" s="42"/>
      <c r="AB159" s="42"/>
      <c r="AC159" s="42"/>
      <c r="AD159" s="39"/>
      <c r="AE159" s="39"/>
      <c r="AF159" s="77">
        <f t="shared" si="12"/>
        <v>15000</v>
      </c>
      <c r="AG159" s="76"/>
      <c r="AH159" s="76"/>
      <c r="AI159" s="149">
        <f t="shared" si="13"/>
        <v>15000</v>
      </c>
      <c r="AJ159" s="145">
        <f t="shared" si="11"/>
        <v>15000</v>
      </c>
      <c r="AK159" s="179">
        <v>10000</v>
      </c>
    </row>
    <row r="160" spans="1:49" ht="39" customHeight="1" x14ac:dyDescent="0.25">
      <c r="A160" s="27"/>
      <c r="B160" s="44">
        <v>161</v>
      </c>
      <c r="C160" s="56" t="s">
        <v>1128</v>
      </c>
      <c r="D160" s="56" t="s">
        <v>1129</v>
      </c>
      <c r="E160" s="56"/>
      <c r="F160" s="56" t="s">
        <v>589</v>
      </c>
      <c r="G160" s="57" t="s">
        <v>1143</v>
      </c>
      <c r="H160" s="56" t="s">
        <v>196</v>
      </c>
      <c r="I160" s="56"/>
      <c r="J160" s="58"/>
      <c r="K160" s="143"/>
      <c r="L160" s="58"/>
      <c r="M160" s="58"/>
      <c r="N160" s="58"/>
      <c r="O160" s="61">
        <v>4200</v>
      </c>
      <c r="P160" s="61">
        <v>4200</v>
      </c>
      <c r="Q160" s="61" t="s">
        <v>1484</v>
      </c>
      <c r="R160" s="56"/>
      <c r="S160" s="56">
        <v>20000</v>
      </c>
      <c r="T160" s="56">
        <v>5000</v>
      </c>
      <c r="U160" s="78" t="s">
        <v>1130</v>
      </c>
      <c r="V160" s="58"/>
      <c r="W160" s="79"/>
      <c r="X160" s="79"/>
      <c r="Y160" s="68"/>
      <c r="Z160" s="42"/>
      <c r="AA160" s="42"/>
      <c r="AB160" s="42"/>
      <c r="AC160" s="42"/>
      <c r="AD160" s="39"/>
      <c r="AE160" s="39"/>
      <c r="AF160" s="77">
        <f t="shared" si="12"/>
        <v>15000</v>
      </c>
      <c r="AG160" s="76"/>
      <c r="AH160" s="76"/>
      <c r="AI160" s="149">
        <f t="shared" si="13"/>
        <v>5000</v>
      </c>
      <c r="AJ160" s="145">
        <f t="shared" si="11"/>
        <v>15000</v>
      </c>
      <c r="AK160" s="115"/>
    </row>
    <row r="161" spans="1:49" ht="37.5" customHeight="1" x14ac:dyDescent="0.25">
      <c r="A161" s="27"/>
      <c r="B161" s="44">
        <v>162</v>
      </c>
      <c r="C161" s="56" t="s">
        <v>311</v>
      </c>
      <c r="D161" s="56" t="s">
        <v>615</v>
      </c>
      <c r="E161" s="56"/>
      <c r="F161" s="44" t="s">
        <v>39</v>
      </c>
      <c r="G161" s="57" t="s">
        <v>1144</v>
      </c>
      <c r="H161" s="56" t="s">
        <v>1145</v>
      </c>
      <c r="I161" s="56"/>
      <c r="J161" s="58"/>
      <c r="K161" s="39"/>
      <c r="L161" s="39"/>
      <c r="M161" s="39"/>
      <c r="N161" s="41"/>
      <c r="O161" s="39">
        <v>4200</v>
      </c>
      <c r="P161" s="39">
        <v>4200</v>
      </c>
      <c r="Q161" s="39" t="s">
        <v>1546</v>
      </c>
      <c r="R161" s="41"/>
      <c r="S161" s="56">
        <v>25000</v>
      </c>
      <c r="T161" s="56">
        <v>5000</v>
      </c>
      <c r="U161" s="78" t="s">
        <v>1134</v>
      </c>
      <c r="V161" s="58">
        <v>5000</v>
      </c>
      <c r="W161" s="79" t="s">
        <v>1691</v>
      </c>
      <c r="X161" s="42"/>
      <c r="Y161" s="42"/>
      <c r="Z161" s="42"/>
      <c r="AA161" s="42"/>
      <c r="AB161" s="42"/>
      <c r="AC161" s="42"/>
      <c r="AD161" s="39"/>
      <c r="AE161" s="39"/>
      <c r="AF161" s="77">
        <f t="shared" si="12"/>
        <v>15000</v>
      </c>
      <c r="AG161" s="76"/>
      <c r="AH161" s="76"/>
      <c r="AI161" s="58">
        <f t="shared" si="13"/>
        <v>10000</v>
      </c>
      <c r="AJ161" s="145">
        <f t="shared" si="11"/>
        <v>15000</v>
      </c>
      <c r="AK161" s="115" t="s">
        <v>72</v>
      </c>
    </row>
    <row r="162" spans="1:49" ht="45" customHeight="1" x14ac:dyDescent="0.25">
      <c r="A162" s="27"/>
      <c r="B162" s="44">
        <v>163</v>
      </c>
      <c r="C162" s="56" t="s">
        <v>1146</v>
      </c>
      <c r="D162" s="56" t="s">
        <v>559</v>
      </c>
      <c r="E162" s="56"/>
      <c r="F162" s="56" t="s">
        <v>40</v>
      </c>
      <c r="G162" s="57" t="s">
        <v>1147</v>
      </c>
      <c r="H162" s="56" t="s">
        <v>1148</v>
      </c>
      <c r="I162" s="56"/>
      <c r="J162" s="58"/>
      <c r="K162" s="39"/>
      <c r="L162" s="39"/>
      <c r="M162" s="39"/>
      <c r="N162" s="41"/>
      <c r="O162" s="39"/>
      <c r="P162" s="39"/>
      <c r="Q162" s="39"/>
      <c r="R162" s="41"/>
      <c r="S162" s="56">
        <v>30000</v>
      </c>
      <c r="T162" s="56">
        <v>5000</v>
      </c>
      <c r="U162" s="78" t="s">
        <v>1137</v>
      </c>
      <c r="V162" s="58"/>
      <c r="W162" s="79"/>
      <c r="X162" s="42"/>
      <c r="Y162" s="42"/>
      <c r="Z162" s="42"/>
      <c r="AA162" s="42"/>
      <c r="AB162" s="42"/>
      <c r="AC162" s="42"/>
      <c r="AD162" s="39"/>
      <c r="AE162" s="39"/>
      <c r="AF162" s="77">
        <f>S162-T162-V162-X162-Z162-AB162-AD162</f>
        <v>25000</v>
      </c>
      <c r="AG162" s="76"/>
      <c r="AH162" s="76"/>
      <c r="AI162" s="149">
        <f>+T162+V162+X162+Z162+AB162+AD162</f>
        <v>5000</v>
      </c>
      <c r="AJ162" s="145">
        <f t="shared" si="11"/>
        <v>25000</v>
      </c>
      <c r="AK162" s="115">
        <v>10000</v>
      </c>
    </row>
    <row r="163" spans="1:49" ht="37.5" customHeight="1" x14ac:dyDescent="0.25">
      <c r="A163" s="27"/>
      <c r="B163" s="44">
        <v>164</v>
      </c>
      <c r="C163" s="56" t="s">
        <v>1153</v>
      </c>
      <c r="D163" s="56" t="s">
        <v>1154</v>
      </c>
      <c r="E163" s="56"/>
      <c r="F163" s="44" t="s">
        <v>40</v>
      </c>
      <c r="G163" s="57" t="s">
        <v>1155</v>
      </c>
      <c r="H163" s="56" t="s">
        <v>196</v>
      </c>
      <c r="I163" s="56"/>
      <c r="J163" s="58"/>
      <c r="K163" s="39"/>
      <c r="L163" s="39"/>
      <c r="M163" s="39"/>
      <c r="N163" s="41"/>
      <c r="O163" s="39">
        <v>4200</v>
      </c>
      <c r="P163" s="39">
        <v>4200</v>
      </c>
      <c r="Q163" s="39" t="s">
        <v>1485</v>
      </c>
      <c r="R163" s="41"/>
      <c r="S163" s="56">
        <v>30000</v>
      </c>
      <c r="T163" s="56">
        <v>5000</v>
      </c>
      <c r="U163" s="7" t="s">
        <v>1156</v>
      </c>
      <c r="V163" s="9"/>
      <c r="W163" s="79"/>
      <c r="X163" s="39"/>
      <c r="Y163" s="42"/>
      <c r="Z163" s="39"/>
      <c r="AA163" s="42"/>
      <c r="AB163" s="39"/>
      <c r="AC163" s="42"/>
      <c r="AD163" s="39"/>
      <c r="AE163" s="39"/>
      <c r="AF163" s="77">
        <f t="shared" si="12"/>
        <v>25000</v>
      </c>
      <c r="AG163" s="76"/>
      <c r="AH163" s="76"/>
      <c r="AI163" s="149">
        <f t="shared" si="13"/>
        <v>5000</v>
      </c>
      <c r="AJ163" s="145">
        <f t="shared" si="11"/>
        <v>25000</v>
      </c>
      <c r="AK163" s="115"/>
    </row>
    <row r="164" spans="1:49" ht="37.5" customHeight="1" x14ac:dyDescent="0.25">
      <c r="A164" s="27"/>
      <c r="B164" s="44">
        <v>165</v>
      </c>
      <c r="C164" s="56" t="s">
        <v>1157</v>
      </c>
      <c r="D164" s="56" t="s">
        <v>1158</v>
      </c>
      <c r="E164" s="56"/>
      <c r="F164" s="56"/>
      <c r="G164" s="57" t="s">
        <v>1159</v>
      </c>
      <c r="H164" s="56" t="s">
        <v>863</v>
      </c>
      <c r="I164" s="56"/>
      <c r="J164" s="58"/>
      <c r="K164" s="39"/>
      <c r="L164" s="39"/>
      <c r="M164" s="39"/>
      <c r="N164" s="41"/>
      <c r="O164" s="39">
        <v>4200</v>
      </c>
      <c r="P164" s="39">
        <v>4200</v>
      </c>
      <c r="Q164" s="39" t="s">
        <v>1594</v>
      </c>
      <c r="R164" s="41"/>
      <c r="S164" s="56">
        <v>20000</v>
      </c>
      <c r="T164" s="56">
        <v>5000</v>
      </c>
      <c r="U164" s="78" t="s">
        <v>1209</v>
      </c>
      <c r="V164" s="58"/>
      <c r="W164" s="79"/>
      <c r="X164" s="42"/>
      <c r="Y164" s="42"/>
      <c r="Z164" s="42"/>
      <c r="AA164" s="42"/>
      <c r="AB164" s="42"/>
      <c r="AC164" s="42"/>
      <c r="AD164" s="39"/>
      <c r="AE164" s="39"/>
      <c r="AF164" s="77">
        <f t="shared" si="12"/>
        <v>15000</v>
      </c>
      <c r="AG164" s="76"/>
      <c r="AH164" s="76"/>
      <c r="AI164" s="58">
        <f t="shared" si="13"/>
        <v>5000</v>
      </c>
      <c r="AJ164" s="145">
        <f t="shared" si="11"/>
        <v>15000</v>
      </c>
      <c r="AK164" s="180">
        <v>5000</v>
      </c>
    </row>
    <row r="165" spans="1:49" ht="37.5" customHeight="1" x14ac:dyDescent="0.25">
      <c r="A165" s="27"/>
      <c r="B165" s="44">
        <v>166</v>
      </c>
      <c r="C165" s="56" t="s">
        <v>1160</v>
      </c>
      <c r="D165" s="56" t="s">
        <v>1161</v>
      </c>
      <c r="E165" s="56"/>
      <c r="F165" s="56" t="s">
        <v>589</v>
      </c>
      <c r="G165" s="57" t="s">
        <v>1162</v>
      </c>
      <c r="H165" s="56" t="s">
        <v>1163</v>
      </c>
      <c r="I165" s="92"/>
      <c r="J165" s="58"/>
      <c r="K165" s="39"/>
      <c r="L165" s="39"/>
      <c r="M165" s="39"/>
      <c r="N165" s="41"/>
      <c r="O165" s="39"/>
      <c r="P165" s="39"/>
      <c r="Q165" s="39"/>
      <c r="R165" s="41"/>
      <c r="S165" s="56">
        <v>30000</v>
      </c>
      <c r="T165" s="56">
        <v>10000</v>
      </c>
      <c r="U165" s="78" t="s">
        <v>1164</v>
      </c>
      <c r="V165" s="58"/>
      <c r="W165" s="79"/>
      <c r="X165" s="42"/>
      <c r="Y165" s="42"/>
      <c r="Z165" s="42"/>
      <c r="AA165" s="42"/>
      <c r="AB165" s="42"/>
      <c r="AC165" s="42"/>
      <c r="AD165" s="39"/>
      <c r="AE165" s="39"/>
      <c r="AF165" s="77">
        <f t="shared" si="12"/>
        <v>20000</v>
      </c>
      <c r="AG165" s="76"/>
      <c r="AH165" s="76"/>
      <c r="AI165" s="149">
        <f t="shared" si="13"/>
        <v>10000</v>
      </c>
      <c r="AJ165" s="145">
        <f t="shared" si="11"/>
        <v>20000</v>
      </c>
      <c r="AK165" s="115">
        <v>1000</v>
      </c>
    </row>
    <row r="166" spans="1:49" ht="37.5" customHeight="1" x14ac:dyDescent="0.25">
      <c r="A166" s="27"/>
      <c r="B166" s="44">
        <v>167</v>
      </c>
      <c r="C166" s="56" t="s">
        <v>1165</v>
      </c>
      <c r="D166" s="56" t="s">
        <v>632</v>
      </c>
      <c r="E166" s="56"/>
      <c r="F166" s="56" t="s">
        <v>39</v>
      </c>
      <c r="G166" s="57" t="s">
        <v>1166</v>
      </c>
      <c r="H166" s="56" t="s">
        <v>1145</v>
      </c>
      <c r="I166" s="56"/>
      <c r="J166" s="58"/>
      <c r="K166" s="39"/>
      <c r="L166" s="39"/>
      <c r="M166" s="39"/>
      <c r="N166" s="41"/>
      <c r="O166" s="39">
        <v>4200</v>
      </c>
      <c r="P166" s="39">
        <v>4200</v>
      </c>
      <c r="Q166" s="39" t="s">
        <v>1301</v>
      </c>
      <c r="R166" s="41"/>
      <c r="S166" s="56">
        <v>30000</v>
      </c>
      <c r="T166" s="56">
        <v>5000</v>
      </c>
      <c r="U166" s="78" t="s">
        <v>1167</v>
      </c>
      <c r="V166" s="58">
        <v>10000</v>
      </c>
      <c r="W166" s="79" t="s">
        <v>1766</v>
      </c>
      <c r="X166" s="53"/>
      <c r="Y166" s="53"/>
      <c r="Z166" s="42"/>
      <c r="AA166" s="42"/>
      <c r="AB166" s="42"/>
      <c r="AC166" s="42"/>
      <c r="AD166" s="39"/>
      <c r="AE166" s="39"/>
      <c r="AF166" s="77">
        <f>S166-T166-V166-X166-Z166-AB166-AD166</f>
        <v>15000</v>
      </c>
      <c r="AG166" s="76"/>
      <c r="AH166" s="76"/>
      <c r="AI166" s="149">
        <f>+T166+V166+X166+Z166+AB166+AD166</f>
        <v>15000</v>
      </c>
      <c r="AJ166" s="145">
        <f t="shared" si="11"/>
        <v>15000</v>
      </c>
      <c r="AK166" s="115"/>
    </row>
    <row r="167" spans="1:49" s="8" customFormat="1" ht="46.5" customHeight="1" x14ac:dyDescent="0.25">
      <c r="A167" s="27"/>
      <c r="B167" s="44">
        <v>168</v>
      </c>
      <c r="C167" s="56" t="s">
        <v>1168</v>
      </c>
      <c r="D167" s="56" t="s">
        <v>1031</v>
      </c>
      <c r="E167" s="56"/>
      <c r="F167" s="56" t="s">
        <v>40</v>
      </c>
      <c r="G167" s="57" t="s">
        <v>1169</v>
      </c>
      <c r="H167" s="56" t="s">
        <v>196</v>
      </c>
      <c r="I167" s="92"/>
      <c r="J167" s="58"/>
      <c r="K167" s="39"/>
      <c r="L167" s="39"/>
      <c r="M167" s="39"/>
      <c r="N167" s="41"/>
      <c r="O167" s="39"/>
      <c r="P167" s="39"/>
      <c r="Q167" s="39"/>
      <c r="R167" s="41"/>
      <c r="S167" s="56">
        <v>30000</v>
      </c>
      <c r="T167" s="56">
        <v>20000</v>
      </c>
      <c r="U167" s="78" t="s">
        <v>1170</v>
      </c>
      <c r="V167" s="58"/>
      <c r="W167" s="79"/>
      <c r="X167" s="42"/>
      <c r="Y167" s="42"/>
      <c r="Z167" s="42"/>
      <c r="AA167" s="42"/>
      <c r="AB167" s="42"/>
      <c r="AC167" s="42"/>
      <c r="AD167" s="39"/>
      <c r="AE167" s="39"/>
      <c r="AF167" s="77">
        <f>S167-T167-V167-X167-Z167-AB167-AD167</f>
        <v>10000</v>
      </c>
      <c r="AG167" s="76"/>
      <c r="AH167" s="76"/>
      <c r="AI167" s="149">
        <f>+T167+V167+X167+Z167+AB167+AD167</f>
        <v>20000</v>
      </c>
      <c r="AJ167" s="145">
        <f t="shared" si="11"/>
        <v>10000</v>
      </c>
      <c r="AK167" s="179">
        <v>5000</v>
      </c>
      <c r="AL167" s="115"/>
      <c r="AM167" s="115"/>
      <c r="AN167" s="115"/>
      <c r="AO167" s="115"/>
      <c r="AP167" s="115"/>
      <c r="AQ167" s="115"/>
      <c r="AR167" s="12"/>
      <c r="AS167" s="12"/>
      <c r="AT167" s="12"/>
      <c r="AU167" s="12"/>
      <c r="AV167" s="12"/>
      <c r="AW167" s="12"/>
    </row>
    <row r="168" spans="1:49" ht="37.5" customHeight="1" x14ac:dyDescent="0.25">
      <c r="A168" s="27"/>
      <c r="B168" s="44">
        <v>169</v>
      </c>
      <c r="C168" s="56" t="s">
        <v>1171</v>
      </c>
      <c r="D168" s="56" t="s">
        <v>175</v>
      </c>
      <c r="E168" s="56"/>
      <c r="F168" s="56" t="s">
        <v>589</v>
      </c>
      <c r="G168" s="57" t="s">
        <v>1172</v>
      </c>
      <c r="H168" s="161" t="s">
        <v>241</v>
      </c>
      <c r="I168" s="56"/>
      <c r="J168" s="58"/>
      <c r="K168" s="39"/>
      <c r="L168" s="39"/>
      <c r="M168" s="39"/>
      <c r="N168" s="41"/>
      <c r="O168" s="39">
        <v>4200</v>
      </c>
      <c r="P168" s="39">
        <v>4200</v>
      </c>
      <c r="Q168" s="39" t="s">
        <v>1465</v>
      </c>
      <c r="R168" s="41"/>
      <c r="S168" s="56">
        <v>25000</v>
      </c>
      <c r="T168" s="56">
        <v>10000</v>
      </c>
      <c r="U168" s="78" t="s">
        <v>1173</v>
      </c>
      <c r="V168" s="58"/>
      <c r="W168" s="84"/>
      <c r="X168" s="42"/>
      <c r="Y168" s="42"/>
      <c r="Z168" s="42"/>
      <c r="AA168" s="42"/>
      <c r="AB168" s="42"/>
      <c r="AC168" s="42"/>
      <c r="AD168" s="39"/>
      <c r="AE168" s="39"/>
      <c r="AF168" s="77">
        <f>S168-T168-V168-X168-Z168-AB168-AD168</f>
        <v>15000</v>
      </c>
      <c r="AG168" s="76"/>
      <c r="AH168" s="76"/>
      <c r="AI168" s="149">
        <f>+T168+V168+X168+Z168+AB168+AD168</f>
        <v>10000</v>
      </c>
      <c r="AJ168" s="145">
        <f t="shared" si="11"/>
        <v>15000</v>
      </c>
      <c r="AK168" s="115"/>
    </row>
    <row r="169" spans="1:49" ht="33.75" customHeight="1" x14ac:dyDescent="0.25">
      <c r="A169" s="27"/>
      <c r="B169" s="44">
        <v>170</v>
      </c>
      <c r="C169" s="56" t="s">
        <v>1262</v>
      </c>
      <c r="D169" s="56" t="s">
        <v>1174</v>
      </c>
      <c r="E169" s="56"/>
      <c r="F169" s="56" t="s">
        <v>39</v>
      </c>
      <c r="G169" s="57" t="s">
        <v>1175</v>
      </c>
      <c r="H169" s="56" t="s">
        <v>1103</v>
      </c>
      <c r="I169" s="56"/>
      <c r="J169" s="58"/>
      <c r="K169" s="39"/>
      <c r="L169" s="39"/>
      <c r="M169" s="39"/>
      <c r="N169" s="41"/>
      <c r="O169" s="39">
        <v>4200</v>
      </c>
      <c r="P169" s="39">
        <v>4200</v>
      </c>
      <c r="Q169" s="39" t="s">
        <v>1384</v>
      </c>
      <c r="R169" s="41"/>
      <c r="S169" s="56">
        <v>28000</v>
      </c>
      <c r="T169" s="56">
        <v>7000</v>
      </c>
      <c r="U169" s="78" t="s">
        <v>1176</v>
      </c>
      <c r="V169" s="58">
        <v>7000</v>
      </c>
      <c r="W169" s="79" t="s">
        <v>1775</v>
      </c>
      <c r="X169" s="42"/>
      <c r="Y169" s="42"/>
      <c r="Z169" s="42"/>
      <c r="AA169" s="42"/>
      <c r="AB169" s="42"/>
      <c r="AC169" s="42"/>
      <c r="AD169" s="39"/>
      <c r="AE169" s="39"/>
      <c r="AF169" s="77">
        <f t="shared" si="12"/>
        <v>14000</v>
      </c>
      <c r="AG169" s="76"/>
      <c r="AH169" s="76"/>
      <c r="AI169" s="149">
        <f t="shared" si="13"/>
        <v>14000</v>
      </c>
      <c r="AJ169" s="145">
        <f t="shared" si="11"/>
        <v>14000</v>
      </c>
      <c r="AK169" s="115">
        <v>5000</v>
      </c>
    </row>
    <row r="170" spans="1:49" ht="37.5" customHeight="1" x14ac:dyDescent="0.25">
      <c r="A170" s="27"/>
      <c r="B170" s="44">
        <v>171</v>
      </c>
      <c r="C170" s="56" t="s">
        <v>272</v>
      </c>
      <c r="D170" s="56" t="s">
        <v>1174</v>
      </c>
      <c r="E170" s="56"/>
      <c r="F170" s="56" t="s">
        <v>39</v>
      </c>
      <c r="G170" s="57" t="s">
        <v>1177</v>
      </c>
      <c r="H170" s="56" t="s">
        <v>1145</v>
      </c>
      <c r="I170" s="92"/>
      <c r="J170" s="58"/>
      <c r="K170" s="39"/>
      <c r="L170" s="39"/>
      <c r="M170" s="39"/>
      <c r="N170" s="41"/>
      <c r="O170" s="39">
        <v>4200</v>
      </c>
      <c r="P170" s="39">
        <v>4200</v>
      </c>
      <c r="Q170" s="39" t="s">
        <v>1393</v>
      </c>
      <c r="R170" s="41"/>
      <c r="S170" s="56">
        <v>30000</v>
      </c>
      <c r="T170" s="56">
        <v>5000</v>
      </c>
      <c r="U170" s="78" t="s">
        <v>1178</v>
      </c>
      <c r="V170" s="58">
        <v>6000</v>
      </c>
      <c r="W170" s="79" t="s">
        <v>1776</v>
      </c>
      <c r="X170" s="42"/>
      <c r="Y170" s="42"/>
      <c r="Z170" s="42"/>
      <c r="AA170" s="42"/>
      <c r="AB170" s="42"/>
      <c r="AC170" s="42"/>
      <c r="AD170" s="39"/>
      <c r="AE170" s="39"/>
      <c r="AF170" s="77">
        <f t="shared" si="12"/>
        <v>19000</v>
      </c>
      <c r="AG170" s="76"/>
      <c r="AH170" s="76"/>
      <c r="AI170" s="149">
        <f t="shared" si="13"/>
        <v>11000</v>
      </c>
      <c r="AJ170" s="145">
        <f t="shared" si="11"/>
        <v>19000</v>
      </c>
      <c r="AK170" s="179">
        <v>5000</v>
      </c>
    </row>
    <row r="171" spans="1:49" ht="36.75" customHeight="1" x14ac:dyDescent="0.25">
      <c r="A171" s="27"/>
      <c r="B171" s="44">
        <v>172</v>
      </c>
      <c r="C171" s="56" t="s">
        <v>1201</v>
      </c>
      <c r="D171" s="56" t="s">
        <v>1179</v>
      </c>
      <c r="E171" s="56"/>
      <c r="F171" s="56" t="s">
        <v>40</v>
      </c>
      <c r="G171" s="57" t="s">
        <v>1180</v>
      </c>
      <c r="H171" s="56" t="s">
        <v>41</v>
      </c>
      <c r="I171" s="56"/>
      <c r="J171" s="58"/>
      <c r="K171" s="39"/>
      <c r="L171" s="39"/>
      <c r="M171" s="39"/>
      <c r="N171" s="41"/>
      <c r="O171" s="39"/>
      <c r="P171" s="39"/>
      <c r="Q171" s="39"/>
      <c r="R171" s="41"/>
      <c r="S171" s="56">
        <v>30000</v>
      </c>
      <c r="T171" s="56">
        <v>6000</v>
      </c>
      <c r="U171" s="78" t="s">
        <v>1181</v>
      </c>
      <c r="V171" s="58">
        <v>6000</v>
      </c>
      <c r="W171" s="79" t="s">
        <v>1769</v>
      </c>
      <c r="X171" s="42"/>
      <c r="Y171" s="42"/>
      <c r="Z171" s="42"/>
      <c r="AA171" s="42"/>
      <c r="AB171" s="42"/>
      <c r="AC171" s="42"/>
      <c r="AD171" s="39"/>
      <c r="AE171" s="39"/>
      <c r="AF171" s="77">
        <f t="shared" si="12"/>
        <v>18000</v>
      </c>
      <c r="AG171" s="76"/>
      <c r="AH171" s="76"/>
      <c r="AI171" s="149">
        <f t="shared" si="13"/>
        <v>12000</v>
      </c>
      <c r="AJ171" s="145">
        <f t="shared" si="11"/>
        <v>18000</v>
      </c>
      <c r="AK171" s="179">
        <v>12000</v>
      </c>
    </row>
    <row r="172" spans="1:49" s="12" customFormat="1" ht="37.5" customHeight="1" x14ac:dyDescent="0.25">
      <c r="A172" s="58"/>
      <c r="B172" s="44">
        <v>173</v>
      </c>
      <c r="C172" s="56" t="s">
        <v>1205</v>
      </c>
      <c r="D172" s="56" t="s">
        <v>1206</v>
      </c>
      <c r="E172" s="56"/>
      <c r="F172" s="56" t="s">
        <v>40</v>
      </c>
      <c r="G172" s="57" t="s">
        <v>1415</v>
      </c>
      <c r="H172" s="56" t="s">
        <v>1163</v>
      </c>
      <c r="I172" s="92"/>
      <c r="J172" s="58"/>
      <c r="K172" s="39"/>
      <c r="L172" s="39"/>
      <c r="M172" s="39"/>
      <c r="N172" s="41"/>
      <c r="O172" s="39">
        <v>4200</v>
      </c>
      <c r="P172" s="39">
        <v>4200</v>
      </c>
      <c r="Q172" s="39" t="s">
        <v>1452</v>
      </c>
      <c r="R172" s="41"/>
      <c r="S172" s="56">
        <v>30000</v>
      </c>
      <c r="T172" s="56">
        <v>2000</v>
      </c>
      <c r="U172" s="161" t="s">
        <v>1207</v>
      </c>
      <c r="V172" s="58"/>
      <c r="W172" s="58"/>
      <c r="X172" s="39"/>
      <c r="Y172" s="162"/>
      <c r="Z172" s="39"/>
      <c r="AA172" s="39"/>
      <c r="AB172" s="39"/>
      <c r="AC172" s="162"/>
      <c r="AD172" s="39"/>
      <c r="AE172" s="39"/>
      <c r="AF172" s="143">
        <f>S172-T172-V172-X172-Z172-AB172-AD172</f>
        <v>28000</v>
      </c>
      <c r="AG172" s="58"/>
      <c r="AH172" s="58"/>
      <c r="AI172" s="149">
        <f t="shared" si="13"/>
        <v>2000</v>
      </c>
      <c r="AJ172" s="145">
        <f t="shared" si="11"/>
        <v>28000</v>
      </c>
      <c r="AK172" s="180">
        <v>5000</v>
      </c>
      <c r="AL172" s="115"/>
      <c r="AM172" s="115"/>
      <c r="AN172" s="115"/>
      <c r="AO172" s="115"/>
      <c r="AP172" s="115"/>
      <c r="AQ172" s="115"/>
    </row>
    <row r="173" spans="1:49" ht="36" customHeight="1" x14ac:dyDescent="0.25">
      <c r="A173" s="27"/>
      <c r="B173" s="44">
        <v>174</v>
      </c>
      <c r="C173" s="56" t="s">
        <v>1213</v>
      </c>
      <c r="D173" s="56" t="s">
        <v>1214</v>
      </c>
      <c r="E173" s="56"/>
      <c r="F173" s="56" t="s">
        <v>40</v>
      </c>
      <c r="G173" s="57" t="s">
        <v>1224</v>
      </c>
      <c r="H173" s="56" t="s">
        <v>274</v>
      </c>
      <c r="I173" s="56"/>
      <c r="J173" s="58"/>
      <c r="K173" s="39"/>
      <c r="L173" s="39"/>
      <c r="M173" s="39"/>
      <c r="N173" s="41"/>
      <c r="O173" s="39"/>
      <c r="P173" s="39"/>
      <c r="Q173" s="39"/>
      <c r="R173" s="41"/>
      <c r="S173" s="56">
        <v>35000</v>
      </c>
      <c r="T173" s="56">
        <v>10000</v>
      </c>
      <c r="U173" s="78" t="s">
        <v>1215</v>
      </c>
      <c r="V173" s="58"/>
      <c r="W173" s="79"/>
      <c r="X173" s="42"/>
      <c r="Y173" s="42"/>
      <c r="Z173" s="42"/>
      <c r="AA173" s="42"/>
      <c r="AB173" s="42"/>
      <c r="AC173" s="116"/>
      <c r="AD173" s="39"/>
      <c r="AE173" s="39"/>
      <c r="AF173" s="77">
        <f t="shared" ref="AF173:AF234" si="14">S173-T173-V173-X173-Z173-AB173</f>
        <v>25000</v>
      </c>
      <c r="AG173" s="76"/>
      <c r="AH173" s="76"/>
      <c r="AI173" s="149">
        <f t="shared" si="13"/>
        <v>10000</v>
      </c>
      <c r="AJ173" s="145">
        <f t="shared" si="11"/>
        <v>25000</v>
      </c>
      <c r="AK173" s="115"/>
    </row>
    <row r="174" spans="1:49" ht="36.75" customHeight="1" x14ac:dyDescent="0.25">
      <c r="A174" s="27"/>
      <c r="B174" s="44">
        <v>175</v>
      </c>
      <c r="C174" s="56" t="s">
        <v>1216</v>
      </c>
      <c r="D174" s="56" t="s">
        <v>1217</v>
      </c>
      <c r="E174" s="56"/>
      <c r="F174" s="56" t="s">
        <v>589</v>
      </c>
      <c r="G174" s="57" t="s">
        <v>1223</v>
      </c>
      <c r="H174" s="56" t="s">
        <v>170</v>
      </c>
      <c r="I174" s="56"/>
      <c r="J174" s="58"/>
      <c r="K174" s="39"/>
      <c r="L174" s="39"/>
      <c r="M174" s="39"/>
      <c r="N174" s="41"/>
      <c r="O174" s="39"/>
      <c r="P174" s="39"/>
      <c r="Q174" s="39"/>
      <c r="R174" s="41"/>
      <c r="S174" s="56">
        <v>30000</v>
      </c>
      <c r="T174" s="56">
        <v>5000</v>
      </c>
      <c r="U174" s="78" t="s">
        <v>1218</v>
      </c>
      <c r="V174" s="58"/>
      <c r="W174" s="79"/>
      <c r="X174" s="42"/>
      <c r="Y174" s="42"/>
      <c r="Z174" s="42"/>
      <c r="AA174" s="42"/>
      <c r="AB174" s="42"/>
      <c r="AC174" s="42"/>
      <c r="AD174" s="39"/>
      <c r="AE174" s="39"/>
      <c r="AF174" s="77">
        <f>S174-T174-V174-X174-Z174-AB174-AD174</f>
        <v>25000</v>
      </c>
      <c r="AG174" s="76"/>
      <c r="AH174" s="76"/>
      <c r="AI174" s="149">
        <f>+T174+V174+X174+Z174+AB174+AD174</f>
        <v>5000</v>
      </c>
      <c r="AJ174" s="145">
        <f t="shared" si="11"/>
        <v>25000</v>
      </c>
      <c r="AK174" s="115"/>
    </row>
    <row r="175" spans="1:49" ht="37.5" customHeight="1" x14ac:dyDescent="0.25">
      <c r="A175" s="27">
        <v>0</v>
      </c>
      <c r="B175" s="44">
        <v>176</v>
      </c>
      <c r="C175" s="56" t="s">
        <v>1219</v>
      </c>
      <c r="D175" s="56" t="s">
        <v>184</v>
      </c>
      <c r="E175" s="56"/>
      <c r="F175" s="56" t="s">
        <v>39</v>
      </c>
      <c r="G175" s="57" t="s">
        <v>1507</v>
      </c>
      <c r="H175" s="56" t="s">
        <v>196</v>
      </c>
      <c r="I175" s="92"/>
      <c r="J175" s="58"/>
      <c r="K175" s="39"/>
      <c r="L175" s="39"/>
      <c r="M175" s="39"/>
      <c r="N175" s="41"/>
      <c r="O175" s="39">
        <v>4200</v>
      </c>
      <c r="P175" s="39">
        <v>4200</v>
      </c>
      <c r="Q175" s="39" t="s">
        <v>1523</v>
      </c>
      <c r="R175" s="41"/>
      <c r="S175" s="56">
        <v>30000</v>
      </c>
      <c r="T175" s="56">
        <v>5000</v>
      </c>
      <c r="U175" s="78" t="s">
        <v>1220</v>
      </c>
      <c r="V175" s="58"/>
      <c r="W175" s="79"/>
      <c r="X175" s="42"/>
      <c r="Y175" s="42"/>
      <c r="Z175" s="42"/>
      <c r="AA175" s="42"/>
      <c r="AB175" s="42"/>
      <c r="AC175" s="42"/>
      <c r="AD175" s="39"/>
      <c r="AE175" s="39"/>
      <c r="AF175" s="77">
        <f t="shared" si="14"/>
        <v>25000</v>
      </c>
      <c r="AG175" s="76"/>
      <c r="AH175" s="76"/>
      <c r="AI175" s="149">
        <f t="shared" si="13"/>
        <v>5000</v>
      </c>
      <c r="AJ175" s="145">
        <f t="shared" si="11"/>
        <v>25000</v>
      </c>
      <c r="AK175" s="180">
        <v>5000</v>
      </c>
    </row>
    <row r="176" spans="1:49" ht="42.75" customHeight="1" x14ac:dyDescent="0.25">
      <c r="A176" s="27"/>
      <c r="B176" s="44">
        <v>177</v>
      </c>
      <c r="C176" s="56" t="s">
        <v>1248</v>
      </c>
      <c r="D176" s="56" t="s">
        <v>1249</v>
      </c>
      <c r="E176" s="56"/>
      <c r="F176" s="56" t="s">
        <v>40</v>
      </c>
      <c r="G176" s="57" t="s">
        <v>1263</v>
      </c>
      <c r="H176" s="56"/>
      <c r="I176" s="56"/>
      <c r="J176" s="58"/>
      <c r="K176" s="39"/>
      <c r="L176" s="39"/>
      <c r="M176" s="39"/>
      <c r="N176" s="41"/>
      <c r="O176" s="39"/>
      <c r="P176" s="39"/>
      <c r="Q176" s="39"/>
      <c r="R176" s="41"/>
      <c r="S176" s="56">
        <v>30000</v>
      </c>
      <c r="T176" s="56">
        <v>2000</v>
      </c>
      <c r="U176" s="78" t="s">
        <v>1250</v>
      </c>
      <c r="V176" s="58">
        <v>2000</v>
      </c>
      <c r="W176" s="79" t="s">
        <v>1822</v>
      </c>
      <c r="X176" s="42"/>
      <c r="Y176" s="42"/>
      <c r="Z176" s="42"/>
      <c r="AA176" s="42"/>
      <c r="AB176" s="42"/>
      <c r="AC176" s="42"/>
      <c r="AD176" s="39"/>
      <c r="AE176" s="39"/>
      <c r="AF176" s="77">
        <f>S176-T176-V176-X176-Z176-AB176-AD176</f>
        <v>26000</v>
      </c>
      <c r="AG176" s="76"/>
      <c r="AH176" s="76"/>
      <c r="AI176" s="149">
        <f>+T176+V176+X176+Z176+AB176+AD176</f>
        <v>4000</v>
      </c>
      <c r="AJ176" s="145">
        <f t="shared" si="11"/>
        <v>26000</v>
      </c>
      <c r="AK176" s="179">
        <v>8000</v>
      </c>
    </row>
    <row r="177" spans="1:49" ht="37.5" customHeight="1" x14ac:dyDescent="0.25">
      <c r="A177" s="27"/>
      <c r="B177" s="44">
        <v>178</v>
      </c>
      <c r="C177" s="56" t="s">
        <v>1265</v>
      </c>
      <c r="D177" s="56" t="s">
        <v>1266</v>
      </c>
      <c r="E177" s="56"/>
      <c r="F177" s="56" t="s">
        <v>589</v>
      </c>
      <c r="G177" s="57" t="s">
        <v>1267</v>
      </c>
      <c r="H177" s="56" t="s">
        <v>324</v>
      </c>
      <c r="I177" s="92"/>
      <c r="J177" s="58"/>
      <c r="K177" s="39"/>
      <c r="L177" s="39"/>
      <c r="M177" s="39"/>
      <c r="N177" s="41"/>
      <c r="O177" s="39">
        <v>4200</v>
      </c>
      <c r="P177" s="39">
        <v>4200</v>
      </c>
      <c r="Q177" s="39" t="s">
        <v>1287</v>
      </c>
      <c r="R177" s="41"/>
      <c r="S177" s="56">
        <v>30000</v>
      </c>
      <c r="T177" s="56">
        <v>5000</v>
      </c>
      <c r="U177" s="48" t="s">
        <v>1268</v>
      </c>
      <c r="V177" s="58"/>
      <c r="W177" s="79"/>
      <c r="X177" s="42"/>
      <c r="Y177" s="116"/>
      <c r="Z177" s="42"/>
      <c r="AA177" s="42"/>
      <c r="AB177" s="42"/>
      <c r="AC177" s="42"/>
      <c r="AD177" s="39"/>
      <c r="AE177" s="39"/>
      <c r="AF177" s="77">
        <f t="shared" si="14"/>
        <v>25000</v>
      </c>
      <c r="AG177" s="76"/>
      <c r="AH177" s="76"/>
      <c r="AI177" s="149">
        <f t="shared" si="13"/>
        <v>5000</v>
      </c>
      <c r="AJ177" s="145">
        <f t="shared" si="11"/>
        <v>25000</v>
      </c>
      <c r="AK177" s="115"/>
    </row>
    <row r="178" spans="1:49" ht="21" customHeight="1" x14ac:dyDescent="0.25">
      <c r="A178" s="27"/>
      <c r="B178" s="44">
        <v>179</v>
      </c>
      <c r="C178" s="56" t="s">
        <v>1269</v>
      </c>
      <c r="D178" s="56" t="s">
        <v>1270</v>
      </c>
      <c r="E178" s="56"/>
      <c r="F178" s="56" t="s">
        <v>589</v>
      </c>
      <c r="G178" s="57" t="s">
        <v>1271</v>
      </c>
      <c r="H178" s="56" t="s">
        <v>324</v>
      </c>
      <c r="I178" s="92"/>
      <c r="J178" s="58"/>
      <c r="K178" s="39"/>
      <c r="L178" s="39"/>
      <c r="M178" s="39"/>
      <c r="N178" s="41"/>
      <c r="O178" s="39">
        <v>4200</v>
      </c>
      <c r="P178" s="39">
        <v>4200</v>
      </c>
      <c r="Q178" s="39" t="s">
        <v>1652</v>
      </c>
      <c r="R178" s="41"/>
      <c r="S178" s="56">
        <v>30000</v>
      </c>
      <c r="T178" s="78">
        <v>5000</v>
      </c>
      <c r="U178" s="15" t="s">
        <v>1272</v>
      </c>
      <c r="V178" s="58"/>
      <c r="W178" s="79"/>
      <c r="X178" s="42"/>
      <c r="Y178" s="42"/>
      <c r="Z178" s="42"/>
      <c r="AA178" s="42"/>
      <c r="AB178" s="42"/>
      <c r="AC178" s="42"/>
      <c r="AD178" s="39"/>
      <c r="AE178" s="39"/>
      <c r="AF178" s="77">
        <f t="shared" si="14"/>
        <v>25000</v>
      </c>
      <c r="AG178" s="76"/>
      <c r="AH178" s="76"/>
      <c r="AI178" s="149">
        <f t="shared" si="13"/>
        <v>5000</v>
      </c>
      <c r="AJ178" s="145">
        <f t="shared" si="11"/>
        <v>25000</v>
      </c>
      <c r="AK178" s="115">
        <v>5000</v>
      </c>
    </row>
    <row r="179" spans="1:49" ht="36" customHeight="1" x14ac:dyDescent="0.25">
      <c r="A179" s="27"/>
      <c r="B179" s="44">
        <v>180</v>
      </c>
      <c r="C179" s="56" t="s">
        <v>1273</v>
      </c>
      <c r="D179" s="56" t="s">
        <v>1270</v>
      </c>
      <c r="E179" s="56"/>
      <c r="F179" s="56" t="s">
        <v>39</v>
      </c>
      <c r="G179" s="57" t="s">
        <v>1271</v>
      </c>
      <c r="H179" s="56" t="s">
        <v>324</v>
      </c>
      <c r="I179" s="56"/>
      <c r="J179" s="58"/>
      <c r="K179" s="39"/>
      <c r="L179" s="39"/>
      <c r="M179" s="39"/>
      <c r="N179" s="41"/>
      <c r="O179" s="39">
        <v>4200</v>
      </c>
      <c r="P179" s="39">
        <v>4200</v>
      </c>
      <c r="Q179" s="39" t="s">
        <v>1651</v>
      </c>
      <c r="R179" s="41"/>
      <c r="S179" s="56">
        <v>30000</v>
      </c>
      <c r="T179" s="56">
        <v>5000</v>
      </c>
      <c r="U179" s="78" t="s">
        <v>1274</v>
      </c>
      <c r="V179" s="58"/>
      <c r="W179" s="79"/>
      <c r="X179" s="42"/>
      <c r="Y179" s="42"/>
      <c r="Z179" s="42"/>
      <c r="AA179" s="42"/>
      <c r="AB179" s="42"/>
      <c r="AC179" s="42"/>
      <c r="AD179" s="39"/>
      <c r="AE179" s="39"/>
      <c r="AF179" s="77">
        <f t="shared" si="14"/>
        <v>25000</v>
      </c>
      <c r="AG179" s="76"/>
      <c r="AH179" s="76"/>
      <c r="AI179" s="149">
        <f t="shared" si="13"/>
        <v>5000</v>
      </c>
      <c r="AJ179" s="145">
        <f t="shared" si="11"/>
        <v>25000</v>
      </c>
      <c r="AK179" s="115"/>
    </row>
    <row r="180" spans="1:49" s="10" customFormat="1" ht="29.25" customHeight="1" x14ac:dyDescent="0.25">
      <c r="A180" s="27"/>
      <c r="B180" s="44">
        <v>181</v>
      </c>
      <c r="C180" s="56" t="s">
        <v>1281</v>
      </c>
      <c r="D180" s="56" t="s">
        <v>189</v>
      </c>
      <c r="E180" s="56"/>
      <c r="F180" s="56" t="s">
        <v>589</v>
      </c>
      <c r="G180" s="57"/>
      <c r="H180" s="56"/>
      <c r="I180" s="56"/>
      <c r="J180" s="58"/>
      <c r="K180" s="39"/>
      <c r="L180" s="39"/>
      <c r="M180" s="39"/>
      <c r="N180" s="41"/>
      <c r="O180" s="39">
        <v>4200</v>
      </c>
      <c r="P180" s="39">
        <v>4200</v>
      </c>
      <c r="Q180" s="39" t="s">
        <v>1282</v>
      </c>
      <c r="R180" s="41"/>
      <c r="S180" s="56">
        <v>30000</v>
      </c>
      <c r="T180" s="56">
        <v>5000</v>
      </c>
      <c r="U180" s="78" t="s">
        <v>1304</v>
      </c>
      <c r="V180" s="58">
        <v>5000</v>
      </c>
      <c r="W180" s="79"/>
      <c r="X180" s="42"/>
      <c r="Y180" s="42"/>
      <c r="Z180" s="42"/>
      <c r="AA180" s="42"/>
      <c r="AB180" s="42"/>
      <c r="AC180" s="42"/>
      <c r="AD180" s="39"/>
      <c r="AE180" s="39"/>
      <c r="AF180" s="77">
        <f t="shared" si="14"/>
        <v>20000</v>
      </c>
      <c r="AG180" s="76"/>
      <c r="AH180" s="76"/>
      <c r="AI180" s="149">
        <f t="shared" si="13"/>
        <v>10000</v>
      </c>
      <c r="AJ180" s="145">
        <f t="shared" si="11"/>
        <v>20000</v>
      </c>
      <c r="AK180" s="115"/>
      <c r="AL180" s="115"/>
      <c r="AM180" s="115"/>
      <c r="AN180" s="115"/>
      <c r="AO180" s="115"/>
      <c r="AP180" s="115"/>
      <c r="AQ180" s="115"/>
      <c r="AR180" s="12"/>
      <c r="AS180" s="12"/>
      <c r="AT180" s="12"/>
      <c r="AU180" s="12"/>
      <c r="AV180" s="12"/>
      <c r="AW180" s="12"/>
    </row>
    <row r="181" spans="1:49" ht="37.5" customHeight="1" x14ac:dyDescent="0.25">
      <c r="A181" s="27"/>
      <c r="B181" s="44">
        <v>182</v>
      </c>
      <c r="C181" s="56" t="s">
        <v>1292</v>
      </c>
      <c r="D181" s="56" t="s">
        <v>653</v>
      </c>
      <c r="E181" s="56"/>
      <c r="F181" s="56" t="s">
        <v>40</v>
      </c>
      <c r="G181" s="57" t="s">
        <v>1293</v>
      </c>
      <c r="H181" s="56"/>
      <c r="I181" s="56"/>
      <c r="J181" s="58"/>
      <c r="K181" s="39"/>
      <c r="L181" s="39"/>
      <c r="M181" s="39"/>
      <c r="N181" s="41"/>
      <c r="O181" s="39">
        <v>4200</v>
      </c>
      <c r="P181" s="39">
        <v>4200</v>
      </c>
      <c r="Q181" s="39" t="s">
        <v>1383</v>
      </c>
      <c r="R181" s="41"/>
      <c r="S181" s="56">
        <v>20000</v>
      </c>
      <c r="T181" s="56">
        <v>2000</v>
      </c>
      <c r="U181" s="78" t="s">
        <v>1294</v>
      </c>
      <c r="V181" s="58">
        <v>2000</v>
      </c>
      <c r="W181" s="79" t="s">
        <v>1778</v>
      </c>
      <c r="X181" s="42"/>
      <c r="Y181" s="42"/>
      <c r="Z181" s="42"/>
      <c r="AA181" s="42"/>
      <c r="AB181" s="42"/>
      <c r="AC181" s="42"/>
      <c r="AD181" s="39"/>
      <c r="AE181" s="39"/>
      <c r="AF181" s="77">
        <f t="shared" si="14"/>
        <v>16000</v>
      </c>
      <c r="AG181" s="76"/>
      <c r="AH181" s="76"/>
      <c r="AI181" s="149">
        <f t="shared" si="13"/>
        <v>4000</v>
      </c>
      <c r="AJ181" s="145">
        <f t="shared" si="11"/>
        <v>16000</v>
      </c>
      <c r="AK181" s="179">
        <v>5000</v>
      </c>
    </row>
    <row r="182" spans="1:49" ht="37.5" customHeight="1" x14ac:dyDescent="0.25">
      <c r="A182" s="27"/>
      <c r="B182" s="44">
        <v>183</v>
      </c>
      <c r="C182" s="56" t="s">
        <v>1316</v>
      </c>
      <c r="D182" s="56" t="s">
        <v>991</v>
      </c>
      <c r="E182" s="56"/>
      <c r="F182" s="56" t="s">
        <v>727</v>
      </c>
      <c r="G182" s="57"/>
      <c r="H182" s="56"/>
      <c r="I182" s="92"/>
      <c r="J182" s="58"/>
      <c r="K182" s="39"/>
      <c r="L182" s="39"/>
      <c r="M182" s="39"/>
      <c r="N182" s="41"/>
      <c r="O182" s="39">
        <v>4200</v>
      </c>
      <c r="P182" s="39">
        <v>4200</v>
      </c>
      <c r="Q182" s="39" t="s">
        <v>1317</v>
      </c>
      <c r="R182" s="41"/>
      <c r="S182" s="56">
        <v>30000</v>
      </c>
      <c r="T182" s="56">
        <v>5000</v>
      </c>
      <c r="U182" s="78" t="s">
        <v>1360</v>
      </c>
      <c r="V182" s="79"/>
      <c r="W182" s="79"/>
      <c r="X182" s="42"/>
      <c r="Y182" s="42"/>
      <c r="Z182" s="42"/>
      <c r="AA182" s="42"/>
      <c r="AB182" s="42"/>
      <c r="AC182" s="42"/>
      <c r="AD182" s="39"/>
      <c r="AE182" s="39"/>
      <c r="AF182" s="77">
        <f>S182-T182-V182-X182-Z182-AB182-AD182</f>
        <v>25000</v>
      </c>
      <c r="AG182" s="76"/>
      <c r="AH182" s="76"/>
      <c r="AI182" s="149">
        <f>+T182+V182+X182+Z182+AB182+AD182</f>
        <v>5000</v>
      </c>
      <c r="AJ182" s="145">
        <f t="shared" si="11"/>
        <v>25000</v>
      </c>
      <c r="AK182" s="115"/>
    </row>
    <row r="183" spans="1:49" ht="37.5" customHeight="1" x14ac:dyDescent="0.25">
      <c r="A183" s="27"/>
      <c r="B183" s="44">
        <v>184</v>
      </c>
      <c r="C183" s="44" t="s">
        <v>1305</v>
      </c>
      <c r="D183" s="44" t="s">
        <v>335</v>
      </c>
      <c r="E183" s="56"/>
      <c r="F183" s="44" t="s">
        <v>40</v>
      </c>
      <c r="G183" s="46" t="s">
        <v>1306</v>
      </c>
      <c r="H183" s="56"/>
      <c r="I183" s="92"/>
      <c r="J183" s="58"/>
      <c r="K183" s="39"/>
      <c r="L183" s="39"/>
      <c r="M183" s="39"/>
      <c r="N183" s="41"/>
      <c r="O183" s="39">
        <v>4200</v>
      </c>
      <c r="P183" s="39">
        <v>4200</v>
      </c>
      <c r="Q183" s="39" t="s">
        <v>1348</v>
      </c>
      <c r="R183" s="41"/>
      <c r="S183" s="56">
        <v>32000</v>
      </c>
      <c r="T183" s="44">
        <v>3500</v>
      </c>
      <c r="U183" s="44" t="s">
        <v>1307</v>
      </c>
      <c r="V183" s="58">
        <v>5000</v>
      </c>
      <c r="W183" s="112" t="s">
        <v>1670</v>
      </c>
      <c r="X183" s="42">
        <v>10000</v>
      </c>
      <c r="Y183" s="42" t="s">
        <v>1814</v>
      </c>
      <c r="Z183" s="42"/>
      <c r="AA183" s="42"/>
      <c r="AB183" s="42"/>
      <c r="AC183" s="42"/>
      <c r="AD183" s="39"/>
      <c r="AE183" s="39"/>
      <c r="AF183" s="77">
        <f>S183-T183-V183-X183-Z183-AB183-AD183</f>
        <v>13500</v>
      </c>
      <c r="AG183" s="76"/>
      <c r="AH183" s="76"/>
      <c r="AI183" s="58">
        <f>+T183+V183+X183+Z183+AB183+AD183</f>
        <v>18500</v>
      </c>
      <c r="AJ183" s="145">
        <f t="shared" si="11"/>
        <v>13500</v>
      </c>
      <c r="AK183" s="115"/>
    </row>
    <row r="184" spans="1:49" ht="37.5" customHeight="1" x14ac:dyDescent="0.25">
      <c r="A184" s="27"/>
      <c r="B184" s="44">
        <v>185</v>
      </c>
      <c r="C184" s="56" t="s">
        <v>1358</v>
      </c>
      <c r="D184" s="56" t="s">
        <v>832</v>
      </c>
      <c r="E184" s="56"/>
      <c r="F184" s="56" t="s">
        <v>40</v>
      </c>
      <c r="G184" s="57" t="s">
        <v>856</v>
      </c>
      <c r="H184" s="56" t="s">
        <v>268</v>
      </c>
      <c r="I184" s="56"/>
      <c r="J184" s="58"/>
      <c r="K184" s="39"/>
      <c r="L184" s="39"/>
      <c r="M184" s="39"/>
      <c r="N184" s="41"/>
      <c r="O184" s="39">
        <v>4200</v>
      </c>
      <c r="P184" s="39">
        <v>4200</v>
      </c>
      <c r="Q184" s="39" t="s">
        <v>1359</v>
      </c>
      <c r="R184" s="41"/>
      <c r="S184" s="56">
        <v>30000</v>
      </c>
      <c r="T184" s="44">
        <v>5000</v>
      </c>
      <c r="U184" s="44" t="s">
        <v>1200</v>
      </c>
      <c r="V184" s="58">
        <v>15000</v>
      </c>
      <c r="W184" s="79" t="s">
        <v>1819</v>
      </c>
      <c r="X184" s="42"/>
      <c r="Y184" s="42"/>
      <c r="Z184" s="42"/>
      <c r="AA184" s="42"/>
      <c r="AB184" s="42"/>
      <c r="AC184" s="42"/>
      <c r="AD184" s="39"/>
      <c r="AE184" s="39"/>
      <c r="AF184" s="77">
        <f>S184-T184-V184-X184-Z184-AB184-AD184</f>
        <v>10000</v>
      </c>
      <c r="AG184" s="76"/>
      <c r="AH184" s="76"/>
      <c r="AI184" s="149">
        <f>+T184+V184+X184+Z184+AB184+AD184</f>
        <v>20000</v>
      </c>
      <c r="AJ184" s="145">
        <f t="shared" si="11"/>
        <v>10000</v>
      </c>
      <c r="AK184" s="180">
        <v>5000</v>
      </c>
    </row>
    <row r="185" spans="1:49" ht="39" customHeight="1" x14ac:dyDescent="0.25">
      <c r="A185" s="27"/>
      <c r="B185" s="44">
        <v>186</v>
      </c>
      <c r="C185" s="56" t="s">
        <v>1375</v>
      </c>
      <c r="D185" s="56" t="s">
        <v>1376</v>
      </c>
      <c r="E185" s="56"/>
      <c r="F185" s="56" t="s">
        <v>40</v>
      </c>
      <c r="G185" s="57" t="s">
        <v>1377</v>
      </c>
      <c r="H185" s="56"/>
      <c r="I185" s="56"/>
      <c r="J185" s="58"/>
      <c r="K185" s="39"/>
      <c r="L185" s="39"/>
      <c r="M185" s="39"/>
      <c r="N185" s="41"/>
      <c r="O185" s="39">
        <v>4200</v>
      </c>
      <c r="P185" s="39">
        <v>4200</v>
      </c>
      <c r="Q185" s="39" t="s">
        <v>1380</v>
      </c>
      <c r="R185" s="41"/>
      <c r="S185" s="56">
        <v>20000</v>
      </c>
      <c r="T185" s="56">
        <v>3000</v>
      </c>
      <c r="U185" s="78" t="s">
        <v>1378</v>
      </c>
      <c r="V185" s="58">
        <v>5000</v>
      </c>
      <c r="W185" s="79"/>
      <c r="X185" s="42"/>
      <c r="Y185" s="116"/>
      <c r="Z185" s="42"/>
      <c r="AA185" s="42"/>
      <c r="AB185" s="42"/>
      <c r="AC185" s="42"/>
      <c r="AD185" s="39"/>
      <c r="AE185" s="39"/>
      <c r="AF185" s="77">
        <f>S185-T185-V185-X185-Z185-AB185-AD185</f>
        <v>12000</v>
      </c>
      <c r="AG185" s="76"/>
      <c r="AH185" s="76"/>
      <c r="AI185" s="149">
        <f>+T185+V185+X185+Z185+AB185+AD185</f>
        <v>8000</v>
      </c>
      <c r="AJ185" s="145">
        <f t="shared" si="11"/>
        <v>12000</v>
      </c>
      <c r="AK185" s="115">
        <v>5000</v>
      </c>
    </row>
    <row r="186" spans="1:49" ht="26.25" customHeight="1" x14ac:dyDescent="0.25">
      <c r="A186" s="27"/>
      <c r="B186" s="44">
        <v>187</v>
      </c>
      <c r="C186" s="56" t="s">
        <v>1408</v>
      </c>
      <c r="D186" s="56" t="s">
        <v>1404</v>
      </c>
      <c r="E186" s="56"/>
      <c r="F186" s="56" t="s">
        <v>589</v>
      </c>
      <c r="G186" s="57" t="s">
        <v>1405</v>
      </c>
      <c r="H186" s="56"/>
      <c r="I186" s="56"/>
      <c r="J186" s="58"/>
      <c r="K186" s="39"/>
      <c r="L186" s="39"/>
      <c r="M186" s="39"/>
      <c r="N186" s="41"/>
      <c r="O186" s="39">
        <v>4200</v>
      </c>
      <c r="P186" s="39">
        <v>4200</v>
      </c>
      <c r="Q186" s="39" t="s">
        <v>1600</v>
      </c>
      <c r="R186" s="41"/>
      <c r="S186" s="56">
        <v>25000</v>
      </c>
      <c r="T186" s="56">
        <v>2500</v>
      </c>
      <c r="U186" s="78" t="s">
        <v>1409</v>
      </c>
      <c r="V186" s="58"/>
      <c r="W186" s="79"/>
      <c r="X186" s="42"/>
      <c r="Y186" s="42"/>
      <c r="Z186" s="42"/>
      <c r="AA186" s="42"/>
      <c r="AB186" s="42"/>
      <c r="AC186" s="42"/>
      <c r="AD186" s="39"/>
      <c r="AE186" s="39"/>
      <c r="AF186" s="77">
        <f t="shared" si="14"/>
        <v>22500</v>
      </c>
      <c r="AG186" s="76"/>
      <c r="AH186" s="76"/>
      <c r="AI186" s="149">
        <f t="shared" si="13"/>
        <v>2500</v>
      </c>
      <c r="AJ186" s="145">
        <f t="shared" si="11"/>
        <v>22500</v>
      </c>
      <c r="AK186" s="115"/>
    </row>
    <row r="187" spans="1:49" ht="37.5" customHeight="1" x14ac:dyDescent="0.25">
      <c r="A187" s="27"/>
      <c r="B187" s="44">
        <v>188</v>
      </c>
      <c r="C187" s="56" t="s">
        <v>18</v>
      </c>
      <c r="D187" s="56" t="s">
        <v>1410</v>
      </c>
      <c r="E187" s="56"/>
      <c r="F187" s="56" t="s">
        <v>727</v>
      </c>
      <c r="G187" s="57" t="s">
        <v>1411</v>
      </c>
      <c r="H187" s="56"/>
      <c r="I187" s="56"/>
      <c r="J187" s="58"/>
      <c r="K187" s="39"/>
      <c r="L187" s="39"/>
      <c r="M187" s="39"/>
      <c r="N187" s="41"/>
      <c r="O187" s="39">
        <v>4200</v>
      </c>
      <c r="P187" s="39">
        <v>4200</v>
      </c>
      <c r="Q187" s="39" t="s">
        <v>1412</v>
      </c>
      <c r="R187" s="41"/>
      <c r="S187" s="56">
        <v>10</v>
      </c>
      <c r="T187" s="56"/>
      <c r="U187" s="78"/>
      <c r="V187" s="58"/>
      <c r="W187" s="79"/>
      <c r="X187" s="42"/>
      <c r="Y187" s="42"/>
      <c r="Z187" s="42"/>
      <c r="AA187" s="42"/>
      <c r="AB187" s="42"/>
      <c r="AC187" s="42"/>
      <c r="AD187" s="39"/>
      <c r="AE187" s="39"/>
      <c r="AF187" s="77">
        <f>S187-T187-V187-X187-Z187-AB187-AD187</f>
        <v>10</v>
      </c>
      <c r="AG187" s="76"/>
      <c r="AH187" s="76"/>
      <c r="AI187" s="149">
        <f>+T187+V187+X187+Z187+AB187+AD187</f>
        <v>0</v>
      </c>
      <c r="AJ187" s="145">
        <f t="shared" si="11"/>
        <v>10</v>
      </c>
      <c r="AK187" s="115"/>
    </row>
    <row r="188" spans="1:49" ht="42" customHeight="1" x14ac:dyDescent="0.25">
      <c r="A188" s="27"/>
      <c r="B188" s="44">
        <v>189</v>
      </c>
      <c r="C188" s="44" t="s">
        <v>1413</v>
      </c>
      <c r="D188" s="44" t="s">
        <v>1414</v>
      </c>
      <c r="E188" s="56"/>
      <c r="F188" s="44" t="s">
        <v>39</v>
      </c>
      <c r="G188" s="57"/>
      <c r="H188" s="44"/>
      <c r="I188" s="56"/>
      <c r="J188" s="58"/>
      <c r="K188" s="39"/>
      <c r="L188" s="39"/>
      <c r="M188" s="39"/>
      <c r="N188" s="41"/>
      <c r="O188" s="39">
        <v>4200</v>
      </c>
      <c r="P188" s="39">
        <v>4200</v>
      </c>
      <c r="Q188" s="39" t="s">
        <v>1424</v>
      </c>
      <c r="R188" s="41"/>
      <c r="S188" s="56"/>
      <c r="T188" s="56"/>
      <c r="U188" s="78"/>
      <c r="V188" s="58"/>
      <c r="W188" s="79"/>
      <c r="X188" s="42"/>
      <c r="Y188" s="42"/>
      <c r="Z188" s="42"/>
      <c r="AA188" s="42"/>
      <c r="AB188" s="42"/>
      <c r="AC188" s="42"/>
      <c r="AD188" s="39"/>
      <c r="AE188" s="39"/>
      <c r="AF188" s="77">
        <f t="shared" si="14"/>
        <v>0</v>
      </c>
      <c r="AG188" s="76"/>
      <c r="AH188" s="76"/>
      <c r="AI188" s="149">
        <f t="shared" si="13"/>
        <v>0</v>
      </c>
      <c r="AJ188" s="145">
        <f t="shared" si="11"/>
        <v>0</v>
      </c>
      <c r="AK188" s="115"/>
    </row>
    <row r="189" spans="1:49" ht="45.75" customHeight="1" x14ac:dyDescent="0.25">
      <c r="A189" s="27"/>
      <c r="B189" s="44">
        <v>190</v>
      </c>
      <c r="C189" s="56" t="s">
        <v>1416</v>
      </c>
      <c r="D189" s="56" t="s">
        <v>1417</v>
      </c>
      <c r="E189" s="56"/>
      <c r="F189" s="56" t="s">
        <v>589</v>
      </c>
      <c r="G189" s="57" t="s">
        <v>1418</v>
      </c>
      <c r="H189" s="56" t="s">
        <v>196</v>
      </c>
      <c r="I189" s="56"/>
      <c r="J189" s="58"/>
      <c r="K189" s="39"/>
      <c r="L189" s="39"/>
      <c r="M189" s="39"/>
      <c r="N189" s="41"/>
      <c r="O189" s="39"/>
      <c r="P189" s="39"/>
      <c r="Q189" s="39"/>
      <c r="R189" s="41"/>
      <c r="S189" s="40"/>
      <c r="T189" s="158">
        <v>5000</v>
      </c>
      <c r="U189" s="124" t="s">
        <v>1419</v>
      </c>
      <c r="V189" s="39"/>
      <c r="W189" s="42"/>
      <c r="X189" s="42"/>
      <c r="Y189" s="42"/>
      <c r="Z189" s="42"/>
      <c r="AA189" s="42"/>
      <c r="AB189" s="42"/>
      <c r="AC189" s="42"/>
      <c r="AD189" s="39"/>
      <c r="AE189" s="39"/>
      <c r="AF189" s="77">
        <f t="shared" si="14"/>
        <v>-5000</v>
      </c>
      <c r="AG189" s="76"/>
      <c r="AH189" s="76"/>
      <c r="AI189" s="149">
        <f t="shared" si="13"/>
        <v>5000</v>
      </c>
      <c r="AJ189" s="145">
        <f t="shared" si="11"/>
        <v>-5000</v>
      </c>
      <c r="AK189" s="115">
        <v>5000</v>
      </c>
    </row>
    <row r="190" spans="1:49" ht="37.5" customHeight="1" x14ac:dyDescent="0.25">
      <c r="A190" s="27"/>
      <c r="B190" s="44">
        <v>191</v>
      </c>
      <c r="C190" s="56" t="s">
        <v>1432</v>
      </c>
      <c r="D190" s="56" t="s">
        <v>1433</v>
      </c>
      <c r="E190" s="56"/>
      <c r="F190" s="56" t="s">
        <v>40</v>
      </c>
      <c r="G190" s="57" t="s">
        <v>1434</v>
      </c>
      <c r="H190" s="56" t="s">
        <v>1435</v>
      </c>
      <c r="I190" s="56"/>
      <c r="J190" s="58"/>
      <c r="K190" s="39"/>
      <c r="L190" s="39"/>
      <c r="M190" s="39"/>
      <c r="N190" s="41"/>
      <c r="O190" s="39">
        <v>4200</v>
      </c>
      <c r="P190" s="39">
        <v>4200</v>
      </c>
      <c r="Q190" s="39" t="s">
        <v>1494</v>
      </c>
      <c r="R190" s="41"/>
      <c r="S190" s="56">
        <v>30000</v>
      </c>
      <c r="T190" s="56">
        <v>5000</v>
      </c>
      <c r="U190" s="78" t="s">
        <v>1436</v>
      </c>
      <c r="V190" s="58">
        <v>5000</v>
      </c>
      <c r="W190" s="112" t="s">
        <v>1796</v>
      </c>
      <c r="X190" s="42"/>
      <c r="Y190" s="42"/>
      <c r="Z190" s="42"/>
      <c r="AA190" s="42"/>
      <c r="AB190" s="42"/>
      <c r="AC190" s="39"/>
      <c r="AD190" s="39"/>
      <c r="AE190" s="39"/>
      <c r="AF190" s="77">
        <f t="shared" si="14"/>
        <v>20000</v>
      </c>
      <c r="AG190" s="76"/>
      <c r="AH190" s="76"/>
      <c r="AI190" s="149">
        <f t="shared" si="13"/>
        <v>10000</v>
      </c>
      <c r="AJ190" s="145">
        <f t="shared" si="11"/>
        <v>20000</v>
      </c>
      <c r="AK190" s="115"/>
    </row>
    <row r="191" spans="1:49" ht="37.5" customHeight="1" x14ac:dyDescent="0.25">
      <c r="A191" s="27"/>
      <c r="B191" s="44">
        <v>192</v>
      </c>
      <c r="C191" s="56" t="s">
        <v>1168</v>
      </c>
      <c r="D191" s="56" t="s">
        <v>1451</v>
      </c>
      <c r="E191" s="56"/>
      <c r="F191" s="56" t="s">
        <v>215</v>
      </c>
      <c r="G191" s="57"/>
      <c r="H191" s="56"/>
      <c r="I191" s="56"/>
      <c r="J191" s="58"/>
      <c r="K191" s="39"/>
      <c r="L191" s="39"/>
      <c r="M191" s="39"/>
      <c r="N191" s="41"/>
      <c r="O191" s="39"/>
      <c r="P191" s="39"/>
      <c r="Q191" s="39"/>
      <c r="R191" s="41"/>
      <c r="S191" s="56"/>
      <c r="T191" s="56"/>
      <c r="U191" s="78"/>
      <c r="V191" s="58"/>
      <c r="W191" s="79"/>
      <c r="X191" s="42"/>
      <c r="Y191" s="42"/>
      <c r="Z191" s="42"/>
      <c r="AA191" s="42"/>
      <c r="AB191" s="7"/>
      <c r="AC191" s="7"/>
      <c r="AD191" s="9"/>
      <c r="AE191" s="39"/>
      <c r="AF191" s="77">
        <f>S191-T191-V191-X191-Z191-AB191-AD191</f>
        <v>0</v>
      </c>
      <c r="AG191" s="76"/>
      <c r="AH191" s="76"/>
      <c r="AI191" s="149">
        <f>+T191+V191+X191+Z191+AB191+AD191</f>
        <v>0</v>
      </c>
      <c r="AJ191" s="145">
        <f t="shared" si="11"/>
        <v>0</v>
      </c>
      <c r="AK191" s="115">
        <v>5000</v>
      </c>
    </row>
    <row r="192" spans="1:49" ht="37.5" customHeight="1" x14ac:dyDescent="0.25">
      <c r="A192" s="27"/>
      <c r="B192" s="44">
        <v>193</v>
      </c>
      <c r="C192" s="56" t="s">
        <v>1458</v>
      </c>
      <c r="D192" s="56" t="s">
        <v>1779</v>
      </c>
      <c r="E192" s="56"/>
      <c r="F192" s="56" t="s">
        <v>40</v>
      </c>
      <c r="G192" s="57"/>
      <c r="H192" s="56"/>
      <c r="I192" s="56"/>
      <c r="J192" s="58"/>
      <c r="K192" s="39"/>
      <c r="L192" s="39"/>
      <c r="M192" s="39"/>
      <c r="N192" s="41"/>
      <c r="O192" s="39">
        <v>4200</v>
      </c>
      <c r="P192" s="39">
        <v>4200</v>
      </c>
      <c r="Q192" s="39" t="s">
        <v>1459</v>
      </c>
      <c r="R192" s="41"/>
      <c r="S192" s="56"/>
      <c r="T192" s="56"/>
      <c r="U192" s="78"/>
      <c r="V192" s="58"/>
      <c r="W192" s="79"/>
      <c r="X192" s="42"/>
      <c r="Y192" s="42"/>
      <c r="Z192" s="42"/>
      <c r="AA192" s="42"/>
      <c r="AB192" s="42"/>
      <c r="AC192" s="42"/>
      <c r="AD192" s="39"/>
      <c r="AE192" s="39"/>
      <c r="AF192" s="77">
        <f t="shared" si="14"/>
        <v>0</v>
      </c>
      <c r="AG192" s="76"/>
      <c r="AH192" s="76"/>
      <c r="AI192" s="58">
        <f t="shared" si="13"/>
        <v>0</v>
      </c>
      <c r="AJ192" s="145">
        <f t="shared" si="11"/>
        <v>0</v>
      </c>
      <c r="AK192" s="115"/>
    </row>
    <row r="193" spans="1:37" ht="37.5" customHeight="1" x14ac:dyDescent="0.25">
      <c r="A193" s="27"/>
      <c r="B193" s="44">
        <v>194</v>
      </c>
      <c r="C193" s="56" t="s">
        <v>1468</v>
      </c>
      <c r="D193" s="56" t="s">
        <v>43</v>
      </c>
      <c r="E193" s="56"/>
      <c r="F193" s="56" t="s">
        <v>40</v>
      </c>
      <c r="G193" s="57" t="s">
        <v>1469</v>
      </c>
      <c r="H193" s="56" t="s">
        <v>241</v>
      </c>
      <c r="I193" s="56"/>
      <c r="J193" s="58"/>
      <c r="K193" s="39"/>
      <c r="L193" s="39"/>
      <c r="M193" s="39"/>
      <c r="N193" s="41"/>
      <c r="O193" s="39">
        <v>4200</v>
      </c>
      <c r="P193" s="39">
        <v>4200</v>
      </c>
      <c r="Q193" s="39" t="s">
        <v>1493</v>
      </c>
      <c r="R193" s="41"/>
      <c r="S193" s="56">
        <v>25000</v>
      </c>
      <c r="T193" s="56">
        <v>5000</v>
      </c>
      <c r="U193" s="78" t="s">
        <v>1761</v>
      </c>
      <c r="V193" s="58"/>
      <c r="W193" s="79"/>
      <c r="X193" s="42"/>
      <c r="Y193" s="42"/>
      <c r="Z193" s="42"/>
      <c r="AA193" s="42"/>
      <c r="AB193" s="42"/>
      <c r="AC193" s="116"/>
      <c r="AD193" s="39"/>
      <c r="AE193" s="39"/>
      <c r="AF193" s="77">
        <f t="shared" si="14"/>
        <v>20000</v>
      </c>
      <c r="AG193" s="76"/>
      <c r="AH193" s="76"/>
      <c r="AI193" s="58">
        <f t="shared" si="13"/>
        <v>5000</v>
      </c>
      <c r="AJ193" s="145">
        <f t="shared" ref="AJ193:AJ256" si="15">AF193+R193+N193-AG193+AH193</f>
        <v>20000</v>
      </c>
      <c r="AK193" s="115"/>
    </row>
    <row r="194" spans="1:37" ht="46.5" customHeight="1" x14ac:dyDescent="0.25">
      <c r="A194" s="27"/>
      <c r="B194" s="44">
        <v>195</v>
      </c>
      <c r="C194" s="56" t="s">
        <v>1470</v>
      </c>
      <c r="D194" s="56" t="s">
        <v>1471</v>
      </c>
      <c r="E194" s="56"/>
      <c r="F194" s="56" t="s">
        <v>40</v>
      </c>
      <c r="G194" s="57" t="s">
        <v>1472</v>
      </c>
      <c r="H194" s="56" t="s">
        <v>278</v>
      </c>
      <c r="I194" s="56"/>
      <c r="J194" s="58"/>
      <c r="K194" s="39"/>
      <c r="L194" s="39"/>
      <c r="M194" s="39"/>
      <c r="N194" s="41"/>
      <c r="O194" s="39">
        <v>4200</v>
      </c>
      <c r="P194" s="39">
        <v>4200</v>
      </c>
      <c r="Q194" s="39" t="s">
        <v>1479</v>
      </c>
      <c r="R194" s="41"/>
      <c r="S194" s="56">
        <v>30000</v>
      </c>
      <c r="T194" s="56">
        <v>2000</v>
      </c>
      <c r="U194" s="78" t="s">
        <v>1473</v>
      </c>
      <c r="V194" s="58"/>
      <c r="W194" s="79"/>
      <c r="X194" s="42"/>
      <c r="Y194" s="42"/>
      <c r="Z194" s="42"/>
      <c r="AA194" s="42"/>
      <c r="AB194" s="42"/>
      <c r="AC194" s="42"/>
      <c r="AD194" s="39"/>
      <c r="AE194" s="39"/>
      <c r="AF194" s="77">
        <f t="shared" si="14"/>
        <v>28000</v>
      </c>
      <c r="AG194" s="76"/>
      <c r="AH194" s="76"/>
      <c r="AI194" s="58">
        <f t="shared" si="13"/>
        <v>2000</v>
      </c>
      <c r="AJ194" s="145">
        <f t="shared" si="15"/>
        <v>28000</v>
      </c>
      <c r="AK194" s="115"/>
    </row>
    <row r="195" spans="1:37" ht="37.5" customHeight="1" x14ac:dyDescent="0.25">
      <c r="A195" s="27"/>
      <c r="B195" s="44">
        <v>196</v>
      </c>
      <c r="C195" s="56" t="s">
        <v>1168</v>
      </c>
      <c r="D195" s="56" t="s">
        <v>1518</v>
      </c>
      <c r="E195" s="56"/>
      <c r="F195" s="56" t="s">
        <v>40</v>
      </c>
      <c r="G195" s="57"/>
      <c r="H195" s="56"/>
      <c r="I195" s="56"/>
      <c r="J195" s="58"/>
      <c r="K195" s="39"/>
      <c r="L195" s="39"/>
      <c r="M195" s="39"/>
      <c r="N195" s="41"/>
      <c r="O195" s="39">
        <v>4200</v>
      </c>
      <c r="P195" s="39">
        <v>4200</v>
      </c>
      <c r="Q195" s="39" t="s">
        <v>1519</v>
      </c>
      <c r="R195" s="41"/>
      <c r="S195" s="56">
        <v>30000</v>
      </c>
      <c r="T195" s="56">
        <v>5000</v>
      </c>
      <c r="U195" s="78" t="s">
        <v>1536</v>
      </c>
      <c r="V195" s="58"/>
      <c r="W195" s="79"/>
      <c r="X195" s="42"/>
      <c r="Y195" s="42"/>
      <c r="Z195" s="42"/>
      <c r="AA195" s="42"/>
      <c r="AB195" s="42"/>
      <c r="AC195" s="42"/>
      <c r="AD195" s="39"/>
      <c r="AE195" s="39"/>
      <c r="AF195" s="77">
        <f>S195-T195-V195-X195-Z195-AB195-AD195</f>
        <v>25000</v>
      </c>
      <c r="AG195" s="76"/>
      <c r="AH195" s="76"/>
      <c r="AI195" s="58">
        <f>+T195+V195+X195+Z195+AB195+AD195</f>
        <v>5000</v>
      </c>
      <c r="AJ195" s="145">
        <f t="shared" si="15"/>
        <v>25000</v>
      </c>
      <c r="AK195" s="179">
        <v>10000</v>
      </c>
    </row>
    <row r="196" spans="1:37" ht="37.5" customHeight="1" x14ac:dyDescent="0.25">
      <c r="A196" s="27"/>
      <c r="B196" s="44">
        <v>197</v>
      </c>
      <c r="C196" s="56" t="s">
        <v>1529</v>
      </c>
      <c r="D196" s="56" t="s">
        <v>1530</v>
      </c>
      <c r="E196" s="56"/>
      <c r="F196" s="56" t="s">
        <v>727</v>
      </c>
      <c r="G196" s="57" t="s">
        <v>1533</v>
      </c>
      <c r="H196" s="56" t="s">
        <v>274</v>
      </c>
      <c r="I196" s="56"/>
      <c r="J196" s="58"/>
      <c r="K196" s="39"/>
      <c r="L196" s="39"/>
      <c r="M196" s="39"/>
      <c r="N196" s="41"/>
      <c r="O196" s="39">
        <v>4200</v>
      </c>
      <c r="P196" s="39">
        <v>4200</v>
      </c>
      <c r="Q196" s="39" t="s">
        <v>1545</v>
      </c>
      <c r="R196" s="41"/>
      <c r="S196" s="56">
        <v>30000</v>
      </c>
      <c r="T196" s="56"/>
      <c r="U196" s="78"/>
      <c r="V196" s="58"/>
      <c r="W196" s="79"/>
      <c r="X196" s="42"/>
      <c r="Y196" s="42"/>
      <c r="Z196" s="42"/>
      <c r="AA196" s="42"/>
      <c r="AB196" s="42"/>
      <c r="AC196" s="42"/>
      <c r="AD196" s="39"/>
      <c r="AE196" s="39"/>
      <c r="AF196" s="77">
        <f>S196-T196-V196-X196-Z196-AB196-AD196</f>
        <v>30000</v>
      </c>
      <c r="AG196" s="76"/>
      <c r="AH196" s="76"/>
      <c r="AI196" s="58">
        <f>+T196+V196+X196+Z196+AB196+AD196</f>
        <v>0</v>
      </c>
      <c r="AJ196" s="145">
        <f t="shared" si="15"/>
        <v>30000</v>
      </c>
      <c r="AK196" s="115">
        <v>5000</v>
      </c>
    </row>
    <row r="197" spans="1:37" ht="32.25" customHeight="1" x14ac:dyDescent="0.25">
      <c r="A197" s="27"/>
      <c r="B197" s="44">
        <v>198</v>
      </c>
      <c r="C197" s="56" t="s">
        <v>558</v>
      </c>
      <c r="D197" s="56" t="s">
        <v>1210</v>
      </c>
      <c r="E197" s="56"/>
      <c r="F197" s="56" t="s">
        <v>39</v>
      </c>
      <c r="G197" s="57" t="s">
        <v>1534</v>
      </c>
      <c r="H197" s="56" t="s">
        <v>196</v>
      </c>
      <c r="I197" s="56"/>
      <c r="J197" s="58"/>
      <c r="K197" s="39"/>
      <c r="L197" s="39"/>
      <c r="M197" s="39"/>
      <c r="N197" s="41"/>
      <c r="O197" s="39"/>
      <c r="P197" s="39"/>
      <c r="Q197" s="39"/>
      <c r="R197" s="41"/>
      <c r="S197" s="56">
        <v>25000</v>
      </c>
      <c r="T197" s="56">
        <v>5000</v>
      </c>
      <c r="U197" s="78" t="s">
        <v>1535</v>
      </c>
      <c r="V197" s="58"/>
      <c r="W197" s="79"/>
      <c r="X197" s="42"/>
      <c r="Y197" s="42"/>
      <c r="Z197" s="42"/>
      <c r="AA197" s="42"/>
      <c r="AB197" s="42"/>
      <c r="AC197" s="42"/>
      <c r="AD197" s="39"/>
      <c r="AE197" s="39"/>
      <c r="AF197" s="77">
        <f>S197-T197-V197-X197-Z197-AB197-AD197</f>
        <v>20000</v>
      </c>
      <c r="AG197" s="76"/>
      <c r="AH197" s="76"/>
      <c r="AI197" s="58">
        <f>+T197+V197+X197+Z197+AB197+AD197</f>
        <v>5000</v>
      </c>
      <c r="AJ197" s="145">
        <f t="shared" si="15"/>
        <v>20000</v>
      </c>
      <c r="AK197" s="180">
        <v>5000</v>
      </c>
    </row>
    <row r="198" spans="1:37" ht="37.5" customHeight="1" x14ac:dyDescent="0.25">
      <c r="A198" s="27"/>
      <c r="B198" s="44">
        <v>199</v>
      </c>
      <c r="C198" s="56" t="s">
        <v>1573</v>
      </c>
      <c r="D198" s="56" t="s">
        <v>763</v>
      </c>
      <c r="E198" s="56"/>
      <c r="F198" s="56" t="s">
        <v>40</v>
      </c>
      <c r="G198" s="57" t="s">
        <v>1636</v>
      </c>
      <c r="H198" s="56" t="s">
        <v>196</v>
      </c>
      <c r="I198" s="92"/>
      <c r="J198" s="58"/>
      <c r="K198" s="39"/>
      <c r="L198" s="39"/>
      <c r="M198" s="39"/>
      <c r="N198" s="41"/>
      <c r="O198" s="39">
        <v>4200</v>
      </c>
      <c r="P198" s="39">
        <v>4200</v>
      </c>
      <c r="Q198" s="39" t="s">
        <v>1576</v>
      </c>
      <c r="R198" s="41"/>
      <c r="S198" s="56">
        <v>25000</v>
      </c>
      <c r="T198" s="56">
        <v>800</v>
      </c>
      <c r="U198" s="78" t="s">
        <v>1574</v>
      </c>
      <c r="V198" s="58"/>
      <c r="W198" s="79"/>
      <c r="X198" s="42"/>
      <c r="Y198" s="42"/>
      <c r="Z198" s="42"/>
      <c r="AA198" s="42"/>
      <c r="AB198" s="42"/>
      <c r="AC198" s="42"/>
      <c r="AD198" s="39"/>
      <c r="AE198" s="39"/>
      <c r="AF198" s="77">
        <f t="shared" si="14"/>
        <v>24200</v>
      </c>
      <c r="AG198" s="76"/>
      <c r="AH198" s="76"/>
      <c r="AI198" s="58">
        <f t="shared" si="13"/>
        <v>800</v>
      </c>
      <c r="AJ198" s="145">
        <f t="shared" si="15"/>
        <v>24200</v>
      </c>
      <c r="AK198" s="115"/>
    </row>
    <row r="199" spans="1:37" ht="37.5" customHeight="1" x14ac:dyDescent="0.25">
      <c r="A199" s="27"/>
      <c r="B199" s="44">
        <v>200</v>
      </c>
      <c r="C199" s="56" t="s">
        <v>1614</v>
      </c>
      <c r="D199" s="56" t="s">
        <v>1615</v>
      </c>
      <c r="E199" s="56"/>
      <c r="F199" s="56" t="s">
        <v>589</v>
      </c>
      <c r="G199" s="57"/>
      <c r="H199" s="56"/>
      <c r="I199" s="92"/>
      <c r="J199" s="58"/>
      <c r="K199" s="58"/>
      <c r="L199" s="58"/>
      <c r="M199" s="58"/>
      <c r="N199" s="143"/>
      <c r="O199" s="58">
        <v>4200</v>
      </c>
      <c r="P199" s="58">
        <v>4200</v>
      </c>
      <c r="Q199" s="58" t="s">
        <v>1619</v>
      </c>
      <c r="R199" s="143"/>
      <c r="S199" s="56">
        <v>30000</v>
      </c>
      <c r="T199" s="56"/>
      <c r="U199" s="127"/>
      <c r="V199" s="58"/>
      <c r="W199" s="79"/>
      <c r="X199" s="42"/>
      <c r="Y199" s="42"/>
      <c r="Z199" s="42"/>
      <c r="AA199" s="42"/>
      <c r="AB199" s="42"/>
      <c r="AC199" s="42"/>
      <c r="AD199" s="39"/>
      <c r="AE199" s="39"/>
      <c r="AF199" s="77">
        <f t="shared" si="14"/>
        <v>30000</v>
      </c>
      <c r="AG199" s="76"/>
      <c r="AH199" s="76"/>
      <c r="AI199" s="58">
        <f t="shared" si="13"/>
        <v>0</v>
      </c>
      <c r="AJ199" s="145">
        <f t="shared" si="15"/>
        <v>30000</v>
      </c>
      <c r="AK199" s="180">
        <v>5000</v>
      </c>
    </row>
    <row r="200" spans="1:37" ht="37.5" customHeight="1" x14ac:dyDescent="0.25">
      <c r="A200" s="27"/>
      <c r="B200" s="44">
        <v>201</v>
      </c>
      <c r="C200" s="56" t="s">
        <v>1620</v>
      </c>
      <c r="D200" s="56" t="s">
        <v>508</v>
      </c>
      <c r="E200" s="56"/>
      <c r="F200" s="56" t="s">
        <v>589</v>
      </c>
      <c r="G200" s="57" t="s">
        <v>1621</v>
      </c>
      <c r="H200" s="56" t="s">
        <v>1622</v>
      </c>
      <c r="I200" s="56"/>
      <c r="J200" s="58"/>
      <c r="K200" s="9"/>
      <c r="L200" s="9"/>
      <c r="M200" s="9"/>
      <c r="N200" s="11"/>
      <c r="O200" s="9">
        <v>4200</v>
      </c>
      <c r="P200" s="9">
        <v>4200</v>
      </c>
      <c r="Q200" s="9" t="s">
        <v>1624</v>
      </c>
      <c r="R200" s="11"/>
      <c r="S200" s="56">
        <v>25000</v>
      </c>
      <c r="T200" s="56">
        <v>5000</v>
      </c>
      <c r="U200" s="78" t="s">
        <v>1783</v>
      </c>
      <c r="V200" s="58"/>
      <c r="W200" s="79"/>
      <c r="X200" s="7"/>
      <c r="Y200" s="7"/>
      <c r="Z200" s="7"/>
      <c r="AA200" s="7"/>
      <c r="AB200" s="7"/>
      <c r="AC200" s="7"/>
      <c r="AD200" s="9"/>
      <c r="AE200" s="9"/>
      <c r="AF200" s="77">
        <f t="shared" si="14"/>
        <v>20000</v>
      </c>
      <c r="AG200" s="76"/>
      <c r="AH200" s="76"/>
      <c r="AI200" s="58">
        <f t="shared" si="13"/>
        <v>5000</v>
      </c>
      <c r="AJ200" s="145">
        <f t="shared" si="15"/>
        <v>20000</v>
      </c>
      <c r="AK200" s="115">
        <v>5000</v>
      </c>
    </row>
    <row r="201" spans="1:37" ht="37.5" customHeight="1" x14ac:dyDescent="0.25">
      <c r="A201" s="27"/>
      <c r="B201" s="44">
        <v>202</v>
      </c>
      <c r="C201" s="56" t="s">
        <v>1625</v>
      </c>
      <c r="D201" s="56" t="s">
        <v>1626</v>
      </c>
      <c r="E201" s="56"/>
      <c r="F201" s="56" t="s">
        <v>39</v>
      </c>
      <c r="G201" s="57"/>
      <c r="H201" s="56"/>
      <c r="I201" s="92"/>
      <c r="J201" s="58"/>
      <c r="K201" s="9"/>
      <c r="L201" s="9"/>
      <c r="M201" s="9"/>
      <c r="N201" s="11"/>
      <c r="O201" s="9">
        <v>4200</v>
      </c>
      <c r="P201" s="9">
        <v>4200</v>
      </c>
      <c r="Q201" s="9" t="s">
        <v>1627</v>
      </c>
      <c r="R201" s="11"/>
      <c r="S201" s="56">
        <v>30000</v>
      </c>
      <c r="T201" s="56">
        <v>3000</v>
      </c>
      <c r="U201" s="78" t="s">
        <v>1629</v>
      </c>
      <c r="V201" s="58"/>
      <c r="W201" s="79"/>
      <c r="X201" s="7"/>
      <c r="Y201" s="7"/>
      <c r="Z201" s="7"/>
      <c r="AA201" s="7"/>
      <c r="AB201" s="7"/>
      <c r="AC201" s="7"/>
      <c r="AD201" s="9"/>
      <c r="AE201" s="9"/>
      <c r="AF201" s="77">
        <f t="shared" si="14"/>
        <v>27000</v>
      </c>
      <c r="AG201" s="76"/>
      <c r="AH201" s="76"/>
      <c r="AI201" s="58">
        <f t="shared" si="13"/>
        <v>3000</v>
      </c>
      <c r="AJ201" s="145">
        <f t="shared" si="15"/>
        <v>27000</v>
      </c>
      <c r="AK201" s="179">
        <v>10000</v>
      </c>
    </row>
    <row r="202" spans="1:37" ht="38.25" customHeight="1" x14ac:dyDescent="0.25">
      <c r="A202" s="27">
        <v>206</v>
      </c>
      <c r="B202" s="44">
        <v>203</v>
      </c>
      <c r="C202" s="56" t="s">
        <v>1631</v>
      </c>
      <c r="D202" s="56" t="s">
        <v>1632</v>
      </c>
      <c r="E202" s="56"/>
      <c r="F202" s="56" t="s">
        <v>39</v>
      </c>
      <c r="G202" s="57" t="s">
        <v>1634</v>
      </c>
      <c r="H202" s="56" t="s">
        <v>1022</v>
      </c>
      <c r="I202" s="92"/>
      <c r="J202" s="58"/>
      <c r="K202" s="9"/>
      <c r="L202" s="9"/>
      <c r="M202" s="9"/>
      <c r="N202" s="11"/>
      <c r="O202" s="9">
        <v>4200</v>
      </c>
      <c r="P202" s="9">
        <v>4200</v>
      </c>
      <c r="Q202" s="9" t="s">
        <v>1643</v>
      </c>
      <c r="R202" s="11"/>
      <c r="S202" s="56">
        <v>30000</v>
      </c>
      <c r="T202" s="56">
        <v>10000</v>
      </c>
      <c r="U202" s="78" t="s">
        <v>1633</v>
      </c>
      <c r="V202" s="7"/>
      <c r="W202" s="7"/>
      <c r="X202" s="7"/>
      <c r="Y202" s="7"/>
      <c r="Z202" s="7"/>
      <c r="AA202" s="7"/>
      <c r="AB202" s="7"/>
      <c r="AC202" s="7"/>
      <c r="AD202" s="9"/>
      <c r="AE202" s="9"/>
      <c r="AF202" s="77">
        <f t="shared" si="14"/>
        <v>20000</v>
      </c>
      <c r="AG202" s="76"/>
      <c r="AH202" s="76"/>
      <c r="AI202" s="58">
        <f t="shared" si="13"/>
        <v>10000</v>
      </c>
      <c r="AJ202" s="145">
        <f t="shared" si="15"/>
        <v>20000</v>
      </c>
      <c r="AK202" s="115">
        <v>10000</v>
      </c>
    </row>
    <row r="203" spans="1:37" ht="37.5" customHeight="1" x14ac:dyDescent="0.25">
      <c r="A203" s="27"/>
      <c r="B203" s="44">
        <v>204</v>
      </c>
      <c r="C203" s="56" t="s">
        <v>1640</v>
      </c>
      <c r="D203" s="56" t="s">
        <v>763</v>
      </c>
      <c r="E203" s="56"/>
      <c r="F203" s="56" t="s">
        <v>39</v>
      </c>
      <c r="G203" s="57"/>
      <c r="H203" s="56"/>
      <c r="I203" s="56"/>
      <c r="J203" s="58"/>
      <c r="K203" s="9"/>
      <c r="L203" s="9"/>
      <c r="M203" s="9"/>
      <c r="N203" s="11"/>
      <c r="O203" s="9">
        <v>4200</v>
      </c>
      <c r="P203" s="9">
        <v>4200</v>
      </c>
      <c r="Q203" s="9" t="s">
        <v>1641</v>
      </c>
      <c r="R203" s="11"/>
      <c r="S203" s="56"/>
      <c r="T203" s="56"/>
      <c r="U203" s="78"/>
      <c r="V203" s="58"/>
      <c r="W203" s="79"/>
      <c r="X203" s="7"/>
      <c r="Y203" s="7"/>
      <c r="Z203" s="7"/>
      <c r="AA203" s="7"/>
      <c r="AB203" s="7"/>
      <c r="AC203" s="7"/>
      <c r="AD203" s="9"/>
      <c r="AE203" s="9"/>
      <c r="AF203" s="77">
        <f t="shared" si="14"/>
        <v>0</v>
      </c>
      <c r="AG203" s="76"/>
      <c r="AH203" s="76"/>
      <c r="AI203" s="58">
        <f t="shared" si="13"/>
        <v>0</v>
      </c>
      <c r="AJ203" s="145">
        <f t="shared" si="15"/>
        <v>0</v>
      </c>
      <c r="AK203" s="115">
        <v>5000</v>
      </c>
    </row>
    <row r="204" spans="1:37" ht="33" customHeight="1" x14ac:dyDescent="0.25">
      <c r="A204" s="27"/>
      <c r="B204" s="44">
        <v>205</v>
      </c>
      <c r="C204" s="107" t="s">
        <v>1645</v>
      </c>
      <c r="D204" s="56" t="s">
        <v>1646</v>
      </c>
      <c r="E204" s="56"/>
      <c r="F204" s="56" t="s">
        <v>39</v>
      </c>
      <c r="G204" s="57" t="s">
        <v>1647</v>
      </c>
      <c r="H204" s="56" t="s">
        <v>612</v>
      </c>
      <c r="I204" s="56"/>
      <c r="J204" s="58"/>
      <c r="K204" s="9"/>
      <c r="L204" s="9"/>
      <c r="M204" s="9"/>
      <c r="N204" s="11"/>
      <c r="O204" s="9">
        <v>4200</v>
      </c>
      <c r="P204" s="9">
        <v>4200</v>
      </c>
      <c r="Q204" s="9"/>
      <c r="R204" s="11"/>
      <c r="S204" s="56">
        <v>30000</v>
      </c>
      <c r="T204" s="56">
        <v>3800</v>
      </c>
      <c r="U204" s="78"/>
      <c r="V204" s="58"/>
      <c r="W204" s="79"/>
      <c r="X204" s="7"/>
      <c r="Y204" s="7"/>
      <c r="Z204" s="7"/>
      <c r="AA204" s="7"/>
      <c r="AB204" s="7"/>
      <c r="AC204" s="7"/>
      <c r="AD204" s="9"/>
      <c r="AE204" s="9"/>
      <c r="AF204" s="77">
        <f>S204-T204-V204-X204-Z204-AB204-AD204</f>
        <v>26200</v>
      </c>
      <c r="AG204" s="76"/>
      <c r="AH204" s="76"/>
      <c r="AI204" s="58">
        <f>+T204+V204+X204+Z204+AB204+AD204</f>
        <v>3800</v>
      </c>
      <c r="AJ204" s="145">
        <f t="shared" si="15"/>
        <v>26200</v>
      </c>
      <c r="AK204" s="180">
        <v>5000</v>
      </c>
    </row>
    <row r="205" spans="1:37" ht="37.5" customHeight="1" x14ac:dyDescent="0.25">
      <c r="A205" s="27"/>
      <c r="B205" s="44">
        <v>206</v>
      </c>
      <c r="C205" s="56" t="s">
        <v>1413</v>
      </c>
      <c r="D205" s="56" t="s">
        <v>1809</v>
      </c>
      <c r="E205" s="56"/>
      <c r="F205" s="56"/>
      <c r="G205" s="57"/>
      <c r="H205" s="56"/>
      <c r="I205" s="56"/>
      <c r="J205" s="58"/>
      <c r="K205" s="9"/>
      <c r="L205" s="9"/>
      <c r="M205" s="9"/>
      <c r="N205" s="11"/>
      <c r="O205" s="9"/>
      <c r="P205" s="9"/>
      <c r="Q205" s="9"/>
      <c r="R205" s="11"/>
      <c r="S205" s="56">
        <v>20000</v>
      </c>
      <c r="T205" s="56">
        <v>5000</v>
      </c>
      <c r="U205" s="78" t="s">
        <v>1810</v>
      </c>
      <c r="V205" s="58"/>
      <c r="W205" s="79"/>
      <c r="X205" s="9"/>
      <c r="Y205" s="7"/>
      <c r="Z205" s="9"/>
      <c r="AA205" s="7"/>
      <c r="AB205" s="9"/>
      <c r="AC205" s="7"/>
      <c r="AD205" s="9"/>
      <c r="AE205" s="9"/>
      <c r="AF205" s="77">
        <f>S205-T205-V205-X205-Z205-AB205-AD205</f>
        <v>15000</v>
      </c>
      <c r="AG205" s="76"/>
      <c r="AH205" s="76"/>
      <c r="AI205" s="58">
        <f>+T205+V205+X205+Z205+AB205+AD205</f>
        <v>5000</v>
      </c>
      <c r="AJ205" s="145">
        <f t="shared" si="15"/>
        <v>15000</v>
      </c>
      <c r="AK205" s="115"/>
    </row>
    <row r="206" spans="1:37" ht="37.5" customHeight="1" x14ac:dyDescent="0.25">
      <c r="A206" s="27"/>
      <c r="B206" s="44">
        <v>207</v>
      </c>
      <c r="C206" s="56"/>
      <c r="D206" s="56"/>
      <c r="E206" s="56"/>
      <c r="F206" s="56"/>
      <c r="G206" s="57"/>
      <c r="H206" s="56"/>
      <c r="I206" s="92"/>
      <c r="J206" s="58"/>
      <c r="K206" s="58"/>
      <c r="L206" s="58"/>
      <c r="M206" s="58"/>
      <c r="N206" s="143"/>
      <c r="O206" s="58"/>
      <c r="P206" s="58"/>
      <c r="Q206" s="58"/>
      <c r="R206" s="143"/>
      <c r="S206" s="56"/>
      <c r="T206" s="56"/>
      <c r="U206" s="78"/>
      <c r="V206" s="79"/>
      <c r="W206" s="79"/>
      <c r="X206" s="7"/>
      <c r="Y206" s="13"/>
      <c r="Z206" s="7"/>
      <c r="AA206" s="7"/>
      <c r="AB206" s="7"/>
      <c r="AC206" s="7"/>
      <c r="AD206" s="9"/>
      <c r="AE206" s="9"/>
      <c r="AF206" s="77">
        <f t="shared" si="14"/>
        <v>0</v>
      </c>
      <c r="AG206" s="76"/>
      <c r="AH206" s="76"/>
      <c r="AI206" s="58">
        <f t="shared" si="13"/>
        <v>0</v>
      </c>
      <c r="AJ206" s="145">
        <f t="shared" si="15"/>
        <v>0</v>
      </c>
      <c r="AK206" s="179">
        <v>10000</v>
      </c>
    </row>
    <row r="207" spans="1:37" ht="37.5" customHeight="1" x14ac:dyDescent="0.25">
      <c r="A207" s="27"/>
      <c r="B207" s="44">
        <v>208</v>
      </c>
      <c r="C207" s="56"/>
      <c r="D207" s="56"/>
      <c r="E207" s="56"/>
      <c r="F207" s="56"/>
      <c r="G207" s="57"/>
      <c r="H207" s="56"/>
      <c r="I207" s="92"/>
      <c r="J207" s="58"/>
      <c r="K207" s="58"/>
      <c r="L207" s="58"/>
      <c r="M207" s="58"/>
      <c r="N207" s="143"/>
      <c r="O207" s="58"/>
      <c r="P207" s="58"/>
      <c r="Q207" s="58"/>
      <c r="R207" s="143"/>
      <c r="S207" s="56"/>
      <c r="T207" s="56"/>
      <c r="U207" s="78"/>
      <c r="V207" s="58"/>
      <c r="W207" s="79"/>
      <c r="X207" s="7"/>
      <c r="Y207" s="7"/>
      <c r="Z207" s="7"/>
      <c r="AA207" s="13"/>
      <c r="AB207" s="7"/>
      <c r="AC207" s="7"/>
      <c r="AD207" s="9"/>
      <c r="AE207" s="9"/>
      <c r="AF207" s="77">
        <f t="shared" si="14"/>
        <v>0</v>
      </c>
      <c r="AG207" s="76"/>
      <c r="AH207" s="76"/>
      <c r="AI207" s="58">
        <f t="shared" si="13"/>
        <v>0</v>
      </c>
      <c r="AJ207" s="145">
        <f t="shared" si="15"/>
        <v>0</v>
      </c>
      <c r="AK207" s="115">
        <v>5000</v>
      </c>
    </row>
    <row r="208" spans="1:37" ht="37.5" customHeight="1" x14ac:dyDescent="0.25">
      <c r="A208" s="27"/>
      <c r="B208" s="44">
        <v>209</v>
      </c>
      <c r="C208" s="56"/>
      <c r="D208" s="56"/>
      <c r="E208" s="56"/>
      <c r="F208" s="56"/>
      <c r="G208" s="57"/>
      <c r="H208" s="56"/>
      <c r="I208" s="92"/>
      <c r="J208" s="58"/>
      <c r="K208" s="58"/>
      <c r="L208" s="58"/>
      <c r="M208" s="58"/>
      <c r="N208" s="143"/>
      <c r="O208" s="58"/>
      <c r="P208" s="58"/>
      <c r="Q208" s="58"/>
      <c r="R208" s="143"/>
      <c r="S208" s="56"/>
      <c r="T208" s="56"/>
      <c r="U208" s="78"/>
      <c r="V208" s="79"/>
      <c r="W208" s="79"/>
      <c r="X208" s="7"/>
      <c r="Y208" s="7"/>
      <c r="Z208" s="7"/>
      <c r="AA208" s="7"/>
      <c r="AB208" s="7"/>
      <c r="AC208" s="7"/>
      <c r="AD208" s="9"/>
      <c r="AE208" s="9"/>
      <c r="AF208" s="77">
        <f t="shared" si="14"/>
        <v>0</v>
      </c>
      <c r="AG208" s="76"/>
      <c r="AH208" s="76"/>
      <c r="AI208" s="58">
        <f t="shared" si="13"/>
        <v>0</v>
      </c>
      <c r="AJ208" s="145">
        <f t="shared" si="15"/>
        <v>0</v>
      </c>
      <c r="AK208" s="115">
        <v>5000</v>
      </c>
    </row>
    <row r="209" spans="1:49" ht="36.75" customHeight="1" x14ac:dyDescent="0.25">
      <c r="A209" s="27"/>
      <c r="B209" s="44">
        <v>210</v>
      </c>
      <c r="C209" s="56"/>
      <c r="D209" s="56"/>
      <c r="E209" s="56"/>
      <c r="F209" s="56"/>
      <c r="G209" s="57"/>
      <c r="H209" s="56"/>
      <c r="I209" s="92"/>
      <c r="J209" s="58"/>
      <c r="K209" s="58"/>
      <c r="L209" s="58"/>
      <c r="M209" s="58"/>
      <c r="N209" s="143"/>
      <c r="O209" s="58"/>
      <c r="P209" s="58"/>
      <c r="Q209" s="58"/>
      <c r="R209" s="143"/>
      <c r="S209" s="56"/>
      <c r="T209" s="56"/>
      <c r="U209" s="78"/>
      <c r="V209" s="58"/>
      <c r="W209" s="79"/>
      <c r="X209" s="7"/>
      <c r="Y209" s="7"/>
      <c r="Z209" s="7"/>
      <c r="AA209" s="7"/>
      <c r="AB209" s="7"/>
      <c r="AC209" s="7"/>
      <c r="AD209" s="9"/>
      <c r="AE209" s="9"/>
      <c r="AF209" s="77">
        <f t="shared" si="14"/>
        <v>0</v>
      </c>
      <c r="AG209" s="76"/>
      <c r="AH209" s="76"/>
      <c r="AI209" s="58">
        <f t="shared" si="13"/>
        <v>0</v>
      </c>
      <c r="AJ209" s="145">
        <f t="shared" si="15"/>
        <v>0</v>
      </c>
      <c r="AK209" s="180">
        <v>5000</v>
      </c>
    </row>
    <row r="210" spans="1:49" ht="43.5" customHeight="1" x14ac:dyDescent="0.25">
      <c r="A210" s="27"/>
      <c r="B210" s="44">
        <v>211</v>
      </c>
      <c r="C210" s="56"/>
      <c r="D210" s="56"/>
      <c r="E210" s="56"/>
      <c r="F210" s="56"/>
      <c r="G210" s="57"/>
      <c r="H210" s="56"/>
      <c r="I210" s="56"/>
      <c r="J210" s="58"/>
      <c r="K210" s="58"/>
      <c r="L210" s="58"/>
      <c r="M210" s="58"/>
      <c r="N210" s="143"/>
      <c r="O210" s="58"/>
      <c r="P210" s="58"/>
      <c r="Q210" s="58"/>
      <c r="R210" s="143"/>
      <c r="S210" s="56"/>
      <c r="T210" s="56"/>
      <c r="U210" s="78"/>
      <c r="V210" s="58"/>
      <c r="W210" s="58"/>
      <c r="X210" s="7"/>
      <c r="Y210" s="7"/>
      <c r="Z210" s="7"/>
      <c r="AA210" s="7"/>
      <c r="AB210" s="7"/>
      <c r="AC210" s="7"/>
      <c r="AD210" s="9"/>
      <c r="AE210" s="9"/>
      <c r="AF210" s="77">
        <f t="shared" si="14"/>
        <v>0</v>
      </c>
      <c r="AG210" s="76"/>
      <c r="AH210" s="76"/>
      <c r="AI210" s="58">
        <f t="shared" si="13"/>
        <v>0</v>
      </c>
      <c r="AJ210" s="145">
        <f t="shared" si="15"/>
        <v>0</v>
      </c>
      <c r="AK210" s="180">
        <v>5000</v>
      </c>
    </row>
    <row r="211" spans="1:49" ht="37.5" customHeight="1" x14ac:dyDescent="0.25">
      <c r="A211" s="27"/>
      <c r="B211" s="44">
        <v>212</v>
      </c>
      <c r="C211" s="56"/>
      <c r="D211" s="56"/>
      <c r="E211" s="56"/>
      <c r="F211" s="56"/>
      <c r="G211" s="57"/>
      <c r="H211" s="56"/>
      <c r="I211" s="56"/>
      <c r="J211" s="58"/>
      <c r="K211" s="58"/>
      <c r="L211" s="58"/>
      <c r="M211" s="58"/>
      <c r="N211" s="143"/>
      <c r="O211" s="58"/>
      <c r="P211" s="58"/>
      <c r="Q211" s="58"/>
      <c r="R211" s="143"/>
      <c r="S211" s="56"/>
      <c r="T211" s="56"/>
      <c r="U211" s="78"/>
      <c r="V211" s="58"/>
      <c r="W211" s="79"/>
      <c r="X211" s="7"/>
      <c r="Y211" s="7"/>
      <c r="Z211" s="7"/>
      <c r="AA211" s="7"/>
      <c r="AB211" s="7"/>
      <c r="AC211" s="7"/>
      <c r="AD211" s="9"/>
      <c r="AE211" s="9"/>
      <c r="AF211" s="77">
        <f t="shared" si="14"/>
        <v>0</v>
      </c>
      <c r="AG211" s="76"/>
      <c r="AH211" s="76"/>
      <c r="AI211" s="58">
        <f t="shared" si="13"/>
        <v>0</v>
      </c>
      <c r="AJ211" s="145">
        <f t="shared" si="15"/>
        <v>0</v>
      </c>
      <c r="AK211" s="180">
        <v>5000</v>
      </c>
    </row>
    <row r="212" spans="1:49" ht="37.5" customHeight="1" x14ac:dyDescent="0.25">
      <c r="A212" s="27"/>
      <c r="B212" s="44">
        <v>213</v>
      </c>
      <c r="C212" s="56"/>
      <c r="D212" s="56"/>
      <c r="E212" s="56"/>
      <c r="F212" s="56"/>
      <c r="G212" s="57"/>
      <c r="H212" s="56"/>
      <c r="I212" s="92"/>
      <c r="J212" s="58"/>
      <c r="K212" s="58"/>
      <c r="L212" s="58"/>
      <c r="M212" s="58"/>
      <c r="N212" s="143"/>
      <c r="O212" s="58"/>
      <c r="P212" s="58"/>
      <c r="Q212" s="58"/>
      <c r="R212" s="143"/>
      <c r="S212" s="56"/>
      <c r="T212" s="56"/>
      <c r="U212" s="78"/>
      <c r="V212" s="58"/>
      <c r="W212" s="112"/>
      <c r="X212" s="9"/>
      <c r="Y212" s="7"/>
      <c r="Z212" s="9"/>
      <c r="AA212" s="7"/>
      <c r="AB212" s="9"/>
      <c r="AC212" s="7"/>
      <c r="AD212" s="9"/>
      <c r="AE212" s="9"/>
      <c r="AF212" s="77">
        <f t="shared" si="14"/>
        <v>0</v>
      </c>
      <c r="AG212" s="76"/>
      <c r="AH212" s="76"/>
      <c r="AI212" s="58">
        <f t="shared" si="13"/>
        <v>0</v>
      </c>
      <c r="AJ212" s="145">
        <f t="shared" si="15"/>
        <v>0</v>
      </c>
      <c r="AK212" s="115"/>
    </row>
    <row r="213" spans="1:49" ht="37.5" customHeight="1" x14ac:dyDescent="0.25">
      <c r="A213" s="27"/>
      <c r="B213" s="44">
        <v>214</v>
      </c>
      <c r="C213" s="56"/>
      <c r="D213" s="56"/>
      <c r="E213" s="56"/>
      <c r="F213" s="56"/>
      <c r="G213" s="57"/>
      <c r="H213" s="56"/>
      <c r="I213" s="92"/>
      <c r="J213" s="58"/>
      <c r="K213" s="58"/>
      <c r="L213" s="58"/>
      <c r="M213" s="58"/>
      <c r="N213" s="143"/>
      <c r="O213" s="58"/>
      <c r="P213" s="58"/>
      <c r="Q213" s="58"/>
      <c r="R213" s="143"/>
      <c r="S213" s="56"/>
      <c r="T213" s="56"/>
      <c r="U213" s="78"/>
      <c r="V213" s="58"/>
      <c r="W213" s="79"/>
      <c r="X213" s="7"/>
      <c r="Y213" s="13"/>
      <c r="Z213" s="7"/>
      <c r="AA213" s="7"/>
      <c r="AB213" s="7"/>
      <c r="AC213" s="7"/>
      <c r="AD213" s="9"/>
      <c r="AE213" s="9"/>
      <c r="AF213" s="77">
        <f t="shared" si="14"/>
        <v>0</v>
      </c>
      <c r="AG213" s="76"/>
      <c r="AH213" s="76"/>
      <c r="AI213" s="58">
        <f t="shared" si="13"/>
        <v>0</v>
      </c>
      <c r="AJ213" s="145">
        <f t="shared" si="15"/>
        <v>0</v>
      </c>
      <c r="AK213" s="180">
        <v>5000</v>
      </c>
    </row>
    <row r="214" spans="1:49" ht="37.5" customHeight="1" x14ac:dyDescent="0.25">
      <c r="A214" s="27"/>
      <c r="B214" s="44">
        <v>215</v>
      </c>
      <c r="C214" s="56"/>
      <c r="D214" s="56"/>
      <c r="E214" s="56"/>
      <c r="F214" s="56"/>
      <c r="G214" s="57"/>
      <c r="H214" s="56"/>
      <c r="I214" s="56"/>
      <c r="J214" s="58"/>
      <c r="K214" s="58"/>
      <c r="L214" s="58"/>
      <c r="M214" s="58"/>
      <c r="N214" s="143"/>
      <c r="O214" s="58"/>
      <c r="P214" s="58"/>
      <c r="Q214" s="58"/>
      <c r="R214" s="143"/>
      <c r="S214" s="56"/>
      <c r="T214" s="56"/>
      <c r="U214" s="78"/>
      <c r="V214" s="58"/>
      <c r="W214" s="79"/>
      <c r="X214" s="7"/>
      <c r="Y214" s="7"/>
      <c r="Z214" s="7"/>
      <c r="AA214" s="7"/>
      <c r="AB214" s="7"/>
      <c r="AC214" s="7"/>
      <c r="AD214" s="9"/>
      <c r="AE214" s="9"/>
      <c r="AF214" s="77">
        <f t="shared" si="14"/>
        <v>0</v>
      </c>
      <c r="AG214" s="76"/>
      <c r="AH214" s="76"/>
      <c r="AI214" s="58">
        <f t="shared" si="13"/>
        <v>0</v>
      </c>
      <c r="AJ214" s="145">
        <f t="shared" si="15"/>
        <v>0</v>
      </c>
      <c r="AK214" s="179">
        <v>5000</v>
      </c>
    </row>
    <row r="215" spans="1:49" ht="37.5" customHeight="1" x14ac:dyDescent="0.25">
      <c r="A215" s="27"/>
      <c r="B215" s="44">
        <v>216</v>
      </c>
      <c r="C215" s="56"/>
      <c r="D215" s="56"/>
      <c r="E215" s="56"/>
      <c r="F215" s="56"/>
      <c r="G215" s="57"/>
      <c r="H215" s="56"/>
      <c r="I215" s="56"/>
      <c r="J215" s="58"/>
      <c r="K215" s="58"/>
      <c r="L215" s="58"/>
      <c r="M215" s="58"/>
      <c r="N215" s="143"/>
      <c r="O215" s="58"/>
      <c r="P215" s="58"/>
      <c r="Q215" s="58"/>
      <c r="R215" s="143"/>
      <c r="S215" s="56"/>
      <c r="T215" s="56"/>
      <c r="U215" s="78"/>
      <c r="V215" s="58"/>
      <c r="W215" s="79"/>
      <c r="X215" s="9"/>
      <c r="Y215" s="7"/>
      <c r="Z215" s="9"/>
      <c r="AA215" s="7"/>
      <c r="AB215" s="9"/>
      <c r="AC215" s="7"/>
      <c r="AD215" s="9"/>
      <c r="AE215" s="9"/>
      <c r="AF215" s="5">
        <f t="shared" si="14"/>
        <v>0</v>
      </c>
      <c r="AG215" s="4"/>
      <c r="AH215" s="4"/>
      <c r="AI215" s="39">
        <f t="shared" si="13"/>
        <v>0</v>
      </c>
      <c r="AJ215" s="145">
        <f t="shared" si="15"/>
        <v>0</v>
      </c>
      <c r="AK215" s="115">
        <v>5000</v>
      </c>
    </row>
    <row r="216" spans="1:49" ht="37.5" customHeight="1" x14ac:dyDescent="0.25">
      <c r="A216" s="27"/>
      <c r="B216" s="44">
        <v>217</v>
      </c>
      <c r="C216" s="56"/>
      <c r="D216" s="56"/>
      <c r="E216" s="56"/>
      <c r="F216" s="56"/>
      <c r="G216" s="57"/>
      <c r="H216" s="56"/>
      <c r="I216" s="56"/>
      <c r="J216" s="58"/>
      <c r="K216" s="58"/>
      <c r="L216" s="58"/>
      <c r="M216" s="58"/>
      <c r="N216" s="143"/>
      <c r="O216" s="58"/>
      <c r="P216" s="58"/>
      <c r="Q216" s="58"/>
      <c r="R216" s="143"/>
      <c r="S216" s="56"/>
      <c r="T216" s="56"/>
      <c r="U216" s="56"/>
      <c r="V216" s="58"/>
      <c r="W216" s="79"/>
      <c r="X216" s="7"/>
      <c r="Y216" s="7"/>
      <c r="Z216" s="7"/>
      <c r="AA216" s="7"/>
      <c r="AB216" s="7"/>
      <c r="AC216" s="7"/>
      <c r="AD216" s="9"/>
      <c r="AE216" s="9"/>
      <c r="AF216" s="5">
        <f>S216-T216-V216-X216-Z216-AB216</f>
        <v>0</v>
      </c>
      <c r="AG216" s="4"/>
      <c r="AH216" s="4"/>
      <c r="AI216" s="39">
        <f t="shared" si="13"/>
        <v>0</v>
      </c>
      <c r="AJ216" s="145">
        <f t="shared" si="15"/>
        <v>0</v>
      </c>
      <c r="AK216" s="179">
        <v>8000</v>
      </c>
    </row>
    <row r="217" spans="1:49" ht="37.5" customHeight="1" x14ac:dyDescent="0.25">
      <c r="A217" s="27"/>
      <c r="B217" s="44">
        <v>218</v>
      </c>
      <c r="C217" s="56"/>
      <c r="D217" s="56"/>
      <c r="E217" s="56"/>
      <c r="F217" s="56"/>
      <c r="G217" s="57"/>
      <c r="H217" s="56"/>
      <c r="I217" s="56"/>
      <c r="J217" s="58"/>
      <c r="K217" s="58"/>
      <c r="L217" s="58"/>
      <c r="M217" s="58"/>
      <c r="N217" s="143"/>
      <c r="O217" s="58"/>
      <c r="P217" s="58"/>
      <c r="Q217" s="58"/>
      <c r="R217" s="143"/>
      <c r="S217" s="56"/>
      <c r="T217" s="56"/>
      <c r="U217" s="78"/>
      <c r="V217" s="58"/>
      <c r="W217" s="79"/>
      <c r="X217" s="7"/>
      <c r="Y217" s="7"/>
      <c r="Z217" s="7"/>
      <c r="AA217" s="7"/>
      <c r="AB217" s="7"/>
      <c r="AC217" s="7"/>
      <c r="AD217" s="9"/>
      <c r="AE217" s="9"/>
      <c r="AF217" s="5">
        <f>S217-T217-V217-X217-Z217-AB217-AD217</f>
        <v>0</v>
      </c>
      <c r="AG217" s="4"/>
      <c r="AH217" s="4"/>
      <c r="AI217" s="39">
        <f>+T217+V217+X217+Z217+AB217+AD217</f>
        <v>0</v>
      </c>
      <c r="AJ217" s="145">
        <f t="shared" si="15"/>
        <v>0</v>
      </c>
      <c r="AK217" s="115">
        <v>5000</v>
      </c>
    </row>
    <row r="218" spans="1:49" ht="37.5" customHeight="1" x14ac:dyDescent="0.25">
      <c r="A218" s="27"/>
      <c r="B218" s="44">
        <v>219</v>
      </c>
      <c r="C218" s="56"/>
      <c r="D218" s="56"/>
      <c r="E218" s="56"/>
      <c r="F218" s="56"/>
      <c r="G218" s="57"/>
      <c r="H218" s="56"/>
      <c r="I218" s="56"/>
      <c r="J218" s="58"/>
      <c r="K218" s="58"/>
      <c r="L218" s="58"/>
      <c r="M218" s="58"/>
      <c r="N218" s="143"/>
      <c r="O218" s="58"/>
      <c r="P218" s="58"/>
      <c r="Q218" s="58"/>
      <c r="R218" s="143"/>
      <c r="S218" s="56"/>
      <c r="T218" s="56"/>
      <c r="U218" s="78"/>
      <c r="V218" s="58"/>
      <c r="W218" s="79"/>
      <c r="X218" s="7"/>
      <c r="Y218" s="7"/>
      <c r="Z218" s="7"/>
      <c r="AA218" s="7"/>
      <c r="AB218" s="7"/>
      <c r="AC218" s="7"/>
      <c r="AD218" s="9"/>
      <c r="AE218" s="9"/>
      <c r="AF218" s="77">
        <f t="shared" si="14"/>
        <v>0</v>
      </c>
      <c r="AG218" s="4"/>
      <c r="AH218" s="4"/>
      <c r="AI218" s="39">
        <f t="shared" ref="AI218:AI236" si="16">+T218+V218+X218+Z218+AB218</f>
        <v>0</v>
      </c>
      <c r="AJ218" s="145">
        <f t="shared" si="15"/>
        <v>0</v>
      </c>
      <c r="AK218" s="115">
        <v>5000</v>
      </c>
    </row>
    <row r="219" spans="1:49" ht="37.5" customHeight="1" x14ac:dyDescent="0.25">
      <c r="A219" s="27"/>
      <c r="B219" s="44">
        <v>222</v>
      </c>
      <c r="C219" s="56"/>
      <c r="D219" s="56"/>
      <c r="E219" s="56"/>
      <c r="F219" s="56"/>
      <c r="G219" s="57"/>
      <c r="H219" s="56"/>
      <c r="I219" s="56"/>
      <c r="J219" s="58"/>
      <c r="K219" s="58"/>
      <c r="L219" s="58"/>
      <c r="M219" s="58"/>
      <c r="N219" s="143"/>
      <c r="O219" s="58"/>
      <c r="P219" s="58"/>
      <c r="Q219" s="58"/>
      <c r="R219" s="143"/>
      <c r="S219" s="56"/>
      <c r="T219" s="56"/>
      <c r="U219" s="78"/>
      <c r="V219" s="58"/>
      <c r="W219" s="79"/>
      <c r="X219" s="7"/>
      <c r="Y219" s="7"/>
      <c r="Z219" s="7"/>
      <c r="AA219" s="7"/>
      <c r="AB219" s="7"/>
      <c r="AC219" s="7"/>
      <c r="AD219" s="9"/>
      <c r="AE219" s="9"/>
      <c r="AF219" s="77">
        <f t="shared" si="14"/>
        <v>0</v>
      </c>
      <c r="AG219" s="4"/>
      <c r="AH219" s="4"/>
      <c r="AI219" s="39">
        <f t="shared" si="16"/>
        <v>0</v>
      </c>
      <c r="AJ219" s="145">
        <f t="shared" si="15"/>
        <v>0</v>
      </c>
      <c r="AK219" s="115">
        <v>5000</v>
      </c>
    </row>
    <row r="220" spans="1:49" ht="37.5" customHeight="1" x14ac:dyDescent="0.25">
      <c r="A220" s="27"/>
      <c r="B220" s="44">
        <v>223</v>
      </c>
      <c r="C220" s="56"/>
      <c r="D220" s="56"/>
      <c r="E220" s="56"/>
      <c r="F220" s="56"/>
      <c r="G220" s="57"/>
      <c r="H220" s="56"/>
      <c r="I220" s="56"/>
      <c r="J220" s="58"/>
      <c r="K220" s="58"/>
      <c r="L220" s="58"/>
      <c r="M220" s="58"/>
      <c r="N220" s="143"/>
      <c r="O220" s="58"/>
      <c r="P220" s="58"/>
      <c r="Q220" s="58"/>
      <c r="R220" s="143"/>
      <c r="S220" s="56"/>
      <c r="T220" s="56"/>
      <c r="U220" s="78"/>
      <c r="V220" s="79"/>
      <c r="W220" s="79"/>
      <c r="X220" s="7"/>
      <c r="Y220" s="13"/>
      <c r="Z220" s="7"/>
      <c r="AA220" s="13"/>
      <c r="AB220" s="7"/>
      <c r="AC220" s="7"/>
      <c r="AD220" s="9"/>
      <c r="AE220" s="9"/>
      <c r="AF220" s="77">
        <f t="shared" si="14"/>
        <v>0</v>
      </c>
      <c r="AG220" s="4"/>
      <c r="AH220" s="4"/>
      <c r="AI220" s="39">
        <f t="shared" si="16"/>
        <v>0</v>
      </c>
      <c r="AJ220" s="145">
        <f t="shared" si="15"/>
        <v>0</v>
      </c>
      <c r="AK220" s="180">
        <v>5000</v>
      </c>
    </row>
    <row r="221" spans="1:49" x14ac:dyDescent="0.25">
      <c r="A221" s="27"/>
      <c r="B221" s="44">
        <v>224</v>
      </c>
      <c r="C221" s="56"/>
      <c r="D221" s="56"/>
      <c r="E221" s="56"/>
      <c r="F221" s="56"/>
      <c r="G221" s="57"/>
      <c r="H221" s="56"/>
      <c r="I221" s="14"/>
      <c r="J221" s="9"/>
      <c r="K221" s="9"/>
      <c r="L221" s="9"/>
      <c r="M221" s="9"/>
      <c r="N221" s="11"/>
      <c r="O221" s="9"/>
      <c r="P221" s="9"/>
      <c r="Q221" s="9"/>
      <c r="R221" s="11"/>
      <c r="S221" s="56"/>
      <c r="T221" s="56"/>
      <c r="U221" s="78"/>
      <c r="V221" s="42"/>
      <c r="W221" s="42"/>
      <c r="X221" s="7"/>
      <c r="Y221" s="7"/>
      <c r="Z221" s="7"/>
      <c r="AA221" s="7"/>
      <c r="AB221" s="7"/>
      <c r="AC221" s="7"/>
      <c r="AD221" s="9"/>
      <c r="AE221" s="9"/>
      <c r="AF221" s="77">
        <f t="shared" si="14"/>
        <v>0</v>
      </c>
      <c r="AG221" s="4"/>
      <c r="AH221" s="4"/>
      <c r="AI221" s="39">
        <f t="shared" si="16"/>
        <v>0</v>
      </c>
      <c r="AJ221" s="145">
        <f t="shared" si="15"/>
        <v>0</v>
      </c>
      <c r="AK221" s="180">
        <v>10000</v>
      </c>
    </row>
    <row r="222" spans="1:49" ht="37.5" customHeight="1" x14ac:dyDescent="0.25">
      <c r="A222" s="27"/>
      <c r="B222" s="44">
        <v>225</v>
      </c>
      <c r="C222" s="56"/>
      <c r="D222" s="56"/>
      <c r="E222" s="56"/>
      <c r="F222" s="56"/>
      <c r="G222" s="57"/>
      <c r="H222" s="56"/>
      <c r="I222" s="14"/>
      <c r="J222" s="9"/>
      <c r="K222" s="9"/>
      <c r="L222" s="9"/>
      <c r="M222" s="9"/>
      <c r="N222" s="11"/>
      <c r="O222" s="9"/>
      <c r="P222" s="9"/>
      <c r="Q222" s="9"/>
      <c r="R222" s="11"/>
      <c r="S222" s="56"/>
      <c r="T222" s="56"/>
      <c r="U222" s="78"/>
      <c r="V222" s="58"/>
      <c r="W222" s="79"/>
      <c r="X222" s="7"/>
      <c r="Y222" s="7"/>
      <c r="Z222" s="7"/>
      <c r="AA222" s="7"/>
      <c r="AB222" s="7"/>
      <c r="AC222" s="7"/>
      <c r="AD222" s="9"/>
      <c r="AE222" s="9"/>
      <c r="AF222" s="5">
        <f t="shared" si="14"/>
        <v>0</v>
      </c>
      <c r="AG222" s="4"/>
      <c r="AH222" s="4"/>
      <c r="AI222" s="39">
        <f t="shared" si="16"/>
        <v>0</v>
      </c>
      <c r="AJ222" s="145">
        <f t="shared" si="15"/>
        <v>0</v>
      </c>
      <c r="AK222" s="115">
        <v>5000</v>
      </c>
    </row>
    <row r="223" spans="1:49" s="81" customFormat="1" ht="37.5" customHeight="1" x14ac:dyDescent="0.25">
      <c r="A223" s="27"/>
      <c r="B223" s="44">
        <v>226</v>
      </c>
      <c r="C223" s="56"/>
      <c r="D223" s="56"/>
      <c r="E223" s="56"/>
      <c r="F223" s="56"/>
      <c r="G223" s="57"/>
      <c r="H223" s="56"/>
      <c r="I223" s="56"/>
      <c r="J223" s="58"/>
      <c r="K223" s="58"/>
      <c r="L223" s="58"/>
      <c r="M223" s="58"/>
      <c r="N223" s="143"/>
      <c r="O223" s="58"/>
      <c r="P223" s="58"/>
      <c r="Q223" s="58"/>
      <c r="R223" s="143"/>
      <c r="S223" s="56"/>
      <c r="T223" s="56"/>
      <c r="U223" s="78"/>
      <c r="V223" s="58"/>
      <c r="W223" s="79"/>
      <c r="X223" s="79"/>
      <c r="Y223" s="79"/>
      <c r="Z223" s="79"/>
      <c r="AA223" s="79"/>
      <c r="AB223" s="79"/>
      <c r="AC223" s="79"/>
      <c r="AD223" s="58"/>
      <c r="AE223" s="58"/>
      <c r="AF223" s="5">
        <f t="shared" si="14"/>
        <v>0</v>
      </c>
      <c r="AG223" s="76"/>
      <c r="AH223" s="76"/>
      <c r="AI223" s="58">
        <f t="shared" si="16"/>
        <v>0</v>
      </c>
      <c r="AJ223" s="145">
        <f t="shared" si="15"/>
        <v>0</v>
      </c>
      <c r="AK223" s="179">
        <v>5000</v>
      </c>
      <c r="AL223" s="121"/>
      <c r="AM223" s="121"/>
      <c r="AN223" s="121"/>
      <c r="AO223" s="121"/>
      <c r="AP223" s="121"/>
      <c r="AQ223" s="121"/>
      <c r="AR223" s="80"/>
      <c r="AS223" s="80"/>
      <c r="AT223" s="80"/>
      <c r="AU223" s="80"/>
      <c r="AV223" s="80"/>
      <c r="AW223" s="80"/>
    </row>
    <row r="224" spans="1:49" ht="37.5" customHeight="1" x14ac:dyDescent="0.25">
      <c r="A224" s="27"/>
      <c r="B224" s="44">
        <v>227</v>
      </c>
      <c r="C224" s="56"/>
      <c r="D224" s="56"/>
      <c r="E224" s="56"/>
      <c r="F224" s="56"/>
      <c r="G224" s="57"/>
      <c r="H224" s="56"/>
      <c r="I224" s="56"/>
      <c r="J224" s="58"/>
      <c r="K224" s="58"/>
      <c r="L224" s="58"/>
      <c r="M224" s="58"/>
      <c r="N224" s="143"/>
      <c r="O224" s="58"/>
      <c r="P224" s="58"/>
      <c r="Q224" s="58"/>
      <c r="R224" s="143"/>
      <c r="S224" s="56"/>
      <c r="T224" s="56"/>
      <c r="U224" s="78"/>
      <c r="V224" s="58"/>
      <c r="W224" s="79"/>
      <c r="X224" s="7"/>
      <c r="Y224" s="7"/>
      <c r="Z224" s="7"/>
      <c r="AA224" s="7"/>
      <c r="AB224" s="7"/>
      <c r="AC224" s="7"/>
      <c r="AD224" s="9"/>
      <c r="AE224" s="9"/>
      <c r="AF224" s="5">
        <f t="shared" si="14"/>
        <v>0</v>
      </c>
      <c r="AG224" s="4"/>
      <c r="AH224" s="4"/>
      <c r="AI224" s="39">
        <f t="shared" si="16"/>
        <v>0</v>
      </c>
      <c r="AJ224" s="145">
        <f t="shared" si="15"/>
        <v>0</v>
      </c>
      <c r="AK224" s="115"/>
    </row>
    <row r="225" spans="1:37" ht="45" customHeight="1" x14ac:dyDescent="0.25">
      <c r="A225" s="27"/>
      <c r="B225" s="44">
        <v>228</v>
      </c>
      <c r="C225" s="56"/>
      <c r="D225" s="56"/>
      <c r="E225" s="56"/>
      <c r="F225" s="56"/>
      <c r="G225" s="57"/>
      <c r="H225" s="56"/>
      <c r="I225" s="56"/>
      <c r="J225" s="58"/>
      <c r="K225" s="58"/>
      <c r="L225" s="58"/>
      <c r="M225" s="58"/>
      <c r="N225" s="143"/>
      <c r="O225" s="58"/>
      <c r="P225" s="58"/>
      <c r="Q225" s="58"/>
      <c r="R225" s="143"/>
      <c r="S225" s="56"/>
      <c r="T225" s="56"/>
      <c r="U225" s="78"/>
      <c r="V225" s="58"/>
      <c r="W225" s="79"/>
      <c r="X225" s="7"/>
      <c r="Y225" s="7"/>
      <c r="Z225" s="7"/>
      <c r="AA225" s="7"/>
      <c r="AB225" s="7"/>
      <c r="AC225" s="7"/>
      <c r="AD225" s="9"/>
      <c r="AE225" s="9"/>
      <c r="AF225" s="77">
        <f>S225-T225-V225-X225-Z225-AB225-AD225</f>
        <v>0</v>
      </c>
      <c r="AG225" s="4"/>
      <c r="AH225" s="4"/>
      <c r="AI225" s="39">
        <f>+T225+V225+X225+Z225+AB225+AD225</f>
        <v>0</v>
      </c>
      <c r="AJ225" s="145">
        <f t="shared" si="15"/>
        <v>0</v>
      </c>
      <c r="AK225" s="179">
        <v>10000</v>
      </c>
    </row>
    <row r="226" spans="1:37" ht="37.5" customHeight="1" x14ac:dyDescent="0.25">
      <c r="A226" s="27"/>
      <c r="B226" s="44">
        <v>229</v>
      </c>
      <c r="C226" s="56"/>
      <c r="D226" s="56"/>
      <c r="E226" s="56"/>
      <c r="F226" s="56"/>
      <c r="G226" s="57"/>
      <c r="H226" s="56"/>
      <c r="I226" s="56"/>
      <c r="J226" s="58"/>
      <c r="K226" s="58"/>
      <c r="L226" s="58"/>
      <c r="M226" s="58"/>
      <c r="N226" s="143"/>
      <c r="O226" s="58"/>
      <c r="P226" s="58"/>
      <c r="Q226" s="58"/>
      <c r="R226" s="143"/>
      <c r="S226" s="56"/>
      <c r="T226" s="56"/>
      <c r="U226" s="78"/>
      <c r="V226" s="79"/>
      <c r="W226" s="79"/>
      <c r="X226" s="7"/>
      <c r="Y226" s="7"/>
      <c r="Z226" s="7"/>
      <c r="AA226" s="7"/>
      <c r="AB226" s="7"/>
      <c r="AC226" s="7"/>
      <c r="AD226" s="9"/>
      <c r="AE226" s="9"/>
      <c r="AF226" s="77">
        <f t="shared" si="14"/>
        <v>0</v>
      </c>
      <c r="AG226" s="4"/>
      <c r="AH226" s="4"/>
      <c r="AI226" s="39">
        <f t="shared" si="16"/>
        <v>0</v>
      </c>
      <c r="AJ226" s="145">
        <f t="shared" si="15"/>
        <v>0</v>
      </c>
      <c r="AK226" s="180">
        <v>10000</v>
      </c>
    </row>
    <row r="227" spans="1:37" ht="37.5" customHeight="1" x14ac:dyDescent="0.25">
      <c r="A227" s="27"/>
      <c r="B227" s="44">
        <v>230</v>
      </c>
      <c r="C227" s="56"/>
      <c r="D227" s="56"/>
      <c r="E227" s="56"/>
      <c r="F227" s="56"/>
      <c r="G227" s="57"/>
      <c r="H227" s="56"/>
      <c r="I227" s="56"/>
      <c r="J227" s="58"/>
      <c r="K227" s="58"/>
      <c r="L227" s="58"/>
      <c r="M227" s="58"/>
      <c r="N227" s="143"/>
      <c r="O227" s="58"/>
      <c r="P227" s="58"/>
      <c r="Q227" s="58"/>
      <c r="R227" s="143"/>
      <c r="S227" s="56"/>
      <c r="T227" s="56"/>
      <c r="U227" s="78"/>
      <c r="V227" s="79"/>
      <c r="W227" s="79"/>
      <c r="X227" s="7"/>
      <c r="Y227" s="7"/>
      <c r="Z227" s="7"/>
      <c r="AA227" s="7"/>
      <c r="AB227" s="7"/>
      <c r="AC227" s="7"/>
      <c r="AD227" s="9"/>
      <c r="AE227" s="9"/>
      <c r="AF227" s="77">
        <f t="shared" si="14"/>
        <v>0</v>
      </c>
      <c r="AG227" s="4"/>
      <c r="AH227" s="4"/>
      <c r="AI227" s="39">
        <f t="shared" si="16"/>
        <v>0</v>
      </c>
      <c r="AJ227" s="145">
        <f t="shared" si="15"/>
        <v>0</v>
      </c>
      <c r="AK227" s="180">
        <v>5000</v>
      </c>
    </row>
    <row r="228" spans="1:37" ht="37.5" customHeight="1" x14ac:dyDescent="0.25">
      <c r="A228" s="27"/>
      <c r="B228" s="44">
        <v>231</v>
      </c>
      <c r="C228" s="56"/>
      <c r="D228" s="56"/>
      <c r="E228" s="56"/>
      <c r="F228" s="56"/>
      <c r="G228" s="57"/>
      <c r="H228" s="56"/>
      <c r="I228" s="56"/>
      <c r="J228" s="58"/>
      <c r="K228" s="58"/>
      <c r="L228" s="58"/>
      <c r="M228" s="58"/>
      <c r="N228" s="143"/>
      <c r="O228" s="58"/>
      <c r="P228" s="58"/>
      <c r="Q228" s="58"/>
      <c r="R228" s="143"/>
      <c r="S228" s="56"/>
      <c r="T228" s="56"/>
      <c r="U228" s="78"/>
      <c r="V228" s="58"/>
      <c r="W228" s="79"/>
      <c r="X228" s="7"/>
      <c r="Y228" s="7"/>
      <c r="Z228" s="7"/>
      <c r="AA228" s="7"/>
      <c r="AB228" s="7"/>
      <c r="AC228" s="7"/>
      <c r="AD228" s="9"/>
      <c r="AE228" s="9"/>
      <c r="AF228" s="77">
        <f t="shared" si="14"/>
        <v>0</v>
      </c>
      <c r="AG228" s="4"/>
      <c r="AH228" s="4"/>
      <c r="AI228" s="39">
        <f t="shared" si="16"/>
        <v>0</v>
      </c>
      <c r="AJ228" s="145">
        <f t="shared" si="15"/>
        <v>0</v>
      </c>
      <c r="AK228" s="115"/>
    </row>
    <row r="229" spans="1:37" ht="34.5" customHeight="1" x14ac:dyDescent="0.25">
      <c r="A229" s="27"/>
      <c r="B229" s="44">
        <v>232</v>
      </c>
      <c r="C229" s="56"/>
      <c r="D229" s="56"/>
      <c r="E229" s="56"/>
      <c r="F229" s="56"/>
      <c r="G229" s="57"/>
      <c r="H229" s="56"/>
      <c r="I229" s="56"/>
      <c r="J229" s="58"/>
      <c r="K229" s="58"/>
      <c r="L229" s="58"/>
      <c r="M229" s="58"/>
      <c r="N229" s="143"/>
      <c r="O229" s="58"/>
      <c r="P229" s="58"/>
      <c r="Q229" s="58"/>
      <c r="R229" s="143"/>
      <c r="S229" s="56"/>
      <c r="T229" s="56"/>
      <c r="U229" s="78"/>
      <c r="V229" s="58"/>
      <c r="W229" s="79"/>
      <c r="X229" s="7"/>
      <c r="Y229" s="7"/>
      <c r="Z229" s="7"/>
      <c r="AA229" s="7"/>
      <c r="AB229" s="7"/>
      <c r="AC229" s="7"/>
      <c r="AD229" s="9"/>
      <c r="AE229" s="9"/>
      <c r="AF229" s="77">
        <f t="shared" si="14"/>
        <v>0</v>
      </c>
      <c r="AG229" s="4"/>
      <c r="AH229" s="4"/>
      <c r="AI229" s="39">
        <f t="shared" si="16"/>
        <v>0</v>
      </c>
      <c r="AJ229" s="145">
        <f t="shared" si="15"/>
        <v>0</v>
      </c>
      <c r="AK229" s="115">
        <v>5000</v>
      </c>
    </row>
    <row r="230" spans="1:37" ht="37.5" customHeight="1" x14ac:dyDescent="0.25">
      <c r="A230" s="27"/>
      <c r="B230" s="44">
        <v>233</v>
      </c>
      <c r="C230" s="56"/>
      <c r="D230" s="56"/>
      <c r="E230" s="56"/>
      <c r="F230" s="56"/>
      <c r="G230" s="57"/>
      <c r="H230" s="56"/>
      <c r="I230" s="56"/>
      <c r="J230" s="58"/>
      <c r="K230" s="58"/>
      <c r="L230" s="58"/>
      <c r="M230" s="58"/>
      <c r="N230" s="143"/>
      <c r="O230" s="58"/>
      <c r="P230" s="58"/>
      <c r="Q230" s="58"/>
      <c r="R230" s="143"/>
      <c r="S230" s="56"/>
      <c r="T230" s="56"/>
      <c r="U230" s="78"/>
      <c r="V230" s="58"/>
      <c r="W230" s="78"/>
      <c r="X230" s="9"/>
      <c r="Y230" s="7"/>
      <c r="Z230" s="9"/>
      <c r="AA230" s="7"/>
      <c r="AB230" s="9"/>
      <c r="AC230" s="7"/>
      <c r="AD230" s="9"/>
      <c r="AE230" s="9"/>
      <c r="AF230" s="77">
        <f t="shared" si="14"/>
        <v>0</v>
      </c>
      <c r="AG230" s="4"/>
      <c r="AH230" s="4"/>
      <c r="AI230" s="39">
        <f t="shared" si="16"/>
        <v>0</v>
      </c>
      <c r="AJ230" s="145">
        <f t="shared" si="15"/>
        <v>0</v>
      </c>
      <c r="AK230" s="115"/>
    </row>
    <row r="231" spans="1:37" ht="37.5" customHeight="1" x14ac:dyDescent="0.25">
      <c r="A231" s="27"/>
      <c r="B231" s="44">
        <v>234</v>
      </c>
      <c r="C231" s="56"/>
      <c r="D231" s="56"/>
      <c r="E231" s="56"/>
      <c r="F231" s="56"/>
      <c r="G231" s="57"/>
      <c r="H231" s="56"/>
      <c r="I231" s="56"/>
      <c r="J231" s="58"/>
      <c r="K231" s="58"/>
      <c r="L231" s="58"/>
      <c r="M231" s="58"/>
      <c r="N231" s="143"/>
      <c r="O231" s="58"/>
      <c r="P231" s="58"/>
      <c r="Q231" s="58"/>
      <c r="R231" s="143"/>
      <c r="S231" s="56"/>
      <c r="T231" s="56"/>
      <c r="U231" s="78"/>
      <c r="V231" s="58"/>
      <c r="W231" s="79"/>
      <c r="X231" s="7"/>
      <c r="Y231" s="7"/>
      <c r="Z231" s="7"/>
      <c r="AA231" s="7"/>
      <c r="AB231" s="7"/>
      <c r="AC231" s="7"/>
      <c r="AD231" s="9"/>
      <c r="AE231" s="9"/>
      <c r="AF231" s="77">
        <f t="shared" si="14"/>
        <v>0</v>
      </c>
      <c r="AG231" s="4"/>
      <c r="AH231" s="4"/>
      <c r="AI231" s="39">
        <f t="shared" si="16"/>
        <v>0</v>
      </c>
      <c r="AJ231" s="145">
        <f t="shared" si="15"/>
        <v>0</v>
      </c>
      <c r="AK231" s="115"/>
    </row>
    <row r="232" spans="1:37" ht="37.5" customHeight="1" x14ac:dyDescent="0.25">
      <c r="A232" s="27"/>
      <c r="B232" s="44">
        <v>235</v>
      </c>
      <c r="C232" s="56"/>
      <c r="D232" s="56"/>
      <c r="E232" s="56"/>
      <c r="F232" s="56"/>
      <c r="G232" s="57"/>
      <c r="H232" s="56"/>
      <c r="I232" s="56"/>
      <c r="J232" s="58"/>
      <c r="K232" s="58"/>
      <c r="L232" s="58"/>
      <c r="M232" s="58"/>
      <c r="N232" s="143"/>
      <c r="O232" s="58"/>
      <c r="P232" s="58"/>
      <c r="Q232" s="58"/>
      <c r="R232" s="143"/>
      <c r="S232" s="56"/>
      <c r="T232" s="56"/>
      <c r="U232" s="78"/>
      <c r="V232" s="58"/>
      <c r="W232" s="79"/>
      <c r="X232" s="9"/>
      <c r="Y232" s="7"/>
      <c r="Z232" s="9"/>
      <c r="AA232" s="7"/>
      <c r="AB232" s="9"/>
      <c r="AC232" s="7"/>
      <c r="AD232" s="9"/>
      <c r="AE232" s="9"/>
      <c r="AF232" s="77">
        <f t="shared" si="14"/>
        <v>0</v>
      </c>
      <c r="AG232" s="4"/>
      <c r="AH232" s="4"/>
      <c r="AI232" s="39">
        <f t="shared" si="16"/>
        <v>0</v>
      </c>
      <c r="AJ232" s="145">
        <f t="shared" si="15"/>
        <v>0</v>
      </c>
      <c r="AK232" s="115"/>
    </row>
    <row r="233" spans="1:37" ht="37.5" customHeight="1" x14ac:dyDescent="0.25">
      <c r="A233" s="27"/>
      <c r="B233" s="44">
        <v>236</v>
      </c>
      <c r="C233" s="56"/>
      <c r="D233" s="56"/>
      <c r="E233" s="56"/>
      <c r="F233" s="56"/>
      <c r="G233" s="57"/>
      <c r="H233" s="56"/>
      <c r="I233" s="56"/>
      <c r="K233" s="58"/>
      <c r="L233" s="58"/>
      <c r="M233" s="58"/>
      <c r="N233" s="143"/>
      <c r="O233" s="58"/>
      <c r="P233" s="58"/>
      <c r="Q233" s="58"/>
      <c r="R233" s="143"/>
      <c r="S233" s="56"/>
      <c r="T233" s="56"/>
      <c r="U233" s="78"/>
      <c r="V233" s="58"/>
      <c r="W233" s="79"/>
      <c r="X233" s="7"/>
      <c r="Y233" s="7"/>
      <c r="Z233" s="7"/>
      <c r="AA233" s="13"/>
      <c r="AB233" s="7"/>
      <c r="AC233" s="7"/>
      <c r="AD233" s="9"/>
      <c r="AE233" s="9"/>
      <c r="AF233" s="77">
        <f t="shared" si="14"/>
        <v>0</v>
      </c>
      <c r="AG233" s="4"/>
      <c r="AH233" s="4"/>
      <c r="AI233" s="39">
        <f t="shared" si="16"/>
        <v>0</v>
      </c>
      <c r="AJ233" s="145">
        <f t="shared" si="15"/>
        <v>0</v>
      </c>
      <c r="AK233" s="115">
        <v>5000</v>
      </c>
    </row>
    <row r="234" spans="1:37" ht="37.5" customHeight="1" x14ac:dyDescent="0.25">
      <c r="A234" s="27"/>
      <c r="B234" s="44">
        <v>237</v>
      </c>
      <c r="C234" s="56"/>
      <c r="D234" s="56"/>
      <c r="E234" s="56"/>
      <c r="F234" s="56"/>
      <c r="G234" s="57"/>
      <c r="H234" s="56"/>
      <c r="I234" s="56"/>
      <c r="J234" s="58"/>
      <c r="K234" s="58"/>
      <c r="L234" s="58"/>
      <c r="M234" s="58"/>
      <c r="N234" s="143"/>
      <c r="O234" s="58"/>
      <c r="P234" s="58"/>
      <c r="Q234" s="58"/>
      <c r="R234" s="143"/>
      <c r="S234" s="56"/>
      <c r="T234" s="56"/>
      <c r="U234" s="78"/>
      <c r="V234" s="58"/>
      <c r="W234" s="79"/>
      <c r="X234" s="7"/>
      <c r="Y234" s="7"/>
      <c r="Z234" s="7"/>
      <c r="AA234" s="7"/>
      <c r="AB234" s="7"/>
      <c r="AC234" s="7"/>
      <c r="AD234" s="9"/>
      <c r="AE234" s="9"/>
      <c r="AF234" s="77">
        <f t="shared" si="14"/>
        <v>0</v>
      </c>
      <c r="AG234" s="4"/>
      <c r="AH234" s="4"/>
      <c r="AI234" s="39">
        <f t="shared" si="16"/>
        <v>0</v>
      </c>
      <c r="AJ234" s="145">
        <f t="shared" si="15"/>
        <v>0</v>
      </c>
      <c r="AK234" s="115"/>
    </row>
    <row r="235" spans="1:37" ht="37.5" customHeight="1" x14ac:dyDescent="0.25">
      <c r="A235" s="27"/>
      <c r="B235" s="44">
        <v>238</v>
      </c>
      <c r="C235" s="56"/>
      <c r="D235" s="56"/>
      <c r="E235" s="56"/>
      <c r="F235" s="56"/>
      <c r="G235" s="57"/>
      <c r="H235" s="56"/>
      <c r="I235" s="56"/>
      <c r="J235" s="58"/>
      <c r="K235" s="58"/>
      <c r="L235" s="58"/>
      <c r="M235" s="58"/>
      <c r="N235" s="143"/>
      <c r="O235" s="58"/>
      <c r="P235" s="58"/>
      <c r="Q235" s="58"/>
      <c r="R235" s="143"/>
      <c r="S235" s="56"/>
      <c r="T235" s="56"/>
      <c r="U235" s="78"/>
      <c r="V235" s="58"/>
      <c r="W235" s="79"/>
      <c r="X235" s="7"/>
      <c r="Y235" s="7"/>
      <c r="Z235" s="7"/>
      <c r="AA235" s="7"/>
      <c r="AB235" s="7"/>
      <c r="AC235" s="7"/>
      <c r="AD235" s="9"/>
      <c r="AE235" s="9"/>
      <c r="AF235" s="77">
        <f>S235-T235-V235-X235-Z235-AB235-AD235</f>
        <v>0</v>
      </c>
      <c r="AG235" s="4"/>
      <c r="AH235" s="4"/>
      <c r="AI235" s="39">
        <f>+T235+V235+X235+Z235+AB235+AD235</f>
        <v>0</v>
      </c>
      <c r="AJ235" s="145">
        <f t="shared" si="15"/>
        <v>0</v>
      </c>
      <c r="AK235" s="180">
        <v>10000</v>
      </c>
    </row>
    <row r="236" spans="1:37" ht="37.5" customHeight="1" x14ac:dyDescent="0.25">
      <c r="A236" s="27"/>
      <c r="B236" s="44">
        <v>239</v>
      </c>
      <c r="C236" s="56"/>
      <c r="D236" s="56"/>
      <c r="E236" s="56"/>
      <c r="F236" s="56"/>
      <c r="G236" s="57"/>
      <c r="H236" s="56"/>
      <c r="I236" s="56"/>
      <c r="J236" s="58"/>
      <c r="K236" s="58"/>
      <c r="L236" s="58"/>
      <c r="M236" s="58"/>
      <c r="N236" s="143"/>
      <c r="O236" s="58"/>
      <c r="P236" s="58"/>
      <c r="Q236" s="58"/>
      <c r="R236" s="143"/>
      <c r="S236" s="56"/>
      <c r="T236" s="56"/>
      <c r="U236" s="78"/>
      <c r="V236" s="58"/>
      <c r="W236" s="79"/>
      <c r="X236" s="7"/>
      <c r="Y236" s="7"/>
      <c r="Z236" s="7"/>
      <c r="AA236" s="7"/>
      <c r="AB236" s="7"/>
      <c r="AC236" s="7"/>
      <c r="AD236" s="9"/>
      <c r="AE236" s="9"/>
      <c r="AF236" s="77">
        <f>S236-T236-V236-X236-Z236-AB236</f>
        <v>0</v>
      </c>
      <c r="AG236" s="4"/>
      <c r="AH236" s="4"/>
      <c r="AI236" s="39">
        <f t="shared" si="16"/>
        <v>0</v>
      </c>
      <c r="AJ236" s="145">
        <f t="shared" si="15"/>
        <v>0</v>
      </c>
      <c r="AK236" s="179">
        <v>10000</v>
      </c>
    </row>
    <row r="237" spans="1:37" ht="37.5" customHeight="1" x14ac:dyDescent="0.25">
      <c r="A237" s="27"/>
      <c r="B237" s="44">
        <v>240</v>
      </c>
      <c r="C237" s="56"/>
      <c r="D237" s="56"/>
      <c r="E237" s="56"/>
      <c r="F237" s="56"/>
      <c r="G237" s="57"/>
      <c r="H237" s="56"/>
      <c r="I237" s="56"/>
      <c r="J237" s="58"/>
      <c r="K237" s="58"/>
      <c r="L237" s="58"/>
      <c r="M237" s="58"/>
      <c r="N237" s="143"/>
      <c r="O237" s="58"/>
      <c r="P237" s="58"/>
      <c r="Q237" s="58"/>
      <c r="R237" s="143"/>
      <c r="S237" s="56"/>
      <c r="T237" s="56"/>
      <c r="U237" s="78"/>
      <c r="V237" s="58"/>
      <c r="W237" s="79"/>
      <c r="X237" s="7"/>
      <c r="Y237" s="7"/>
      <c r="Z237" s="7"/>
      <c r="AA237" s="7"/>
      <c r="AB237" s="7"/>
      <c r="AC237" s="7"/>
      <c r="AD237" s="9"/>
      <c r="AE237" s="9"/>
      <c r="AF237" s="77">
        <f>S237-T237-V237-X237-Z237-AB237-AD237</f>
        <v>0</v>
      </c>
      <c r="AG237" s="4"/>
      <c r="AH237" s="4"/>
      <c r="AI237" s="9">
        <f>+T237+V237+X237+Z237+AB237+AD237</f>
        <v>0</v>
      </c>
      <c r="AJ237" s="145">
        <f t="shared" si="15"/>
        <v>0</v>
      </c>
      <c r="AK237" s="179">
        <v>10000</v>
      </c>
    </row>
    <row r="238" spans="1:37" ht="37.5" customHeight="1" x14ac:dyDescent="0.25">
      <c r="A238" s="27"/>
      <c r="B238" s="44">
        <v>241</v>
      </c>
      <c r="C238" s="56"/>
      <c r="D238" s="56"/>
      <c r="E238" s="56"/>
      <c r="F238" s="56"/>
      <c r="G238" s="57"/>
      <c r="H238" s="56"/>
      <c r="I238" s="56"/>
      <c r="J238" s="58"/>
      <c r="K238" s="58"/>
      <c r="L238" s="58"/>
      <c r="M238" s="58"/>
      <c r="N238" s="143"/>
      <c r="O238" s="58"/>
      <c r="P238" s="58"/>
      <c r="Q238" s="58"/>
      <c r="R238" s="143"/>
      <c r="S238" s="56"/>
      <c r="T238" s="56"/>
      <c r="U238" s="78"/>
      <c r="V238" s="58"/>
      <c r="W238" s="79"/>
      <c r="X238" s="7"/>
      <c r="Y238" s="7"/>
      <c r="Z238" s="7"/>
      <c r="AA238" s="7"/>
      <c r="AB238" s="7"/>
      <c r="AC238" s="7"/>
      <c r="AD238" s="9"/>
      <c r="AE238" s="9"/>
      <c r="AF238" s="77">
        <f t="shared" ref="AF238:AF279" si="17">S238-T238-V238-X238-Z238-AB238</f>
        <v>0</v>
      </c>
      <c r="AG238" s="4"/>
      <c r="AH238" s="4"/>
      <c r="AI238" s="9">
        <f t="shared" ref="AI238:AI279" si="18">+T238+V238+X238+Z238+AB238</f>
        <v>0</v>
      </c>
      <c r="AJ238" s="145">
        <f t="shared" si="15"/>
        <v>0</v>
      </c>
      <c r="AK238" s="180">
        <v>10000</v>
      </c>
    </row>
    <row r="239" spans="1:37" ht="37.5" customHeight="1" x14ac:dyDescent="0.25">
      <c r="A239" s="27"/>
      <c r="B239" s="44">
        <v>242</v>
      </c>
      <c r="C239" s="56"/>
      <c r="D239" s="56"/>
      <c r="E239" s="56"/>
      <c r="F239" s="56"/>
      <c r="G239" s="57"/>
      <c r="H239" s="56"/>
      <c r="I239" s="56"/>
      <c r="J239" s="58"/>
      <c r="K239" s="58"/>
      <c r="L239" s="58"/>
      <c r="M239" s="58"/>
      <c r="N239" s="143"/>
      <c r="O239" s="58"/>
      <c r="P239" s="58"/>
      <c r="Q239" s="58"/>
      <c r="R239" s="143"/>
      <c r="S239" s="56"/>
      <c r="T239" s="56"/>
      <c r="U239" s="78"/>
      <c r="V239" s="58"/>
      <c r="W239" s="79"/>
      <c r="X239" s="7"/>
      <c r="Y239" s="7"/>
      <c r="Z239" s="7"/>
      <c r="AA239" s="7"/>
      <c r="AB239" s="7"/>
      <c r="AC239" s="7"/>
      <c r="AD239" s="9"/>
      <c r="AE239" s="9"/>
      <c r="AF239" s="77">
        <f t="shared" si="17"/>
        <v>0</v>
      </c>
      <c r="AG239" s="4"/>
      <c r="AH239" s="4"/>
      <c r="AI239" s="9">
        <f t="shared" si="18"/>
        <v>0</v>
      </c>
      <c r="AJ239" s="145">
        <f t="shared" si="15"/>
        <v>0</v>
      </c>
      <c r="AK239" s="180">
        <v>10000</v>
      </c>
    </row>
    <row r="240" spans="1:37" ht="45" customHeight="1" x14ac:dyDescent="0.25">
      <c r="A240" s="27"/>
      <c r="B240" s="44">
        <v>243</v>
      </c>
      <c r="C240" s="56"/>
      <c r="D240" s="56"/>
      <c r="E240" s="56"/>
      <c r="F240" s="56"/>
      <c r="G240" s="57"/>
      <c r="H240" s="56"/>
      <c r="I240" s="56"/>
      <c r="J240" s="58"/>
      <c r="K240" s="58"/>
      <c r="L240" s="58"/>
      <c r="M240" s="58"/>
      <c r="N240" s="143"/>
      <c r="O240" s="58"/>
      <c r="P240" s="58"/>
      <c r="Q240" s="58"/>
      <c r="R240" s="143"/>
      <c r="S240" s="40"/>
      <c r="T240" s="40"/>
      <c r="U240" s="38"/>
      <c r="V240" s="39"/>
      <c r="W240" s="42"/>
      <c r="X240" s="9"/>
      <c r="Y240" s="7"/>
      <c r="Z240" s="9"/>
      <c r="AA240" s="7"/>
      <c r="AB240" s="9"/>
      <c r="AC240" s="7"/>
      <c r="AD240" s="9"/>
      <c r="AE240" s="58"/>
      <c r="AF240" s="77">
        <f t="shared" si="17"/>
        <v>0</v>
      </c>
      <c r="AG240" s="4"/>
      <c r="AH240" s="4"/>
      <c r="AI240" s="9">
        <f t="shared" si="18"/>
        <v>0</v>
      </c>
      <c r="AJ240" s="145">
        <f t="shared" si="15"/>
        <v>0</v>
      </c>
      <c r="AK240" s="180">
        <v>5000</v>
      </c>
    </row>
    <row r="241" spans="1:39" ht="59.25" customHeight="1" x14ac:dyDescent="0.25">
      <c r="A241" s="27"/>
      <c r="B241" s="44">
        <v>244</v>
      </c>
      <c r="C241" s="56"/>
      <c r="D241" s="56"/>
      <c r="E241" s="56"/>
      <c r="F241" s="56"/>
      <c r="G241" s="57"/>
      <c r="H241" s="56"/>
      <c r="I241" s="56"/>
      <c r="J241" s="58"/>
      <c r="K241" s="58"/>
      <c r="L241" s="58"/>
      <c r="M241" s="58"/>
      <c r="N241" s="143"/>
      <c r="O241" s="58"/>
      <c r="P241" s="58"/>
      <c r="Q241" s="58"/>
      <c r="R241" s="143"/>
      <c r="S241" s="56"/>
      <c r="T241" s="56"/>
      <c r="U241" s="78"/>
      <c r="V241" s="58"/>
      <c r="W241" s="79"/>
      <c r="X241" s="7"/>
      <c r="Y241" s="13"/>
      <c r="Z241" s="7"/>
      <c r="AA241" s="13"/>
      <c r="AB241" s="7"/>
      <c r="AC241" s="7"/>
      <c r="AD241" s="9"/>
      <c r="AE241" s="9"/>
      <c r="AF241" s="77">
        <f t="shared" si="17"/>
        <v>0</v>
      </c>
      <c r="AG241" s="4"/>
      <c r="AH241" s="4"/>
      <c r="AI241" s="9">
        <f t="shared" si="18"/>
        <v>0</v>
      </c>
      <c r="AJ241" s="145">
        <f t="shared" si="15"/>
        <v>0</v>
      </c>
      <c r="AK241" s="180">
        <v>10000</v>
      </c>
    </row>
    <row r="242" spans="1:39" ht="45" customHeight="1" x14ac:dyDescent="0.25">
      <c r="A242" s="27"/>
      <c r="B242" s="44">
        <v>245</v>
      </c>
      <c r="C242" s="56"/>
      <c r="D242" s="56"/>
      <c r="E242" s="56"/>
      <c r="F242" s="56"/>
      <c r="G242" s="57"/>
      <c r="H242" s="56"/>
      <c r="I242" s="56"/>
      <c r="J242" s="58"/>
      <c r="K242" s="58"/>
      <c r="L242" s="58"/>
      <c r="M242" s="58"/>
      <c r="N242" s="143"/>
      <c r="O242" s="58"/>
      <c r="P242" s="58"/>
      <c r="Q242" s="58"/>
      <c r="R242" s="143"/>
      <c r="S242" s="56"/>
      <c r="T242" s="56"/>
      <c r="U242" s="78"/>
      <c r="V242" s="58"/>
      <c r="W242" s="79"/>
      <c r="X242" s="9"/>
      <c r="Y242" s="7"/>
      <c r="Z242" s="9"/>
      <c r="AA242" s="7"/>
      <c r="AB242" s="9"/>
      <c r="AC242" s="7"/>
      <c r="AD242" s="9"/>
      <c r="AE242" s="9"/>
      <c r="AF242" s="77">
        <f t="shared" si="17"/>
        <v>0</v>
      </c>
      <c r="AG242" s="4"/>
      <c r="AH242" s="4"/>
      <c r="AI242" s="9">
        <f t="shared" si="18"/>
        <v>0</v>
      </c>
      <c r="AJ242" s="145">
        <f t="shared" si="15"/>
        <v>0</v>
      </c>
      <c r="AK242" s="115">
        <v>5000</v>
      </c>
    </row>
    <row r="243" spans="1:39" ht="37.5" customHeight="1" x14ac:dyDescent="0.25">
      <c r="A243" s="27"/>
      <c r="B243" s="44">
        <v>246</v>
      </c>
      <c r="C243" s="56"/>
      <c r="D243" s="56"/>
      <c r="E243" s="56"/>
      <c r="F243" s="56"/>
      <c r="G243" s="57"/>
      <c r="H243" s="56"/>
      <c r="I243" s="56"/>
      <c r="J243" s="58"/>
      <c r="K243" s="58"/>
      <c r="L243" s="58"/>
      <c r="M243" s="58"/>
      <c r="N243" s="143"/>
      <c r="O243" s="58"/>
      <c r="P243" s="58"/>
      <c r="Q243" s="58"/>
      <c r="R243" s="143"/>
      <c r="S243" s="56"/>
      <c r="T243" s="56"/>
      <c r="U243" s="78"/>
      <c r="V243" s="58"/>
      <c r="W243" s="79"/>
      <c r="X243" s="7"/>
      <c r="Y243" s="7"/>
      <c r="Z243" s="7"/>
      <c r="AA243" s="7"/>
      <c r="AB243" s="7"/>
      <c r="AC243" s="7"/>
      <c r="AD243" s="9"/>
      <c r="AE243" s="9"/>
      <c r="AF243" s="77">
        <f t="shared" si="17"/>
        <v>0</v>
      </c>
      <c r="AG243" s="4"/>
      <c r="AH243" s="4"/>
      <c r="AI243" s="9">
        <f t="shared" si="18"/>
        <v>0</v>
      </c>
      <c r="AJ243" s="145">
        <f t="shared" si="15"/>
        <v>0</v>
      </c>
      <c r="AK243" s="115"/>
    </row>
    <row r="244" spans="1:39" ht="37.5" customHeight="1" x14ac:dyDescent="0.25">
      <c r="A244" s="27"/>
      <c r="B244" s="44">
        <v>247</v>
      </c>
      <c r="C244" s="56"/>
      <c r="D244" s="56"/>
      <c r="E244" s="56"/>
      <c r="F244" s="56"/>
      <c r="G244" s="57"/>
      <c r="H244" s="56"/>
      <c r="I244" s="56"/>
      <c r="J244" s="58"/>
      <c r="K244" s="58"/>
      <c r="L244" s="58"/>
      <c r="M244" s="58"/>
      <c r="N244" s="143"/>
      <c r="O244" s="58"/>
      <c r="P244" s="58"/>
      <c r="Q244" s="58"/>
      <c r="R244" s="143"/>
      <c r="S244" s="56"/>
      <c r="T244" s="56"/>
      <c r="U244" s="78"/>
      <c r="V244" s="58"/>
      <c r="W244" s="79"/>
      <c r="X244" s="7"/>
      <c r="Y244" s="7"/>
      <c r="Z244" s="7"/>
      <c r="AA244" s="7"/>
      <c r="AB244" s="7"/>
      <c r="AC244" s="7"/>
      <c r="AD244" s="9"/>
      <c r="AE244" s="9"/>
      <c r="AF244" s="77">
        <f t="shared" si="17"/>
        <v>0</v>
      </c>
      <c r="AG244" s="4"/>
      <c r="AH244" s="4"/>
      <c r="AI244" s="9">
        <f t="shared" si="18"/>
        <v>0</v>
      </c>
      <c r="AJ244" s="145">
        <f t="shared" si="15"/>
        <v>0</v>
      </c>
      <c r="AK244" s="115"/>
    </row>
    <row r="245" spans="1:39" ht="37.5" customHeight="1" x14ac:dyDescent="0.25">
      <c r="A245" s="27"/>
      <c r="B245" s="44">
        <v>248</v>
      </c>
      <c r="C245" s="56"/>
      <c r="D245" s="56"/>
      <c r="E245" s="56"/>
      <c r="F245" s="56"/>
      <c r="G245" s="57"/>
      <c r="H245" s="56"/>
      <c r="I245" s="56"/>
      <c r="J245" s="58"/>
      <c r="K245" s="58"/>
      <c r="L245" s="58"/>
      <c r="M245" s="58"/>
      <c r="N245" s="143"/>
      <c r="O245" s="58"/>
      <c r="P245" s="58"/>
      <c r="Q245" s="58"/>
      <c r="R245" s="143"/>
      <c r="S245" s="56"/>
      <c r="T245" s="56"/>
      <c r="U245" s="78"/>
      <c r="V245" s="58"/>
      <c r="W245" s="79"/>
      <c r="X245" s="79"/>
      <c r="Y245" s="79"/>
      <c r="Z245" s="79"/>
      <c r="AA245" s="112"/>
      <c r="AB245" s="7"/>
      <c r="AC245" s="7"/>
      <c r="AD245" s="9"/>
      <c r="AE245" s="9"/>
      <c r="AF245" s="77">
        <f t="shared" si="17"/>
        <v>0</v>
      </c>
      <c r="AG245" s="4"/>
      <c r="AH245" s="4"/>
      <c r="AI245" s="9">
        <f t="shared" si="18"/>
        <v>0</v>
      </c>
      <c r="AJ245" s="145">
        <f t="shared" si="15"/>
        <v>0</v>
      </c>
      <c r="AK245" s="179">
        <v>5000</v>
      </c>
    </row>
    <row r="246" spans="1:39" ht="37.5" customHeight="1" x14ac:dyDescent="0.25">
      <c r="A246" s="27"/>
      <c r="B246" s="44">
        <v>249</v>
      </c>
      <c r="C246" s="56"/>
      <c r="D246" s="56"/>
      <c r="E246" s="56"/>
      <c r="F246" s="56"/>
      <c r="G246" s="57"/>
      <c r="H246" s="56"/>
      <c r="I246" s="56"/>
      <c r="J246" s="58"/>
      <c r="K246" s="58"/>
      <c r="L246" s="58"/>
      <c r="M246" s="58"/>
      <c r="N246" s="143"/>
      <c r="O246" s="58"/>
      <c r="P246" s="58"/>
      <c r="Q246" s="58"/>
      <c r="R246" s="143"/>
      <c r="S246" s="56"/>
      <c r="T246" s="56"/>
      <c r="U246" s="78"/>
      <c r="V246" s="58"/>
      <c r="W246" s="79"/>
      <c r="X246" s="9"/>
      <c r="Y246" s="7"/>
      <c r="Z246" s="9"/>
      <c r="AA246" s="7"/>
      <c r="AB246" s="9"/>
      <c r="AC246" s="7"/>
      <c r="AD246" s="9"/>
      <c r="AE246" s="9"/>
      <c r="AF246" s="77">
        <f t="shared" si="17"/>
        <v>0</v>
      </c>
      <c r="AG246" s="4"/>
      <c r="AH246" s="4"/>
      <c r="AI246" s="9">
        <f t="shared" si="18"/>
        <v>0</v>
      </c>
      <c r="AJ246" s="145">
        <f t="shared" si="15"/>
        <v>0</v>
      </c>
      <c r="AK246" s="115"/>
    </row>
    <row r="247" spans="1:39" ht="39" customHeight="1" x14ac:dyDescent="0.25">
      <c r="A247" s="27"/>
      <c r="B247" s="44">
        <v>250</v>
      </c>
      <c r="C247" s="56"/>
      <c r="D247" s="56"/>
      <c r="E247" s="56"/>
      <c r="F247" s="56"/>
      <c r="G247" s="57"/>
      <c r="H247" s="56"/>
      <c r="I247" s="56"/>
      <c r="J247" s="58"/>
      <c r="K247" s="58"/>
      <c r="L247" s="58"/>
      <c r="M247" s="58"/>
      <c r="N247" s="143"/>
      <c r="O247" s="58"/>
      <c r="P247" s="58"/>
      <c r="Q247" s="58"/>
      <c r="R247" s="143"/>
      <c r="S247" s="56"/>
      <c r="T247" s="56"/>
      <c r="U247" s="78"/>
      <c r="V247" s="58"/>
      <c r="W247" s="79"/>
      <c r="X247" s="7"/>
      <c r="Y247" s="7"/>
      <c r="Z247" s="7"/>
      <c r="AA247" s="7"/>
      <c r="AB247" s="7"/>
      <c r="AC247" s="7"/>
      <c r="AD247" s="9"/>
      <c r="AE247" s="9"/>
      <c r="AF247" s="77">
        <f t="shared" si="17"/>
        <v>0</v>
      </c>
      <c r="AG247" s="4"/>
      <c r="AH247" s="4"/>
      <c r="AI247" s="9">
        <f t="shared" si="18"/>
        <v>0</v>
      </c>
      <c r="AJ247" s="145">
        <f t="shared" si="15"/>
        <v>0</v>
      </c>
      <c r="AK247" s="115"/>
    </row>
    <row r="248" spans="1:39" ht="37.5" customHeight="1" x14ac:dyDescent="0.25">
      <c r="A248" s="27"/>
      <c r="B248" s="44">
        <v>251</v>
      </c>
      <c r="C248" s="56"/>
      <c r="D248" s="56"/>
      <c r="E248" s="56"/>
      <c r="F248" s="56"/>
      <c r="G248" s="57"/>
      <c r="H248" s="56"/>
      <c r="I248" s="56"/>
      <c r="J248" s="58"/>
      <c r="K248" s="58"/>
      <c r="L248" s="58"/>
      <c r="M248" s="58"/>
      <c r="N248" s="143"/>
      <c r="O248" s="58"/>
      <c r="P248" s="58"/>
      <c r="Q248" s="58"/>
      <c r="R248" s="143"/>
      <c r="S248" s="56"/>
      <c r="T248" s="56"/>
      <c r="U248" s="78"/>
      <c r="V248" s="58"/>
      <c r="W248" s="79"/>
      <c r="X248" s="7"/>
      <c r="Y248" s="7"/>
      <c r="Z248" s="7"/>
      <c r="AA248" s="7"/>
      <c r="AB248" s="7"/>
      <c r="AC248" s="7"/>
      <c r="AD248" s="9"/>
      <c r="AE248" s="9"/>
      <c r="AF248" s="77">
        <f t="shared" si="17"/>
        <v>0</v>
      </c>
      <c r="AG248" s="4"/>
      <c r="AH248" s="4"/>
      <c r="AI248" s="9">
        <f t="shared" si="18"/>
        <v>0</v>
      </c>
      <c r="AJ248" s="145">
        <f t="shared" si="15"/>
        <v>0</v>
      </c>
      <c r="AK248" s="115"/>
    </row>
    <row r="249" spans="1:39" ht="37.5" customHeight="1" x14ac:dyDescent="0.25">
      <c r="A249" s="27"/>
      <c r="B249" s="44">
        <v>252</v>
      </c>
      <c r="C249" s="56"/>
      <c r="D249" s="56"/>
      <c r="E249" s="56"/>
      <c r="F249" s="56"/>
      <c r="G249" s="57"/>
      <c r="H249" s="56"/>
      <c r="I249" s="56"/>
      <c r="J249" s="58"/>
      <c r="K249" s="58"/>
      <c r="L249" s="58"/>
      <c r="M249" s="58"/>
      <c r="N249" s="143"/>
      <c r="O249" s="58"/>
      <c r="P249" s="58"/>
      <c r="Q249" s="58"/>
      <c r="R249" s="143"/>
      <c r="S249" s="56"/>
      <c r="T249" s="56"/>
      <c r="U249" s="78"/>
      <c r="V249" s="79"/>
      <c r="W249" s="79"/>
      <c r="X249" s="7"/>
      <c r="Y249" s="7"/>
      <c r="Z249" s="7"/>
      <c r="AA249" s="7"/>
      <c r="AB249" s="7"/>
      <c r="AC249" s="7"/>
      <c r="AD249" s="9"/>
      <c r="AE249" s="9"/>
      <c r="AF249" s="77">
        <f t="shared" si="17"/>
        <v>0</v>
      </c>
      <c r="AG249" s="4"/>
      <c r="AH249" s="4"/>
      <c r="AI249" s="9">
        <f t="shared" si="18"/>
        <v>0</v>
      </c>
      <c r="AJ249" s="145">
        <f t="shared" si="15"/>
        <v>0</v>
      </c>
      <c r="AK249" s="115"/>
    </row>
    <row r="250" spans="1:39" ht="37.5" customHeight="1" x14ac:dyDescent="0.25">
      <c r="A250" s="27"/>
      <c r="B250" s="44"/>
      <c r="C250" s="56"/>
      <c r="D250" s="56"/>
      <c r="E250" s="56"/>
      <c r="F250" s="56"/>
      <c r="G250" s="57"/>
      <c r="H250" s="56"/>
      <c r="I250" s="56"/>
      <c r="J250" s="58"/>
      <c r="K250" s="58"/>
      <c r="L250" s="58"/>
      <c r="M250" s="58"/>
      <c r="N250" s="143"/>
      <c r="O250" s="58"/>
      <c r="P250" s="58"/>
      <c r="Q250" s="58"/>
      <c r="R250" s="143"/>
      <c r="S250" s="56"/>
      <c r="T250" s="56"/>
      <c r="U250" s="78"/>
      <c r="V250" s="58"/>
      <c r="W250" s="79"/>
      <c r="X250" s="7"/>
      <c r="Y250" s="7"/>
      <c r="Z250" s="7"/>
      <c r="AA250" s="7"/>
      <c r="AB250" s="7"/>
      <c r="AC250" s="7"/>
      <c r="AD250" s="9"/>
      <c r="AE250" s="9"/>
      <c r="AF250" s="77">
        <f t="shared" si="17"/>
        <v>0</v>
      </c>
      <c r="AG250" s="4"/>
      <c r="AH250" s="4"/>
      <c r="AI250" s="9">
        <f t="shared" si="18"/>
        <v>0</v>
      </c>
      <c r="AJ250" s="145">
        <f t="shared" si="15"/>
        <v>0</v>
      </c>
      <c r="AK250" s="115"/>
    </row>
    <row r="251" spans="1:39" ht="37.5" customHeight="1" x14ac:dyDescent="0.25">
      <c r="A251" s="27"/>
      <c r="B251" s="44"/>
      <c r="C251" s="56"/>
      <c r="D251" s="56"/>
      <c r="E251" s="56"/>
      <c r="F251" s="56"/>
      <c r="G251" s="57"/>
      <c r="H251" s="56"/>
      <c r="I251" s="56"/>
      <c r="J251" s="58"/>
      <c r="K251" s="58"/>
      <c r="L251" s="58"/>
      <c r="M251" s="58"/>
      <c r="N251" s="143"/>
      <c r="O251" s="58"/>
      <c r="P251" s="58"/>
      <c r="Q251" s="58"/>
      <c r="R251" s="143"/>
      <c r="S251" s="56"/>
      <c r="T251" s="56"/>
      <c r="U251" s="78"/>
      <c r="V251" s="58"/>
      <c r="W251" s="79"/>
      <c r="X251" s="7"/>
      <c r="Y251" s="7"/>
      <c r="Z251" s="7"/>
      <c r="AA251" s="7"/>
      <c r="AB251" s="7"/>
      <c r="AC251" s="7"/>
      <c r="AD251" s="9"/>
      <c r="AE251" s="9"/>
      <c r="AF251" s="77">
        <f t="shared" si="17"/>
        <v>0</v>
      </c>
      <c r="AG251" s="4"/>
      <c r="AH251" s="4"/>
      <c r="AI251" s="9">
        <f t="shared" si="18"/>
        <v>0</v>
      </c>
      <c r="AJ251" s="145">
        <f t="shared" si="15"/>
        <v>0</v>
      </c>
      <c r="AK251" s="115"/>
    </row>
    <row r="252" spans="1:39" ht="37.5" customHeight="1" x14ac:dyDescent="0.25">
      <c r="A252" s="27"/>
      <c r="B252" s="44"/>
      <c r="C252" s="107"/>
      <c r="D252" s="56"/>
      <c r="E252" s="56"/>
      <c r="F252" s="56"/>
      <c r="G252" s="57"/>
      <c r="H252" s="56"/>
      <c r="I252" s="14"/>
      <c r="J252" s="9"/>
      <c r="K252" s="9"/>
      <c r="L252" s="9"/>
      <c r="M252" s="9"/>
      <c r="N252" s="11"/>
      <c r="O252" s="9"/>
      <c r="P252" s="9"/>
      <c r="Q252" s="9"/>
      <c r="R252" s="11"/>
      <c r="S252" s="56"/>
      <c r="T252" s="56"/>
      <c r="U252" s="78"/>
      <c r="V252" s="58"/>
      <c r="W252" s="79"/>
      <c r="X252" s="7"/>
      <c r="Y252" s="7"/>
      <c r="Z252" s="7"/>
      <c r="AA252" s="7"/>
      <c r="AB252" s="7"/>
      <c r="AC252" s="7"/>
      <c r="AD252" s="9"/>
      <c r="AE252" s="9"/>
      <c r="AF252" s="77">
        <f t="shared" si="17"/>
        <v>0</v>
      </c>
      <c r="AG252" s="4"/>
      <c r="AH252" s="4"/>
      <c r="AI252" s="9">
        <f t="shared" si="18"/>
        <v>0</v>
      </c>
      <c r="AJ252" s="145">
        <f t="shared" si="15"/>
        <v>0</v>
      </c>
      <c r="AK252" s="115"/>
    </row>
    <row r="253" spans="1:39" ht="42.75" customHeight="1" x14ac:dyDescent="0.25">
      <c r="A253" s="27"/>
      <c r="B253" s="44"/>
      <c r="C253" s="56"/>
      <c r="D253" s="56"/>
      <c r="E253" s="56"/>
      <c r="F253" s="56"/>
      <c r="G253" s="57"/>
      <c r="H253" s="56"/>
      <c r="I253" s="14"/>
      <c r="J253" s="9"/>
      <c r="K253" s="9"/>
      <c r="L253" s="9"/>
      <c r="M253" s="9"/>
      <c r="N253" s="11"/>
      <c r="O253" s="9"/>
      <c r="P253" s="9"/>
      <c r="Q253" s="9"/>
      <c r="R253" s="11"/>
      <c r="S253" s="56"/>
      <c r="T253" s="56"/>
      <c r="U253" s="78"/>
      <c r="V253" s="58"/>
      <c r="W253" s="79"/>
      <c r="X253" s="9"/>
      <c r="Y253" s="7"/>
      <c r="Z253" s="9"/>
      <c r="AA253" s="7"/>
      <c r="AB253" s="9"/>
      <c r="AC253" s="7"/>
      <c r="AD253" s="9"/>
      <c r="AE253" s="9"/>
      <c r="AF253" s="77">
        <f t="shared" si="17"/>
        <v>0</v>
      </c>
      <c r="AG253" s="4"/>
      <c r="AH253" s="4"/>
      <c r="AI253" s="9">
        <f t="shared" si="18"/>
        <v>0</v>
      </c>
      <c r="AJ253" s="145">
        <f t="shared" si="15"/>
        <v>0</v>
      </c>
      <c r="AK253" s="115"/>
    </row>
    <row r="254" spans="1:39" ht="42" customHeight="1" x14ac:dyDescent="0.25">
      <c r="A254" s="27"/>
      <c r="B254" s="44"/>
      <c r="C254" s="14"/>
      <c r="D254" s="14"/>
      <c r="E254" s="56"/>
      <c r="F254" s="56"/>
      <c r="G254" s="57"/>
      <c r="H254" s="56"/>
      <c r="I254" s="14"/>
      <c r="J254" s="9"/>
      <c r="K254" s="9"/>
      <c r="L254" s="9"/>
      <c r="M254" s="9"/>
      <c r="N254" s="11"/>
      <c r="O254" s="9"/>
      <c r="P254" s="9"/>
      <c r="Q254" s="9"/>
      <c r="R254" s="11"/>
      <c r="S254" s="56"/>
      <c r="T254" s="14"/>
      <c r="U254" s="17"/>
      <c r="V254" s="79"/>
      <c r="W254" s="79"/>
      <c r="X254" s="7"/>
      <c r="Y254" s="7"/>
      <c r="Z254" s="7"/>
      <c r="AA254" s="7"/>
      <c r="AB254" s="7"/>
      <c r="AC254" s="7"/>
      <c r="AD254" s="9"/>
      <c r="AE254" s="9"/>
      <c r="AF254" s="77">
        <f>S254-T254-V254-X254-Z254-AB254-AD254</f>
        <v>0</v>
      </c>
      <c r="AG254" s="4"/>
      <c r="AH254" s="4"/>
      <c r="AI254" s="4">
        <f>+T254+V254+X254+Z254+AB254+AD254</f>
        <v>0</v>
      </c>
      <c r="AJ254" s="145">
        <f t="shared" si="15"/>
        <v>0</v>
      </c>
      <c r="AK254" s="115"/>
    </row>
    <row r="255" spans="1:39" ht="42.75" customHeight="1" x14ac:dyDescent="0.25">
      <c r="A255" s="27"/>
      <c r="B255" s="44"/>
      <c r="C255" s="44"/>
      <c r="D255" s="44"/>
      <c r="E255" s="56"/>
      <c r="F255" s="56"/>
      <c r="G255" s="57"/>
      <c r="H255" s="56"/>
      <c r="I255" s="14"/>
      <c r="J255" s="9"/>
      <c r="K255" s="9"/>
      <c r="L255" s="9"/>
      <c r="M255" s="9"/>
      <c r="N255" s="11"/>
      <c r="O255" s="9"/>
      <c r="P255" s="9"/>
      <c r="Q255" s="9"/>
      <c r="R255" s="11"/>
      <c r="S255" s="56"/>
      <c r="T255" s="44"/>
      <c r="U255" s="53"/>
      <c r="V255" s="58"/>
      <c r="W255" s="79"/>
      <c r="X255" s="7"/>
      <c r="Y255" s="7"/>
      <c r="Z255" s="7"/>
      <c r="AA255" s="7"/>
      <c r="AB255" s="7"/>
      <c r="AC255" s="7"/>
      <c r="AD255" s="9"/>
      <c r="AE255" s="9"/>
      <c r="AF255" s="77">
        <f t="shared" si="17"/>
        <v>0</v>
      </c>
      <c r="AG255" s="4"/>
      <c r="AH255" s="4"/>
      <c r="AI255" s="22">
        <f t="shared" si="18"/>
        <v>0</v>
      </c>
      <c r="AJ255" s="145">
        <f t="shared" si="15"/>
        <v>0</v>
      </c>
      <c r="AK255" s="115"/>
    </row>
    <row r="256" spans="1:39" ht="37.5" customHeight="1" x14ac:dyDescent="0.25">
      <c r="A256" s="27"/>
      <c r="B256" s="44"/>
      <c r="C256" s="56"/>
      <c r="D256" s="56"/>
      <c r="E256" s="56"/>
      <c r="F256" s="56"/>
      <c r="G256" s="57"/>
      <c r="H256" s="56"/>
      <c r="I256" s="14"/>
      <c r="J256" s="9"/>
      <c r="K256" s="9"/>
      <c r="L256" s="9"/>
      <c r="M256" s="9"/>
      <c r="N256" s="11"/>
      <c r="O256" s="9"/>
      <c r="P256" s="9"/>
      <c r="Q256" s="9"/>
      <c r="R256" s="11"/>
      <c r="S256" s="56"/>
      <c r="T256" s="56"/>
      <c r="U256" s="78"/>
      <c r="V256" s="58"/>
      <c r="W256" s="79"/>
      <c r="X256" s="7"/>
      <c r="Y256" s="13"/>
      <c r="Z256" s="7"/>
      <c r="AA256" s="7"/>
      <c r="AB256" s="7"/>
      <c r="AC256" s="7"/>
      <c r="AD256" s="9"/>
      <c r="AE256" s="9"/>
      <c r="AF256" s="77">
        <f t="shared" si="17"/>
        <v>0</v>
      </c>
      <c r="AG256" s="4"/>
      <c r="AH256" s="4"/>
      <c r="AI256" s="9">
        <f t="shared" si="18"/>
        <v>0</v>
      </c>
      <c r="AJ256" s="145">
        <f t="shared" si="15"/>
        <v>0</v>
      </c>
      <c r="AK256" s="115" t="s">
        <v>58</v>
      </c>
      <c r="AM256" s="115">
        <v>3286803900</v>
      </c>
    </row>
    <row r="257" spans="1:49" ht="37.5" customHeight="1" x14ac:dyDescent="0.25">
      <c r="A257" s="27"/>
      <c r="B257" s="44"/>
      <c r="C257" s="56"/>
      <c r="D257" s="56"/>
      <c r="E257" s="56"/>
      <c r="F257" s="56"/>
      <c r="G257" s="57"/>
      <c r="H257" s="56"/>
      <c r="I257" s="14"/>
      <c r="J257" s="9"/>
      <c r="K257" s="9"/>
      <c r="L257" s="9"/>
      <c r="M257" s="9"/>
      <c r="N257" s="11"/>
      <c r="O257" s="9"/>
      <c r="P257" s="9"/>
      <c r="Q257" s="9"/>
      <c r="R257" s="11"/>
      <c r="S257" s="56"/>
      <c r="T257" s="56"/>
      <c r="U257" s="78"/>
      <c r="V257" s="58"/>
      <c r="W257" s="79"/>
      <c r="X257" s="7"/>
      <c r="Y257" s="13"/>
      <c r="Z257" s="7"/>
      <c r="AA257" s="7"/>
      <c r="AB257" s="7"/>
      <c r="AC257" s="7"/>
      <c r="AD257" s="9"/>
      <c r="AE257" s="9"/>
      <c r="AF257" s="77">
        <f t="shared" si="17"/>
        <v>0</v>
      </c>
      <c r="AG257" s="4"/>
      <c r="AH257" s="4"/>
      <c r="AI257" s="22">
        <f t="shared" si="18"/>
        <v>0</v>
      </c>
      <c r="AJ257" s="145">
        <f t="shared" ref="AJ257:AJ279" si="19">AF257+R257+N257-AG257+AH257</f>
        <v>0</v>
      </c>
      <c r="AK257" s="115"/>
    </row>
    <row r="258" spans="1:49" ht="37.5" customHeight="1" x14ac:dyDescent="0.25">
      <c r="A258" s="27"/>
      <c r="B258" s="44"/>
      <c r="C258" s="56"/>
      <c r="D258" s="56"/>
      <c r="E258" s="56"/>
      <c r="F258" s="56"/>
      <c r="G258" s="57"/>
      <c r="H258" s="56"/>
      <c r="I258" s="14"/>
      <c r="J258" s="9"/>
      <c r="K258" s="9"/>
      <c r="L258" s="9"/>
      <c r="M258" s="9"/>
      <c r="N258" s="11"/>
      <c r="O258" s="9"/>
      <c r="P258" s="9"/>
      <c r="Q258" s="9"/>
      <c r="R258" s="11"/>
      <c r="S258" s="56"/>
      <c r="T258" s="56"/>
      <c r="U258" s="78"/>
      <c r="V258" s="79"/>
      <c r="W258" s="112"/>
      <c r="X258" s="7"/>
      <c r="Y258" s="13"/>
      <c r="Z258" s="7"/>
      <c r="AA258" s="7"/>
      <c r="AB258" s="7"/>
      <c r="AC258" s="7"/>
      <c r="AD258" s="9"/>
      <c r="AE258" s="9"/>
      <c r="AF258" s="77">
        <f t="shared" si="17"/>
        <v>0</v>
      </c>
      <c r="AG258" s="4"/>
      <c r="AH258" s="4"/>
      <c r="AI258" s="4">
        <f t="shared" si="18"/>
        <v>0</v>
      </c>
      <c r="AJ258" s="145">
        <f t="shared" si="19"/>
        <v>0</v>
      </c>
      <c r="AK258" s="115"/>
    </row>
    <row r="259" spans="1:49" ht="37.5" customHeight="1" x14ac:dyDescent="0.25">
      <c r="A259" s="27"/>
      <c r="B259" s="44"/>
      <c r="C259" s="56"/>
      <c r="D259" s="56"/>
      <c r="E259" s="56"/>
      <c r="F259" s="56"/>
      <c r="G259" s="57"/>
      <c r="H259" s="56"/>
      <c r="I259" s="14"/>
      <c r="J259" s="9"/>
      <c r="K259" s="9"/>
      <c r="L259" s="9"/>
      <c r="M259" s="9"/>
      <c r="N259" s="11"/>
      <c r="O259" s="9"/>
      <c r="P259" s="9"/>
      <c r="Q259" s="9"/>
      <c r="R259" s="11"/>
      <c r="S259" s="56"/>
      <c r="T259" s="56"/>
      <c r="U259" s="78"/>
      <c r="V259" s="58"/>
      <c r="W259" s="79"/>
      <c r="X259" s="7"/>
      <c r="Y259" s="7"/>
      <c r="Z259" s="7"/>
      <c r="AA259" s="7"/>
      <c r="AB259" s="7"/>
      <c r="AC259" s="7"/>
      <c r="AD259" s="9"/>
      <c r="AE259" s="9"/>
      <c r="AF259" s="77">
        <f t="shared" si="17"/>
        <v>0</v>
      </c>
      <c r="AG259" s="4"/>
      <c r="AH259" s="4"/>
      <c r="AI259" s="9">
        <f t="shared" si="18"/>
        <v>0</v>
      </c>
      <c r="AJ259" s="145">
        <f t="shared" si="19"/>
        <v>0</v>
      </c>
      <c r="AK259" s="115"/>
    </row>
    <row r="260" spans="1:49" ht="50.25" customHeight="1" x14ac:dyDescent="0.25">
      <c r="A260" s="27"/>
      <c r="B260" s="44"/>
      <c r="C260" s="56"/>
      <c r="D260" s="56"/>
      <c r="E260" s="56"/>
      <c r="F260" s="56"/>
      <c r="G260" s="57"/>
      <c r="H260" s="56"/>
      <c r="I260" s="14"/>
      <c r="J260" s="9"/>
      <c r="K260" s="9"/>
      <c r="L260" s="9"/>
      <c r="M260" s="9"/>
      <c r="N260" s="11"/>
      <c r="O260" s="9"/>
      <c r="P260" s="9"/>
      <c r="Q260" s="9"/>
      <c r="R260" s="11"/>
      <c r="S260" s="56"/>
      <c r="T260" s="56"/>
      <c r="U260" s="78"/>
      <c r="V260" s="58"/>
      <c r="W260" s="79"/>
      <c r="X260" s="7"/>
      <c r="Y260" s="7"/>
      <c r="Z260" s="7"/>
      <c r="AA260" s="7"/>
      <c r="AB260" s="7"/>
      <c r="AC260" s="7"/>
      <c r="AD260" s="9"/>
      <c r="AE260" s="9"/>
      <c r="AF260" s="77">
        <f t="shared" si="17"/>
        <v>0</v>
      </c>
      <c r="AG260" s="4"/>
      <c r="AH260" s="4"/>
      <c r="AI260" s="9">
        <f t="shared" si="18"/>
        <v>0</v>
      </c>
      <c r="AJ260" s="145">
        <f t="shared" si="19"/>
        <v>0</v>
      </c>
      <c r="AK260" s="115"/>
    </row>
    <row r="261" spans="1:49" ht="37.5" customHeight="1" x14ac:dyDescent="0.25">
      <c r="A261" s="27"/>
      <c r="B261" s="44"/>
      <c r="C261" s="56"/>
      <c r="D261" s="56"/>
      <c r="E261" s="56"/>
      <c r="F261" s="56"/>
      <c r="G261" s="57"/>
      <c r="H261" s="56"/>
      <c r="I261" s="14"/>
      <c r="J261" s="9"/>
      <c r="K261" s="9"/>
      <c r="L261" s="9"/>
      <c r="M261" s="9"/>
      <c r="N261" s="11"/>
      <c r="O261" s="9"/>
      <c r="P261" s="9"/>
      <c r="Q261" s="9"/>
      <c r="R261" s="11"/>
      <c r="S261" s="56"/>
      <c r="T261" s="56"/>
      <c r="U261" s="78"/>
      <c r="V261" s="58"/>
      <c r="W261" s="79"/>
      <c r="X261" s="7"/>
      <c r="Y261" s="7"/>
      <c r="Z261" s="7"/>
      <c r="AA261" s="7"/>
      <c r="AB261" s="7"/>
      <c r="AC261" s="7"/>
      <c r="AD261" s="9"/>
      <c r="AE261" s="9"/>
      <c r="AF261" s="77">
        <f t="shared" si="17"/>
        <v>0</v>
      </c>
      <c r="AG261" s="4"/>
      <c r="AH261" s="4"/>
      <c r="AI261" s="9">
        <f t="shared" si="18"/>
        <v>0</v>
      </c>
      <c r="AJ261" s="145">
        <f t="shared" si="19"/>
        <v>0</v>
      </c>
      <c r="AK261" s="115"/>
    </row>
    <row r="262" spans="1:49" ht="37.5" customHeight="1" x14ac:dyDescent="0.25">
      <c r="A262" s="27"/>
      <c r="B262" s="44"/>
      <c r="C262" s="56"/>
      <c r="D262" s="56"/>
      <c r="E262" s="56"/>
      <c r="F262" s="56"/>
      <c r="G262" s="57"/>
      <c r="H262" s="56"/>
      <c r="I262" s="14"/>
      <c r="J262" s="9"/>
      <c r="K262" s="9"/>
      <c r="L262" s="9"/>
      <c r="M262" s="9"/>
      <c r="N262" s="11"/>
      <c r="O262" s="9"/>
      <c r="P262" s="9"/>
      <c r="Q262" s="9"/>
      <c r="R262" s="11"/>
      <c r="S262" s="56"/>
      <c r="T262" s="56"/>
      <c r="U262" s="78"/>
      <c r="V262" s="58"/>
      <c r="W262" s="79"/>
      <c r="X262" s="7"/>
      <c r="Y262" s="7"/>
      <c r="Z262" s="7"/>
      <c r="AA262" s="7"/>
      <c r="AB262" s="7"/>
      <c r="AC262" s="7"/>
      <c r="AD262" s="9"/>
      <c r="AE262" s="9"/>
      <c r="AF262" s="77">
        <f t="shared" si="17"/>
        <v>0</v>
      </c>
      <c r="AG262" s="4"/>
      <c r="AH262" s="4"/>
      <c r="AI262" s="9">
        <f t="shared" si="18"/>
        <v>0</v>
      </c>
      <c r="AJ262" s="145">
        <f t="shared" si="19"/>
        <v>0</v>
      </c>
      <c r="AK262" s="115"/>
    </row>
    <row r="263" spans="1:49" ht="18.75" x14ac:dyDescent="0.25">
      <c r="A263" s="27"/>
      <c r="B263" s="44"/>
      <c r="C263" s="56"/>
      <c r="D263" s="56"/>
      <c r="E263" s="56"/>
      <c r="F263" s="56"/>
      <c r="G263" s="57"/>
      <c r="H263" s="56"/>
      <c r="I263" s="56"/>
      <c r="J263" s="58"/>
      <c r="K263" s="58"/>
      <c r="L263" s="58"/>
      <c r="M263" s="58"/>
      <c r="N263" s="143"/>
      <c r="O263" s="58"/>
      <c r="P263" s="58"/>
      <c r="Q263" s="58"/>
      <c r="R263" s="143"/>
      <c r="S263" s="40"/>
      <c r="T263" s="40"/>
      <c r="U263" s="38"/>
      <c r="V263" s="39"/>
      <c r="W263" s="42"/>
      <c r="X263" s="7"/>
      <c r="Y263" s="7"/>
      <c r="Z263" s="7"/>
      <c r="AA263" s="7"/>
      <c r="AB263" s="7"/>
      <c r="AC263" s="7"/>
      <c r="AD263" s="9"/>
      <c r="AE263" s="9"/>
      <c r="AF263" s="77">
        <f t="shared" si="17"/>
        <v>0</v>
      </c>
      <c r="AG263" s="4"/>
      <c r="AH263" s="4"/>
      <c r="AI263" s="9">
        <f t="shared" si="18"/>
        <v>0</v>
      </c>
      <c r="AJ263" s="145">
        <f t="shared" si="19"/>
        <v>0</v>
      </c>
      <c r="AK263" s="115"/>
    </row>
    <row r="264" spans="1:49" ht="18.75" x14ac:dyDescent="0.25">
      <c r="A264" s="27"/>
      <c r="B264" s="44"/>
      <c r="C264" s="56"/>
      <c r="D264" s="56"/>
      <c r="E264" s="56"/>
      <c r="F264" s="56"/>
      <c r="G264" s="57"/>
      <c r="H264" s="56"/>
      <c r="I264" s="56"/>
      <c r="J264" s="58"/>
      <c r="K264" s="58"/>
      <c r="L264" s="58"/>
      <c r="M264" s="58"/>
      <c r="N264" s="143"/>
      <c r="O264" s="58"/>
      <c r="P264" s="58"/>
      <c r="Q264" s="58"/>
      <c r="R264" s="143"/>
      <c r="S264" s="40"/>
      <c r="T264" s="40"/>
      <c r="U264" s="38"/>
      <c r="V264" s="39"/>
      <c r="W264" s="42"/>
      <c r="X264" s="7"/>
      <c r="Y264" s="7"/>
      <c r="Z264" s="7"/>
      <c r="AA264" s="7"/>
      <c r="AB264" s="7"/>
      <c r="AC264" s="7"/>
      <c r="AD264" s="9"/>
      <c r="AE264" s="9"/>
      <c r="AF264" s="77">
        <f t="shared" si="17"/>
        <v>0</v>
      </c>
      <c r="AG264" s="4"/>
      <c r="AH264" s="4"/>
      <c r="AI264" s="9">
        <f t="shared" si="18"/>
        <v>0</v>
      </c>
      <c r="AJ264" s="145">
        <f t="shared" si="19"/>
        <v>0</v>
      </c>
      <c r="AK264" s="115"/>
    </row>
    <row r="265" spans="1:49" s="81" customFormat="1" ht="56.25" customHeight="1" x14ac:dyDescent="0.25">
      <c r="A265" s="27"/>
      <c r="B265" s="44"/>
      <c r="C265" s="56"/>
      <c r="D265" s="56"/>
      <c r="E265" s="56"/>
      <c r="F265" s="56"/>
      <c r="G265" s="57"/>
      <c r="H265" s="56"/>
      <c r="I265" s="56"/>
      <c r="J265" s="58"/>
      <c r="K265" s="58"/>
      <c r="L265" s="58"/>
      <c r="M265" s="58"/>
      <c r="N265" s="143"/>
      <c r="O265" s="58"/>
      <c r="P265" s="58"/>
      <c r="Q265" s="58"/>
      <c r="R265" s="143"/>
      <c r="S265" s="56"/>
      <c r="T265" s="56"/>
      <c r="U265" s="78"/>
      <c r="V265" s="79"/>
      <c r="W265" s="79"/>
      <c r="X265" s="79"/>
      <c r="Y265" s="79"/>
      <c r="Z265" s="79"/>
      <c r="AA265" s="79"/>
      <c r="AB265" s="79"/>
      <c r="AC265" s="79"/>
      <c r="AD265" s="58"/>
      <c r="AE265" s="58"/>
      <c r="AF265" s="77">
        <f t="shared" si="17"/>
        <v>0</v>
      </c>
      <c r="AG265" s="76"/>
      <c r="AH265" s="76"/>
      <c r="AI265" s="76">
        <f t="shared" si="18"/>
        <v>0</v>
      </c>
      <c r="AJ265" s="145">
        <f t="shared" si="19"/>
        <v>0</v>
      </c>
      <c r="AK265" s="121"/>
      <c r="AL265" s="121"/>
      <c r="AM265" s="121"/>
      <c r="AN265" s="121"/>
      <c r="AO265" s="121"/>
      <c r="AP265" s="121"/>
      <c r="AQ265" s="121"/>
      <c r="AR265" s="80"/>
      <c r="AS265" s="80"/>
      <c r="AT265" s="80"/>
      <c r="AU265" s="80"/>
      <c r="AV265" s="80"/>
      <c r="AW265" s="80"/>
    </row>
    <row r="266" spans="1:49" s="81" customFormat="1" ht="37.5" customHeight="1" x14ac:dyDescent="0.25">
      <c r="A266" s="27"/>
      <c r="B266" s="44"/>
      <c r="C266" s="56"/>
      <c r="D266" s="56"/>
      <c r="E266" s="56"/>
      <c r="F266" s="56"/>
      <c r="G266" s="57"/>
      <c r="H266" s="56"/>
      <c r="I266" s="56"/>
      <c r="J266" s="58"/>
      <c r="K266" s="58"/>
      <c r="L266" s="58"/>
      <c r="M266" s="58"/>
      <c r="N266" s="143"/>
      <c r="O266" s="58"/>
      <c r="P266" s="58"/>
      <c r="Q266" s="58"/>
      <c r="R266" s="143"/>
      <c r="S266" s="56"/>
      <c r="T266" s="56"/>
      <c r="U266" s="78"/>
      <c r="V266" s="79"/>
      <c r="W266" s="79"/>
      <c r="X266" s="79"/>
      <c r="Y266" s="79"/>
      <c r="Z266" s="79"/>
      <c r="AA266" s="79"/>
      <c r="AB266" s="79"/>
      <c r="AC266" s="79"/>
      <c r="AD266" s="58"/>
      <c r="AE266" s="58"/>
      <c r="AF266" s="77">
        <f t="shared" si="17"/>
        <v>0</v>
      </c>
      <c r="AG266" s="76"/>
      <c r="AH266" s="76"/>
      <c r="AI266" s="58">
        <f t="shared" si="18"/>
        <v>0</v>
      </c>
      <c r="AJ266" s="145">
        <f t="shared" si="19"/>
        <v>0</v>
      </c>
      <c r="AK266" s="121"/>
      <c r="AL266" s="121"/>
      <c r="AM266" s="121"/>
      <c r="AN266" s="121"/>
      <c r="AO266" s="121"/>
      <c r="AP266" s="121"/>
      <c r="AQ266" s="121"/>
      <c r="AR266" s="80"/>
      <c r="AS266" s="80"/>
      <c r="AT266" s="80"/>
      <c r="AU266" s="80"/>
      <c r="AV266" s="80"/>
      <c r="AW266" s="80"/>
    </row>
    <row r="267" spans="1:49" s="81" customFormat="1" ht="37.5" customHeight="1" x14ac:dyDescent="0.25">
      <c r="A267" s="27"/>
      <c r="B267" s="44"/>
      <c r="C267" s="56"/>
      <c r="D267" s="56"/>
      <c r="E267" s="56"/>
      <c r="F267" s="56"/>
      <c r="G267" s="57"/>
      <c r="H267" s="56"/>
      <c r="I267" s="56"/>
      <c r="J267" s="58"/>
      <c r="K267" s="58"/>
      <c r="L267" s="58"/>
      <c r="M267" s="58"/>
      <c r="N267" s="143"/>
      <c r="O267" s="58"/>
      <c r="P267" s="58"/>
      <c r="Q267" s="58"/>
      <c r="R267" s="143"/>
      <c r="S267" s="56"/>
      <c r="T267" s="56"/>
      <c r="U267" s="78"/>
      <c r="V267" s="79"/>
      <c r="W267" s="79"/>
      <c r="X267" s="79"/>
      <c r="Y267" s="79"/>
      <c r="Z267" s="79"/>
      <c r="AA267" s="79"/>
      <c r="AB267" s="79"/>
      <c r="AC267" s="79"/>
      <c r="AD267" s="58"/>
      <c r="AE267" s="58"/>
      <c r="AF267" s="77">
        <f t="shared" si="17"/>
        <v>0</v>
      </c>
      <c r="AG267" s="76"/>
      <c r="AH267" s="76"/>
      <c r="AI267" s="58">
        <f t="shared" si="18"/>
        <v>0</v>
      </c>
      <c r="AJ267" s="145">
        <f t="shared" si="19"/>
        <v>0</v>
      </c>
      <c r="AK267" s="121"/>
      <c r="AL267" s="121"/>
      <c r="AM267" s="121"/>
      <c r="AN267" s="121"/>
      <c r="AO267" s="121"/>
      <c r="AP267" s="121"/>
      <c r="AQ267" s="121"/>
      <c r="AR267" s="80"/>
      <c r="AS267" s="80"/>
      <c r="AT267" s="80"/>
      <c r="AU267" s="80"/>
      <c r="AV267" s="80"/>
      <c r="AW267" s="80"/>
    </row>
    <row r="268" spans="1:49" s="81" customFormat="1" ht="37.5" customHeight="1" x14ac:dyDescent="0.25">
      <c r="A268" s="27"/>
      <c r="B268" s="44"/>
      <c r="C268" s="19"/>
      <c r="D268" s="14"/>
      <c r="E268" s="14"/>
      <c r="F268" s="14"/>
      <c r="G268" s="14"/>
      <c r="H268" s="56"/>
      <c r="I268" s="56"/>
      <c r="J268" s="58"/>
      <c r="K268" s="58"/>
      <c r="L268" s="58"/>
      <c r="M268" s="58"/>
      <c r="N268" s="143"/>
      <c r="O268" s="58"/>
      <c r="P268" s="58"/>
      <c r="Q268" s="58"/>
      <c r="R268" s="143"/>
      <c r="S268" s="56"/>
      <c r="T268" s="56"/>
      <c r="U268" s="78"/>
      <c r="V268" s="79"/>
      <c r="W268" s="79"/>
      <c r="X268" s="79"/>
      <c r="Y268" s="79"/>
      <c r="Z268" s="79"/>
      <c r="AA268" s="79"/>
      <c r="AB268" s="79"/>
      <c r="AC268" s="79"/>
      <c r="AD268" s="58"/>
      <c r="AE268" s="58"/>
      <c r="AF268" s="77">
        <f t="shared" si="17"/>
        <v>0</v>
      </c>
      <c r="AG268" s="76"/>
      <c r="AH268" s="76"/>
      <c r="AI268" s="76">
        <f t="shared" si="18"/>
        <v>0</v>
      </c>
      <c r="AJ268" s="145">
        <f t="shared" si="19"/>
        <v>0</v>
      </c>
      <c r="AK268" s="121"/>
      <c r="AL268" s="121"/>
      <c r="AM268" s="121"/>
      <c r="AN268" s="121"/>
      <c r="AO268" s="121"/>
      <c r="AP268" s="121"/>
      <c r="AQ268" s="121"/>
      <c r="AR268" s="80"/>
      <c r="AS268" s="80"/>
      <c r="AT268" s="80"/>
      <c r="AU268" s="80"/>
      <c r="AV268" s="80"/>
      <c r="AW268" s="80"/>
    </row>
    <row r="269" spans="1:49" s="81" customFormat="1" ht="56.25" customHeight="1" x14ac:dyDescent="0.25">
      <c r="A269" s="27"/>
      <c r="B269" s="44"/>
      <c r="C269" s="56"/>
      <c r="D269" s="56"/>
      <c r="E269" s="56"/>
      <c r="F269" s="56"/>
      <c r="G269" s="57"/>
      <c r="H269" s="56"/>
      <c r="I269" s="56"/>
      <c r="J269" s="58"/>
      <c r="K269" s="58"/>
      <c r="L269" s="58"/>
      <c r="M269" s="58"/>
      <c r="N269" s="143"/>
      <c r="O269" s="58"/>
      <c r="P269" s="58"/>
      <c r="Q269" s="58"/>
      <c r="R269" s="143"/>
      <c r="S269" s="56"/>
      <c r="T269" s="56"/>
      <c r="U269" s="78"/>
      <c r="V269" s="79"/>
      <c r="W269" s="79"/>
      <c r="X269" s="79"/>
      <c r="Y269" s="79"/>
      <c r="Z269" s="79"/>
      <c r="AA269" s="79"/>
      <c r="AB269" s="79"/>
      <c r="AC269" s="79"/>
      <c r="AD269" s="58"/>
      <c r="AE269" s="58"/>
      <c r="AF269" s="77">
        <f t="shared" si="17"/>
        <v>0</v>
      </c>
      <c r="AG269" s="76"/>
      <c r="AH269" s="76"/>
      <c r="AI269" s="76">
        <f t="shared" si="18"/>
        <v>0</v>
      </c>
      <c r="AJ269" s="145">
        <f t="shared" si="19"/>
        <v>0</v>
      </c>
      <c r="AK269" s="121"/>
      <c r="AL269" s="121"/>
      <c r="AM269" s="121"/>
      <c r="AN269" s="121"/>
      <c r="AO269" s="121"/>
      <c r="AP269" s="121"/>
      <c r="AQ269" s="121"/>
      <c r="AR269" s="80"/>
      <c r="AS269" s="80"/>
      <c r="AT269" s="80"/>
      <c r="AU269" s="80"/>
      <c r="AV269" s="80"/>
      <c r="AW269" s="80"/>
    </row>
    <row r="270" spans="1:49" s="81" customFormat="1" ht="56.25" customHeight="1" x14ac:dyDescent="0.25">
      <c r="A270" s="27"/>
      <c r="B270" s="44"/>
      <c r="C270" s="56"/>
      <c r="D270" s="56"/>
      <c r="E270" s="56"/>
      <c r="F270" s="56"/>
      <c r="G270" s="57"/>
      <c r="H270" s="56"/>
      <c r="I270" s="56"/>
      <c r="J270" s="58"/>
      <c r="K270" s="58"/>
      <c r="L270" s="58"/>
      <c r="M270" s="58"/>
      <c r="N270" s="143"/>
      <c r="O270" s="58"/>
      <c r="P270" s="58"/>
      <c r="Q270" s="58"/>
      <c r="R270" s="143"/>
      <c r="S270" s="56"/>
      <c r="T270" s="56"/>
      <c r="U270" s="78"/>
      <c r="V270" s="79"/>
      <c r="W270" s="79"/>
      <c r="X270" s="79"/>
      <c r="Y270" s="79"/>
      <c r="Z270" s="79"/>
      <c r="AA270" s="79"/>
      <c r="AB270" s="79"/>
      <c r="AC270" s="79"/>
      <c r="AD270" s="58"/>
      <c r="AE270" s="58"/>
      <c r="AF270" s="77">
        <f t="shared" si="17"/>
        <v>0</v>
      </c>
      <c r="AG270" s="76"/>
      <c r="AH270" s="76"/>
      <c r="AI270" s="58">
        <f t="shared" si="18"/>
        <v>0</v>
      </c>
      <c r="AJ270" s="145">
        <f t="shared" si="19"/>
        <v>0</v>
      </c>
      <c r="AK270" s="121"/>
      <c r="AL270" s="121"/>
      <c r="AM270" s="121"/>
      <c r="AN270" s="121"/>
      <c r="AO270" s="121"/>
      <c r="AP270" s="121"/>
      <c r="AQ270" s="121"/>
      <c r="AR270" s="80"/>
      <c r="AS270" s="80"/>
      <c r="AT270" s="80"/>
      <c r="AU270" s="80"/>
      <c r="AV270" s="80"/>
      <c r="AW270" s="80"/>
    </row>
    <row r="271" spans="1:49" s="81" customFormat="1" ht="39" customHeight="1" x14ac:dyDescent="0.25">
      <c r="A271" s="27"/>
      <c r="B271" s="44"/>
      <c r="C271" s="56"/>
      <c r="D271" s="56"/>
      <c r="E271" s="56"/>
      <c r="F271" s="56"/>
      <c r="G271" s="57"/>
      <c r="H271" s="56"/>
      <c r="I271" s="56"/>
      <c r="J271" s="58"/>
      <c r="K271" s="58"/>
      <c r="L271" s="58"/>
      <c r="M271" s="58"/>
      <c r="N271" s="143"/>
      <c r="O271" s="58"/>
      <c r="P271" s="58"/>
      <c r="Q271" s="58"/>
      <c r="R271" s="143"/>
      <c r="S271" s="56"/>
      <c r="T271" s="56"/>
      <c r="U271" s="78"/>
      <c r="V271" s="79"/>
      <c r="W271" s="79"/>
      <c r="X271" s="79"/>
      <c r="Y271" s="79"/>
      <c r="Z271" s="79"/>
      <c r="AA271" s="79"/>
      <c r="AB271" s="79"/>
      <c r="AC271" s="79"/>
      <c r="AD271" s="58"/>
      <c r="AE271" s="58"/>
      <c r="AF271" s="77">
        <f t="shared" si="17"/>
        <v>0</v>
      </c>
      <c r="AG271" s="76"/>
      <c r="AH271" s="76"/>
      <c r="AI271" s="76">
        <f t="shared" si="18"/>
        <v>0</v>
      </c>
      <c r="AJ271" s="145">
        <f t="shared" si="19"/>
        <v>0</v>
      </c>
      <c r="AK271" s="121"/>
      <c r="AL271" s="121"/>
      <c r="AM271" s="121"/>
      <c r="AN271" s="121"/>
      <c r="AO271" s="121"/>
      <c r="AP271" s="121"/>
      <c r="AQ271" s="121"/>
      <c r="AR271" s="80"/>
      <c r="AS271" s="80"/>
      <c r="AT271" s="80"/>
      <c r="AU271" s="80"/>
      <c r="AV271" s="80"/>
      <c r="AW271" s="80"/>
    </row>
    <row r="272" spans="1:49" s="81" customFormat="1" ht="36.75" customHeight="1" x14ac:dyDescent="0.25">
      <c r="A272" s="27"/>
      <c r="B272" s="44"/>
      <c r="C272" s="56"/>
      <c r="D272" s="56"/>
      <c r="E272" s="56"/>
      <c r="F272" s="56"/>
      <c r="G272" s="57"/>
      <c r="H272" s="56"/>
      <c r="I272" s="56"/>
      <c r="J272" s="58"/>
      <c r="K272" s="58"/>
      <c r="L272" s="58"/>
      <c r="M272" s="58"/>
      <c r="N272" s="143"/>
      <c r="O272" s="58"/>
      <c r="P272" s="58"/>
      <c r="Q272" s="58"/>
      <c r="R272" s="143"/>
      <c r="S272" s="56"/>
      <c r="T272" s="56"/>
      <c r="U272" s="78"/>
      <c r="V272" s="79"/>
      <c r="W272" s="79"/>
      <c r="X272" s="79"/>
      <c r="Y272" s="79"/>
      <c r="Z272" s="79"/>
      <c r="AA272" s="79"/>
      <c r="AB272" s="79"/>
      <c r="AC272" s="79"/>
      <c r="AD272" s="58"/>
      <c r="AE272" s="58"/>
      <c r="AF272" s="77">
        <f t="shared" si="17"/>
        <v>0</v>
      </c>
      <c r="AG272" s="76"/>
      <c r="AH272" s="76"/>
      <c r="AI272" s="76">
        <f t="shared" si="18"/>
        <v>0</v>
      </c>
      <c r="AJ272" s="145">
        <f t="shared" si="19"/>
        <v>0</v>
      </c>
      <c r="AK272" s="121"/>
      <c r="AL272" s="121"/>
      <c r="AM272" s="121"/>
      <c r="AN272" s="121"/>
      <c r="AO272" s="121"/>
      <c r="AP272" s="121"/>
      <c r="AQ272" s="121"/>
      <c r="AR272" s="80"/>
      <c r="AS272" s="80"/>
      <c r="AT272" s="80"/>
      <c r="AU272" s="80"/>
      <c r="AV272" s="80"/>
      <c r="AW272" s="80"/>
    </row>
    <row r="273" spans="1:49" s="81" customFormat="1" ht="56.25" customHeight="1" x14ac:dyDescent="0.25">
      <c r="A273" s="27"/>
      <c r="B273" s="44"/>
      <c r="C273" s="56"/>
      <c r="D273" s="56"/>
      <c r="E273" s="56"/>
      <c r="F273" s="56"/>
      <c r="G273" s="57"/>
      <c r="H273" s="56"/>
      <c r="I273" s="56"/>
      <c r="J273" s="58"/>
      <c r="K273" s="58"/>
      <c r="L273" s="58"/>
      <c r="M273" s="58"/>
      <c r="N273" s="143"/>
      <c r="O273" s="58"/>
      <c r="P273" s="58"/>
      <c r="Q273" s="58"/>
      <c r="R273" s="143"/>
      <c r="S273" s="56"/>
      <c r="T273" s="56"/>
      <c r="U273" s="78"/>
      <c r="V273" s="79"/>
      <c r="W273" s="79"/>
      <c r="X273" s="79"/>
      <c r="Y273" s="79"/>
      <c r="Z273" s="79"/>
      <c r="AA273" s="79"/>
      <c r="AB273" s="79"/>
      <c r="AC273" s="79"/>
      <c r="AD273" s="58"/>
      <c r="AE273" s="58"/>
      <c r="AF273" s="77">
        <f t="shared" si="17"/>
        <v>0</v>
      </c>
      <c r="AG273" s="76"/>
      <c r="AH273" s="76"/>
      <c r="AI273" s="76">
        <f t="shared" si="18"/>
        <v>0</v>
      </c>
      <c r="AJ273" s="145">
        <f t="shared" si="19"/>
        <v>0</v>
      </c>
      <c r="AK273" s="121"/>
      <c r="AL273" s="121"/>
      <c r="AM273" s="121"/>
      <c r="AN273" s="121"/>
      <c r="AO273" s="121"/>
      <c r="AP273" s="121"/>
      <c r="AQ273" s="121"/>
      <c r="AR273" s="80"/>
      <c r="AS273" s="80"/>
      <c r="AT273" s="80"/>
      <c r="AU273" s="80"/>
      <c r="AV273" s="80"/>
      <c r="AW273" s="80"/>
    </row>
    <row r="274" spans="1:49" s="81" customFormat="1" ht="56.25" customHeight="1" x14ac:dyDescent="0.25">
      <c r="A274" s="27"/>
      <c r="B274" s="44"/>
      <c r="C274" s="56"/>
      <c r="D274" s="56"/>
      <c r="E274" s="56"/>
      <c r="F274" s="56"/>
      <c r="G274" s="57"/>
      <c r="H274" s="56"/>
      <c r="I274" s="56"/>
      <c r="J274" s="58"/>
      <c r="K274" s="58"/>
      <c r="L274" s="58"/>
      <c r="M274" s="58"/>
      <c r="N274" s="143"/>
      <c r="O274" s="58"/>
      <c r="P274" s="58"/>
      <c r="Q274" s="58"/>
      <c r="R274" s="143"/>
      <c r="S274" s="56"/>
      <c r="T274" s="56"/>
      <c r="U274" s="78"/>
      <c r="V274" s="79"/>
      <c r="W274" s="79"/>
      <c r="X274" s="79"/>
      <c r="Y274" s="79"/>
      <c r="Z274" s="79"/>
      <c r="AA274" s="79"/>
      <c r="AB274" s="79"/>
      <c r="AC274" s="79"/>
      <c r="AD274" s="58"/>
      <c r="AE274" s="58"/>
      <c r="AF274" s="77">
        <f t="shared" si="17"/>
        <v>0</v>
      </c>
      <c r="AG274" s="76"/>
      <c r="AH274" s="76"/>
      <c r="AI274" s="76">
        <f t="shared" si="18"/>
        <v>0</v>
      </c>
      <c r="AJ274" s="145">
        <f t="shared" si="19"/>
        <v>0</v>
      </c>
      <c r="AK274" s="121"/>
      <c r="AL274" s="121"/>
      <c r="AM274" s="121"/>
      <c r="AN274" s="121"/>
      <c r="AO274" s="121"/>
      <c r="AP274" s="121"/>
      <c r="AQ274" s="121"/>
      <c r="AR274" s="80"/>
      <c r="AS274" s="80"/>
      <c r="AT274" s="80"/>
      <c r="AU274" s="80"/>
      <c r="AV274" s="80"/>
      <c r="AW274" s="80"/>
    </row>
    <row r="275" spans="1:49" s="81" customFormat="1" ht="37.5" customHeight="1" x14ac:dyDescent="0.25">
      <c r="A275" s="27"/>
      <c r="B275" s="44"/>
      <c r="C275" s="56"/>
      <c r="D275" s="56"/>
      <c r="E275" s="56"/>
      <c r="F275" s="56"/>
      <c r="G275" s="57"/>
      <c r="H275" s="56"/>
      <c r="I275" s="56"/>
      <c r="J275" s="58"/>
      <c r="K275" s="58"/>
      <c r="L275" s="58"/>
      <c r="M275" s="58"/>
      <c r="N275" s="143"/>
      <c r="O275" s="58"/>
      <c r="P275" s="58"/>
      <c r="Q275" s="58"/>
      <c r="R275" s="143"/>
      <c r="S275" s="56"/>
      <c r="T275" s="56"/>
      <c r="U275" s="78"/>
      <c r="V275" s="79"/>
      <c r="W275" s="79"/>
      <c r="X275" s="79"/>
      <c r="Y275" s="79"/>
      <c r="Z275" s="79"/>
      <c r="AA275" s="79"/>
      <c r="AB275" s="79"/>
      <c r="AC275" s="79"/>
      <c r="AD275" s="58"/>
      <c r="AE275" s="58"/>
      <c r="AF275" s="77">
        <f t="shared" si="17"/>
        <v>0</v>
      </c>
      <c r="AG275" s="76"/>
      <c r="AH275" s="76"/>
      <c r="AI275" s="76">
        <f t="shared" si="18"/>
        <v>0</v>
      </c>
      <c r="AJ275" s="145">
        <f t="shared" si="19"/>
        <v>0</v>
      </c>
      <c r="AK275" s="121"/>
      <c r="AL275" s="121"/>
      <c r="AM275" s="121"/>
      <c r="AN275" s="121"/>
      <c r="AO275" s="121"/>
      <c r="AP275" s="121"/>
      <c r="AQ275" s="121"/>
      <c r="AR275" s="80"/>
      <c r="AS275" s="80"/>
      <c r="AT275" s="80"/>
      <c r="AU275" s="80"/>
      <c r="AV275" s="80"/>
      <c r="AW275" s="80"/>
    </row>
    <row r="276" spans="1:49" s="81" customFormat="1" ht="37.5" customHeight="1" x14ac:dyDescent="0.25">
      <c r="A276" s="27"/>
      <c r="B276" s="44"/>
      <c r="C276" s="56"/>
      <c r="D276" s="56"/>
      <c r="E276" s="56"/>
      <c r="F276" s="56"/>
      <c r="G276" s="57"/>
      <c r="H276" s="56"/>
      <c r="I276" s="56"/>
      <c r="J276" s="58"/>
      <c r="K276" s="58"/>
      <c r="L276" s="58"/>
      <c r="M276" s="58"/>
      <c r="N276" s="143"/>
      <c r="O276" s="58"/>
      <c r="P276" s="58"/>
      <c r="Q276" s="58"/>
      <c r="R276" s="143"/>
      <c r="S276" s="56"/>
      <c r="T276" s="56"/>
      <c r="U276" s="78"/>
      <c r="V276" s="79"/>
      <c r="W276" s="79"/>
      <c r="X276" s="79"/>
      <c r="Y276" s="79"/>
      <c r="Z276" s="79"/>
      <c r="AA276" s="79"/>
      <c r="AB276" s="79"/>
      <c r="AC276" s="79"/>
      <c r="AD276" s="58"/>
      <c r="AE276" s="58"/>
      <c r="AF276" s="77">
        <f t="shared" si="17"/>
        <v>0</v>
      </c>
      <c r="AG276" s="76"/>
      <c r="AH276" s="76"/>
      <c r="AI276" s="76">
        <f t="shared" si="18"/>
        <v>0</v>
      </c>
      <c r="AJ276" s="145">
        <f t="shared" si="19"/>
        <v>0</v>
      </c>
      <c r="AK276" s="121"/>
      <c r="AL276" s="121"/>
      <c r="AM276" s="121"/>
      <c r="AN276" s="121"/>
      <c r="AO276" s="121"/>
      <c r="AP276" s="121"/>
      <c r="AQ276" s="121"/>
      <c r="AR276" s="80"/>
      <c r="AS276" s="80"/>
      <c r="AT276" s="80"/>
      <c r="AU276" s="80"/>
      <c r="AV276" s="80"/>
      <c r="AW276" s="80"/>
    </row>
    <row r="277" spans="1:49" s="81" customFormat="1" ht="37.5" customHeight="1" x14ac:dyDescent="0.25">
      <c r="A277" s="27"/>
      <c r="B277" s="44"/>
      <c r="C277" s="56"/>
      <c r="D277" s="56"/>
      <c r="E277" s="56"/>
      <c r="F277" s="56"/>
      <c r="G277" s="57"/>
      <c r="H277" s="56"/>
      <c r="I277" s="56"/>
      <c r="J277" s="58"/>
      <c r="K277" s="58"/>
      <c r="L277" s="58"/>
      <c r="M277" s="58"/>
      <c r="N277" s="143"/>
      <c r="O277" s="58"/>
      <c r="P277" s="58"/>
      <c r="Q277" s="58"/>
      <c r="R277" s="143"/>
      <c r="S277" s="56"/>
      <c r="T277" s="56"/>
      <c r="U277" s="78"/>
      <c r="V277" s="79"/>
      <c r="W277" s="79"/>
      <c r="X277" s="79"/>
      <c r="Y277" s="79"/>
      <c r="Z277" s="79"/>
      <c r="AA277" s="79"/>
      <c r="AB277" s="79"/>
      <c r="AC277" s="79"/>
      <c r="AD277" s="58"/>
      <c r="AE277" s="58"/>
      <c r="AF277" s="77">
        <f t="shared" si="17"/>
        <v>0</v>
      </c>
      <c r="AG277" s="76"/>
      <c r="AH277" s="76"/>
      <c r="AI277" s="76">
        <f t="shared" si="18"/>
        <v>0</v>
      </c>
      <c r="AJ277" s="145">
        <f t="shared" si="19"/>
        <v>0</v>
      </c>
      <c r="AK277" s="121"/>
      <c r="AL277" s="121"/>
      <c r="AM277" s="121"/>
      <c r="AN277" s="121"/>
      <c r="AO277" s="121"/>
      <c r="AP277" s="121"/>
      <c r="AQ277" s="121"/>
      <c r="AR277" s="80"/>
      <c r="AS277" s="80"/>
      <c r="AT277" s="80"/>
      <c r="AU277" s="80"/>
      <c r="AV277" s="80"/>
      <c r="AW277" s="80"/>
    </row>
    <row r="278" spans="1:49" s="81" customFormat="1" ht="62.25" customHeight="1" x14ac:dyDescent="0.25">
      <c r="A278" s="27"/>
      <c r="B278" s="44"/>
      <c r="C278" s="56"/>
      <c r="D278" s="56"/>
      <c r="E278" s="56"/>
      <c r="F278" s="56"/>
      <c r="G278" s="57"/>
      <c r="H278" s="56"/>
      <c r="I278" s="56"/>
      <c r="J278" s="58"/>
      <c r="K278" s="58"/>
      <c r="L278" s="58"/>
      <c r="M278" s="58"/>
      <c r="N278" s="143"/>
      <c r="O278" s="58"/>
      <c r="P278" s="58"/>
      <c r="Q278" s="58"/>
      <c r="R278" s="143"/>
      <c r="S278" s="56"/>
      <c r="T278" s="40"/>
      <c r="U278" s="38"/>
      <c r="V278" s="42"/>
      <c r="W278" s="42"/>
      <c r="X278" s="79"/>
      <c r="Y278" s="79"/>
      <c r="Z278" s="79"/>
      <c r="AA278" s="79"/>
      <c r="AB278" s="79"/>
      <c r="AC278" s="79"/>
      <c r="AD278" s="58"/>
      <c r="AE278" s="58"/>
      <c r="AF278" s="77">
        <f t="shared" si="17"/>
        <v>0</v>
      </c>
      <c r="AG278" s="76"/>
      <c r="AH278" s="76"/>
      <c r="AI278" s="76">
        <f t="shared" si="18"/>
        <v>0</v>
      </c>
      <c r="AJ278" s="145">
        <f t="shared" si="19"/>
        <v>0</v>
      </c>
      <c r="AK278" s="121"/>
      <c r="AL278" s="121"/>
      <c r="AM278" s="121"/>
      <c r="AN278" s="121"/>
      <c r="AO278" s="121"/>
      <c r="AP278" s="121"/>
      <c r="AQ278" s="121"/>
      <c r="AR278" s="80"/>
      <c r="AS278" s="80"/>
      <c r="AT278" s="80"/>
      <c r="AU278" s="80"/>
      <c r="AV278" s="80"/>
      <c r="AW278" s="80"/>
    </row>
    <row r="279" spans="1:49" s="81" customFormat="1" ht="62.25" customHeight="1" thickBot="1" x14ac:dyDescent="0.3">
      <c r="A279" s="27"/>
      <c r="B279" s="44"/>
      <c r="C279" s="56"/>
      <c r="D279" s="56"/>
      <c r="E279" s="56"/>
      <c r="F279" s="56"/>
      <c r="G279" s="57"/>
      <c r="H279" s="56"/>
      <c r="I279" s="56"/>
      <c r="J279" s="58"/>
      <c r="K279" s="58"/>
      <c r="L279" s="58"/>
      <c r="M279" s="58"/>
      <c r="N279" s="143"/>
      <c r="O279" s="58"/>
      <c r="P279" s="58"/>
      <c r="Q279" s="58"/>
      <c r="R279" s="143"/>
      <c r="S279" s="56"/>
      <c r="T279" s="40"/>
      <c r="U279" s="38"/>
      <c r="V279" s="42"/>
      <c r="W279" s="42"/>
      <c r="X279" s="79"/>
      <c r="Y279" s="79"/>
      <c r="Z279" s="79"/>
      <c r="AA279" s="79"/>
      <c r="AB279" s="79"/>
      <c r="AC279" s="79"/>
      <c r="AD279" s="58"/>
      <c r="AE279" s="58"/>
      <c r="AF279" s="77">
        <f t="shared" si="17"/>
        <v>0</v>
      </c>
      <c r="AG279" s="76"/>
      <c r="AH279" s="76"/>
      <c r="AI279" s="76">
        <f t="shared" si="18"/>
        <v>0</v>
      </c>
      <c r="AJ279" s="145">
        <f t="shared" si="19"/>
        <v>0</v>
      </c>
      <c r="AK279" s="121"/>
      <c r="AL279" s="121"/>
      <c r="AM279" s="121"/>
      <c r="AN279" s="121"/>
      <c r="AO279" s="121"/>
      <c r="AP279" s="121"/>
      <c r="AQ279" s="121"/>
      <c r="AR279" s="80"/>
      <c r="AS279" s="80"/>
      <c r="AT279" s="80"/>
      <c r="AU279" s="80"/>
      <c r="AV279" s="80"/>
      <c r="AW279" s="80"/>
    </row>
    <row r="280" spans="1:49" ht="19.5" customHeight="1" thickBot="1" x14ac:dyDescent="0.3">
      <c r="K280" s="157">
        <f>SUM(K1:K277)</f>
        <v>0</v>
      </c>
      <c r="L280" s="157">
        <f>SUM(L1:L277)</f>
        <v>0</v>
      </c>
      <c r="O280" s="157">
        <f>SUM(O2:O279)</f>
        <v>706600</v>
      </c>
      <c r="P280" s="157">
        <f>SUM(P2:P279)</f>
        <v>706600</v>
      </c>
      <c r="S280" s="157">
        <f>SUM(S2:S279)</f>
        <v>5652080</v>
      </c>
      <c r="T280" s="157">
        <f>SUM(T2:T279)</f>
        <v>1130600</v>
      </c>
      <c r="V280" s="114">
        <f>SUM(V2:V279)</f>
        <v>574500</v>
      </c>
      <c r="X280" s="114">
        <f>SUM(X2:X279)</f>
        <v>217700</v>
      </c>
      <c r="Z280" s="114">
        <f>SUM(Z2:Z279)</f>
        <v>35200</v>
      </c>
      <c r="AB280" s="114">
        <f>SUM(AB2:AB279)</f>
        <v>22500</v>
      </c>
      <c r="AD280" s="157">
        <f>SUM(AD2:AD279)</f>
        <v>3000</v>
      </c>
      <c r="AF280" s="114">
        <f>SUM(AF2:AF279)</f>
        <v>3668580</v>
      </c>
      <c r="AI280" s="114">
        <f>SUM(AI2:AI279)</f>
        <v>1983500</v>
      </c>
      <c r="AJ280" s="114">
        <f>SUM(AJ2:AJ279)</f>
        <v>3668580</v>
      </c>
      <c r="AK280" s="115"/>
    </row>
    <row r="281" spans="1:49" ht="18.75" x14ac:dyDescent="0.25">
      <c r="A281" s="6"/>
      <c r="C281" s="6"/>
      <c r="D281" s="6"/>
      <c r="F281" s="6"/>
      <c r="G281" s="6"/>
      <c r="H281" s="6"/>
      <c r="Q281" s="12" t="s">
        <v>24</v>
      </c>
      <c r="S281" s="159">
        <f>COUNT(S2:S279)</f>
        <v>197</v>
      </c>
      <c r="T281" s="159">
        <f>COUNT(T2:T279)</f>
        <v>188</v>
      </c>
      <c r="U281" s="6"/>
      <c r="V281" s="16">
        <f>COUNT(V2:V279)</f>
        <v>102</v>
      </c>
      <c r="W281" s="81"/>
      <c r="X281" s="16">
        <f>COUNT(X2:X279)</f>
        <v>40</v>
      </c>
      <c r="Y281" s="6"/>
      <c r="Z281" s="16">
        <f>COUNT(Z2:Z279)</f>
        <v>12</v>
      </c>
      <c r="AA281" s="6"/>
      <c r="AB281" s="16">
        <f>COUNT(AB2:AB279)</f>
        <v>6</v>
      </c>
      <c r="AC281" s="6"/>
      <c r="AD281" s="159">
        <f>COUNT(AD2:AD279)</f>
        <v>1</v>
      </c>
      <c r="AF281" s="16">
        <f>COUNT(AF2:AF279)</f>
        <v>278</v>
      </c>
      <c r="AG281" s="6"/>
      <c r="AH281" s="6"/>
      <c r="AI281" s="16">
        <f>COUNT(AI2:AI279)</f>
        <v>278</v>
      </c>
      <c r="AJ281" s="16">
        <f>COUNT(AJ2:AJ279)</f>
        <v>278</v>
      </c>
      <c r="AK281" s="115"/>
    </row>
    <row r="283" spans="1:49" ht="30" x14ac:dyDescent="0.25">
      <c r="A283" s="6"/>
      <c r="C283" s="6"/>
      <c r="D283" s="6"/>
      <c r="F283" s="6"/>
      <c r="G283" s="6"/>
      <c r="H283" s="6"/>
      <c r="Q283" s="12" t="s">
        <v>25</v>
      </c>
      <c r="S283" s="160"/>
      <c r="T283" s="12"/>
      <c r="U283" s="6"/>
      <c r="W283" s="81"/>
      <c r="Y283" s="6"/>
      <c r="AA283" s="6"/>
      <c r="AC283" s="6"/>
      <c r="AF283" s="6"/>
      <c r="AG283" s="6"/>
      <c r="AH283" s="6"/>
    </row>
    <row r="285" spans="1:49" x14ac:dyDescent="0.25">
      <c r="A285" s="6"/>
      <c r="C285" s="6"/>
      <c r="D285" s="6"/>
      <c r="F285" s="6"/>
      <c r="G285" s="6"/>
      <c r="H285" s="6"/>
      <c r="T285" s="12"/>
      <c r="U285" s="6"/>
      <c r="W285" s="81"/>
      <c r="Y285" s="6"/>
      <c r="AA285" s="6"/>
      <c r="AC285" s="6"/>
      <c r="AF285" s="6"/>
      <c r="AG285" s="6"/>
      <c r="AH285" s="6"/>
    </row>
  </sheetData>
  <autoFilter ref="B1:AJ281"/>
  <pageMargins left="0.25" right="0.25" top="0.75" bottom="0.75" header="0.3" footer="0.3"/>
  <pageSetup paperSize="9"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Boys new admission 2026-2028</vt:lpstr>
      <vt:lpstr>Girls new admission 2026-2028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</dc:creator>
  <cp:lastModifiedBy>Tower Conputers</cp:lastModifiedBy>
  <cp:lastPrinted>2026-10-14T06:07:51Z</cp:lastPrinted>
  <dcterms:created xsi:type="dcterms:W3CDTF">2019-10-23T03:21:00Z</dcterms:created>
  <dcterms:modified xsi:type="dcterms:W3CDTF">2026-10-29T11:46:12Z</dcterms:modified>
</cp:coreProperties>
</file>