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9435" windowWidth="15570" windowHeight="1185" tabRatio="599"/>
  </bookViews>
  <sheets>
    <sheet name="Semester B.S  Girl 2025-29" sheetId="18" r:id="rId1"/>
    <sheet name="Semester B.S 1st Boys 2025-2029" sheetId="15" r:id="rId2"/>
    <sheet name="boys" sheetId="2" state="hidden" r:id="rId3"/>
    <sheet name="Sheet3" sheetId="3" state="hidden" r:id="rId4"/>
    <sheet name="FSC18-20 BOYS" sheetId="5" state="hidden" r:id="rId5"/>
    <sheet name="girls" sheetId="1" state="hidden" r:id="rId6"/>
    <sheet name="Sheet1" sheetId="6" state="hidden" r:id="rId7"/>
    <sheet name="Semester B.S 5th Girl 2025-2027" sheetId="16" r:id="rId8"/>
    <sheet name="Sheet2" sheetId="9" r:id="rId9"/>
    <sheet name="Sheet5" sheetId="17" r:id="rId10"/>
  </sheets>
  <definedNames>
    <definedName name="_xlnm._FilterDatabase" localSheetId="2" hidden="1">boys!$A$1:$AZ$1</definedName>
    <definedName name="_xlnm._FilterDatabase" localSheetId="5" hidden="1">girls!$A$1:$AH$303</definedName>
    <definedName name="_xlnm._FilterDatabase" localSheetId="0" hidden="1">'Semester B.S  Girl 2025-29'!$A$3:$L$72</definedName>
    <definedName name="_xlnm._FilterDatabase" localSheetId="1" hidden="1">'Semester B.S 1st Boys 2025-2029'!$A$3:$K$82</definedName>
    <definedName name="_xlnm._FilterDatabase" localSheetId="7" hidden="1">'Semester B.S 5th Girl 2025-2027'!$A$3:$N$78</definedName>
  </definedNames>
  <calcPr calcId="145621"/>
</workbook>
</file>

<file path=xl/calcChain.xml><?xml version="1.0" encoding="utf-8"?>
<calcChain xmlns="http://schemas.openxmlformats.org/spreadsheetml/2006/main">
  <c r="AX28" i="16" l="1"/>
  <c r="AU4" i="15" l="1"/>
  <c r="AU24" i="18"/>
  <c r="AT25" i="15"/>
  <c r="AU12" i="15"/>
  <c r="AW23" i="16" l="1"/>
  <c r="AX22" i="16"/>
  <c r="AV22" i="18" l="1"/>
  <c r="AV67" i="18" l="1"/>
  <c r="AV66" i="18"/>
  <c r="AV60" i="18"/>
  <c r="AV10" i="18"/>
  <c r="AV8" i="18"/>
  <c r="K6" i="15" l="1"/>
  <c r="J54" i="16" l="1"/>
  <c r="AW10" i="16" l="1"/>
  <c r="AX8" i="16"/>
  <c r="AV70" i="18" l="1"/>
  <c r="AV69" i="18"/>
  <c r="AV68" i="18"/>
  <c r="AV65" i="18"/>
  <c r="AV64" i="18"/>
  <c r="AV63" i="18"/>
  <c r="AU63" i="18"/>
  <c r="AV62" i="18"/>
  <c r="AU62" i="18"/>
  <c r="AV61" i="18"/>
  <c r="AU61" i="18"/>
  <c r="AU60" i="18"/>
  <c r="AV59" i="18"/>
  <c r="AU59" i="18"/>
  <c r="AV58" i="18"/>
  <c r="AU58" i="18"/>
  <c r="AV57" i="18"/>
  <c r="AV56" i="18"/>
  <c r="AU56" i="18"/>
  <c r="AV55" i="18"/>
  <c r="AU55" i="18"/>
  <c r="AV54" i="18"/>
  <c r="AU54" i="18"/>
  <c r="AV53" i="18"/>
  <c r="AU53" i="18"/>
  <c r="AV52" i="18"/>
  <c r="AU52" i="18"/>
  <c r="AV51" i="18"/>
  <c r="AU51" i="18"/>
  <c r="AV50" i="18"/>
  <c r="AU50" i="18"/>
  <c r="AV49" i="18"/>
  <c r="AU49" i="18"/>
  <c r="AV48" i="18"/>
  <c r="AU48" i="18"/>
  <c r="AV47" i="18"/>
  <c r="AU47" i="18"/>
  <c r="AV46" i="18"/>
  <c r="AU46" i="18"/>
  <c r="AV45" i="18"/>
  <c r="AU45" i="18"/>
  <c r="AV44" i="18"/>
  <c r="AU44" i="18"/>
  <c r="AV43" i="18"/>
  <c r="AU43" i="18"/>
  <c r="AV42" i="18"/>
  <c r="AU42" i="18"/>
  <c r="AV41" i="18"/>
  <c r="AU41" i="18"/>
  <c r="AV40" i="18"/>
  <c r="AU40" i="18"/>
  <c r="AV39" i="18"/>
  <c r="AU39" i="18"/>
  <c r="AV38" i="18"/>
  <c r="AU38" i="18"/>
  <c r="AV37" i="18"/>
  <c r="AU37" i="18"/>
  <c r="AV36" i="18"/>
  <c r="AU36" i="18"/>
  <c r="AV35" i="18"/>
  <c r="AU35" i="18"/>
  <c r="AV34" i="18"/>
  <c r="AU34" i="18"/>
  <c r="AV33" i="18"/>
  <c r="AU33" i="18"/>
  <c r="AV32" i="18"/>
  <c r="AU32" i="18"/>
  <c r="AV31" i="18"/>
  <c r="AU31" i="18"/>
  <c r="AV30" i="18"/>
  <c r="AU30" i="18"/>
  <c r="AV29" i="18"/>
  <c r="AU29" i="18"/>
  <c r="AV28" i="18"/>
  <c r="AU28" i="18"/>
  <c r="AV27" i="18"/>
  <c r="AU27" i="18"/>
  <c r="AV26" i="18"/>
  <c r="AU26" i="18"/>
  <c r="AV25" i="18"/>
  <c r="AU25" i="18"/>
  <c r="AV24" i="18"/>
  <c r="AV23" i="18"/>
  <c r="AU23" i="18"/>
  <c r="AU22" i="18"/>
  <c r="AV21" i="18"/>
  <c r="AU21" i="18"/>
  <c r="AV20" i="18"/>
  <c r="AU20" i="18"/>
  <c r="AV19" i="18"/>
  <c r="AU19" i="18"/>
  <c r="AV18" i="18"/>
  <c r="AU18" i="18"/>
  <c r="AV17" i="18"/>
  <c r="AU17" i="18"/>
  <c r="AV16" i="18"/>
  <c r="AU16" i="18"/>
  <c r="AV15" i="18"/>
  <c r="AU15" i="18"/>
  <c r="AV14" i="18"/>
  <c r="AU14" i="18"/>
  <c r="AV13" i="18"/>
  <c r="AU13" i="18"/>
  <c r="AV12" i="18"/>
  <c r="AU12" i="18"/>
  <c r="AV11" i="18"/>
  <c r="AU11" i="18"/>
  <c r="AU10" i="18"/>
  <c r="AV9" i="18"/>
  <c r="AU9" i="18"/>
  <c r="AU8" i="18"/>
  <c r="AV7" i="18"/>
  <c r="AU7" i="18"/>
  <c r="AV6" i="18"/>
  <c r="AU6" i="18"/>
  <c r="AV5" i="18"/>
  <c r="AU5" i="18"/>
  <c r="AV4" i="18"/>
  <c r="AU4" i="18"/>
  <c r="AX76" i="16"/>
  <c r="AW76" i="16"/>
  <c r="AX75" i="16"/>
  <c r="AW75" i="16"/>
  <c r="AX74" i="16"/>
  <c r="AW74" i="16"/>
  <c r="AX71" i="16"/>
  <c r="AW71" i="16"/>
  <c r="AX70" i="16"/>
  <c r="AW70" i="16"/>
  <c r="AX69" i="16"/>
  <c r="AW69" i="16"/>
  <c r="AX68" i="16"/>
  <c r="AW68" i="16"/>
  <c r="AX67" i="16"/>
  <c r="AW67" i="16"/>
  <c r="AX66" i="16"/>
  <c r="AW66" i="16"/>
  <c r="AX65" i="16"/>
  <c r="AW65" i="16"/>
  <c r="AX64" i="16"/>
  <c r="AW64" i="16"/>
  <c r="AX63" i="16"/>
  <c r="AW63" i="16"/>
  <c r="AX62" i="16"/>
  <c r="AW62" i="16"/>
  <c r="AX61" i="16"/>
  <c r="AW61" i="16"/>
  <c r="AX60" i="16"/>
  <c r="AW60" i="16"/>
  <c r="AX59" i="16"/>
  <c r="AW59" i="16"/>
  <c r="AX58" i="16"/>
  <c r="AW58" i="16"/>
  <c r="AX57" i="16"/>
  <c r="AW57" i="16"/>
  <c r="AX56" i="16"/>
  <c r="AW56" i="16"/>
  <c r="AX55" i="16"/>
  <c r="AW55" i="16"/>
  <c r="AX54" i="16"/>
  <c r="AW54" i="16"/>
  <c r="AX53" i="16"/>
  <c r="AW53" i="16"/>
  <c r="AX52" i="16"/>
  <c r="AW52" i="16"/>
  <c r="AX51" i="16"/>
  <c r="AW51" i="16"/>
  <c r="AX50" i="16"/>
  <c r="AW50" i="16"/>
  <c r="AX49" i="16"/>
  <c r="AW49" i="16"/>
  <c r="AX48" i="16"/>
  <c r="AW48" i="16"/>
  <c r="AX47" i="16"/>
  <c r="AW47" i="16"/>
  <c r="AX46" i="16"/>
  <c r="AW46" i="16"/>
  <c r="AX45" i="16"/>
  <c r="AW45" i="16"/>
  <c r="AX44" i="16"/>
  <c r="AW44" i="16"/>
  <c r="AX43" i="16"/>
  <c r="AW43" i="16"/>
  <c r="AX42" i="16"/>
  <c r="AW42" i="16"/>
  <c r="AX41" i="16"/>
  <c r="AW41" i="16"/>
  <c r="AX40" i="16"/>
  <c r="AW40" i="16"/>
  <c r="AX39" i="16"/>
  <c r="AW39" i="16"/>
  <c r="AX38" i="16"/>
  <c r="AW38" i="16"/>
  <c r="AX37" i="16"/>
  <c r="AW37" i="16"/>
  <c r="AX36" i="16"/>
  <c r="AW36" i="16"/>
  <c r="AX35" i="16"/>
  <c r="AW35" i="16"/>
  <c r="AX34" i="16"/>
  <c r="AW34" i="16"/>
  <c r="AX33" i="16"/>
  <c r="AW33" i="16"/>
  <c r="AX32" i="16"/>
  <c r="AW32" i="16"/>
  <c r="AX31" i="16"/>
  <c r="AW31" i="16"/>
  <c r="AX30" i="16"/>
  <c r="AW30" i="16"/>
  <c r="AX29" i="16"/>
  <c r="AW29" i="16"/>
  <c r="AW28" i="16"/>
  <c r="AX27" i="16"/>
  <c r="AW27" i="16"/>
  <c r="AX26" i="16"/>
  <c r="AW26" i="16"/>
  <c r="AX25" i="16"/>
  <c r="AW25" i="16"/>
  <c r="AX24" i="16"/>
  <c r="AW24" i="16"/>
  <c r="AX23" i="16"/>
  <c r="AW22" i="16"/>
  <c r="AX21" i="16"/>
  <c r="AW21" i="16"/>
  <c r="AX20" i="16"/>
  <c r="AW20" i="16"/>
  <c r="AX19" i="16"/>
  <c r="AW19" i="16"/>
  <c r="AX18" i="16"/>
  <c r="AW18" i="16"/>
  <c r="AX17" i="16"/>
  <c r="AW17" i="16"/>
  <c r="AX16" i="16"/>
  <c r="AW16" i="16"/>
  <c r="AX15" i="16"/>
  <c r="AW15" i="16"/>
  <c r="AX14" i="16"/>
  <c r="AW14" i="16"/>
  <c r="AX13" i="16"/>
  <c r="AW13" i="16"/>
  <c r="AX12" i="16"/>
  <c r="AW12" i="16"/>
  <c r="AX11" i="16"/>
  <c r="AW11" i="16"/>
  <c r="AX10" i="16"/>
  <c r="AX9" i="16"/>
  <c r="AW9" i="16"/>
  <c r="AW8" i="16"/>
  <c r="AX7" i="16"/>
  <c r="AW7" i="16"/>
  <c r="AX6" i="16"/>
  <c r="AW6" i="16"/>
  <c r="AX5" i="16"/>
  <c r="AW5" i="16"/>
  <c r="AX4" i="16"/>
  <c r="AW4" i="16"/>
  <c r="AU25" i="15" l="1"/>
  <c r="AU24" i="15"/>
  <c r="AU23" i="15"/>
  <c r="AU22" i="15"/>
  <c r="AU21" i="15"/>
  <c r="AU20" i="15"/>
  <c r="AU19" i="15"/>
  <c r="AU18" i="15"/>
  <c r="AU17" i="15"/>
  <c r="AU16" i="15"/>
  <c r="AU15" i="15"/>
  <c r="AU14" i="15"/>
  <c r="AU13" i="15"/>
  <c r="AU11" i="15"/>
  <c r="AU10" i="15"/>
  <c r="AU9" i="15"/>
  <c r="AU8" i="15"/>
  <c r="AU7" i="15"/>
  <c r="AU6" i="15"/>
  <c r="AU5" i="15"/>
  <c r="AD303" i="1" l="1"/>
  <c r="AH303" i="1" s="1"/>
  <c r="R303" i="1"/>
  <c r="N303" i="1"/>
  <c r="J303" i="1"/>
  <c r="AD302" i="1"/>
  <c r="AH302" i="1" s="1"/>
  <c r="R302" i="1"/>
  <c r="N302" i="1"/>
  <c r="J302" i="1"/>
  <c r="AD301" i="1"/>
  <c r="AH301" i="1" s="1"/>
  <c r="R301" i="1"/>
  <c r="N301" i="1"/>
  <c r="J301" i="1"/>
  <c r="AD300" i="1"/>
  <c r="R300" i="1"/>
  <c r="N300" i="1"/>
  <c r="J300" i="1"/>
  <c r="AH300" i="1" s="1"/>
  <c r="AD299" i="1"/>
  <c r="R299" i="1"/>
  <c r="N299" i="1"/>
  <c r="AH299" i="1" s="1"/>
  <c r="J299" i="1"/>
  <c r="AD298" i="1"/>
  <c r="AH298" i="1" s="1"/>
  <c r="R298" i="1"/>
  <c r="N298" i="1"/>
  <c r="J298" i="1"/>
  <c r="AD297" i="1"/>
  <c r="AH297" i="1" s="1"/>
  <c r="R297" i="1"/>
  <c r="N297" i="1"/>
  <c r="J297" i="1"/>
  <c r="AD296" i="1"/>
  <c r="R296" i="1"/>
  <c r="N296" i="1"/>
  <c r="J296" i="1"/>
  <c r="AH296" i="1" s="1"/>
  <c r="AD295" i="1"/>
  <c r="R295" i="1"/>
  <c r="N295" i="1"/>
  <c r="AH295" i="1" s="1"/>
  <c r="J295" i="1"/>
  <c r="AD294" i="1"/>
  <c r="AH294" i="1" s="1"/>
  <c r="R294" i="1"/>
  <c r="N294" i="1"/>
  <c r="J294" i="1"/>
  <c r="AD293" i="1"/>
  <c r="AH293" i="1" s="1"/>
  <c r="R293" i="1"/>
  <c r="N293" i="1"/>
  <c r="J293" i="1"/>
  <c r="AD292" i="1"/>
  <c r="R292" i="1"/>
  <c r="N292" i="1"/>
  <c r="J292" i="1"/>
  <c r="AH292" i="1" s="1"/>
  <c r="AD291" i="1"/>
  <c r="R291" i="1"/>
  <c r="N291" i="1"/>
  <c r="AH291" i="1" s="1"/>
  <c r="J291" i="1"/>
  <c r="AD290" i="1"/>
  <c r="AH290" i="1" s="1"/>
  <c r="R290" i="1"/>
  <c r="N290" i="1"/>
  <c r="J290" i="1"/>
  <c r="AD289" i="1"/>
  <c r="AH289" i="1" s="1"/>
  <c r="R289" i="1"/>
  <c r="N289" i="1"/>
  <c r="J289" i="1"/>
  <c r="AD288" i="1"/>
  <c r="R288" i="1"/>
  <c r="N288" i="1"/>
  <c r="J288" i="1"/>
  <c r="AH288" i="1" s="1"/>
  <c r="AD287" i="1"/>
  <c r="R287" i="1"/>
  <c r="N287" i="1"/>
  <c r="AH287" i="1" s="1"/>
  <c r="J287" i="1"/>
  <c r="AD286" i="1"/>
  <c r="AH286" i="1" s="1"/>
  <c r="R286" i="1"/>
  <c r="N286" i="1"/>
  <c r="J286" i="1"/>
  <c r="AD285" i="1"/>
  <c r="AH285" i="1" s="1"/>
  <c r="R285" i="1"/>
  <c r="N285" i="1"/>
  <c r="J285" i="1"/>
  <c r="AD284" i="1"/>
  <c r="R284" i="1"/>
  <c r="N284" i="1"/>
  <c r="J284" i="1"/>
  <c r="AH284" i="1" s="1"/>
  <c r="AD283" i="1"/>
  <c r="R283" i="1"/>
  <c r="N283" i="1"/>
  <c r="AH283" i="1" s="1"/>
  <c r="J283" i="1"/>
  <c r="AD282" i="1"/>
  <c r="AH282" i="1" s="1"/>
  <c r="R282" i="1"/>
  <c r="N282" i="1"/>
  <c r="J282" i="1"/>
  <c r="AD281" i="1"/>
  <c r="AH281" i="1" s="1"/>
  <c r="R281" i="1"/>
  <c r="N281" i="1"/>
  <c r="J281" i="1"/>
  <c r="AD280" i="1"/>
  <c r="R280" i="1"/>
  <c r="N280" i="1"/>
  <c r="J280" i="1"/>
  <c r="AH280" i="1" s="1"/>
  <c r="AD279" i="1"/>
  <c r="R279" i="1"/>
  <c r="N279" i="1"/>
  <c r="AH279" i="1" s="1"/>
  <c r="J279" i="1"/>
  <c r="AD278" i="1"/>
  <c r="AH278" i="1" s="1"/>
  <c r="R278" i="1"/>
  <c r="N278" i="1"/>
  <c r="J278" i="1"/>
  <c r="AD277" i="1"/>
  <c r="AH277" i="1" s="1"/>
  <c r="R277" i="1"/>
  <c r="N277" i="1"/>
  <c r="J277" i="1"/>
  <c r="AD276" i="1"/>
  <c r="R276" i="1"/>
  <c r="N276" i="1"/>
  <c r="J276" i="1"/>
  <c r="AH276" i="1" s="1"/>
  <c r="AD275" i="1"/>
  <c r="R275" i="1"/>
  <c r="N275" i="1"/>
  <c r="AH275" i="1" s="1"/>
  <c r="J275" i="1"/>
  <c r="AD274" i="1"/>
  <c r="AH274" i="1" s="1"/>
  <c r="R274" i="1"/>
  <c r="N274" i="1"/>
  <c r="J274" i="1"/>
  <c r="AD273" i="1"/>
  <c r="AH273" i="1" s="1"/>
  <c r="R273" i="1"/>
  <c r="N273" i="1"/>
  <c r="J273" i="1"/>
  <c r="AD272" i="1"/>
  <c r="R272" i="1"/>
  <c r="N272" i="1"/>
  <c r="J272" i="1"/>
  <c r="AH272" i="1" s="1"/>
  <c r="AD271" i="1"/>
  <c r="R271" i="1"/>
  <c r="N271" i="1"/>
  <c r="AH271" i="1" s="1"/>
  <c r="J271" i="1"/>
  <c r="AD270" i="1"/>
  <c r="AH270" i="1" s="1"/>
  <c r="R270" i="1"/>
  <c r="N270" i="1"/>
  <c r="J270" i="1"/>
  <c r="AD269" i="1"/>
  <c r="AH269" i="1" s="1"/>
  <c r="R269" i="1"/>
  <c r="N269" i="1"/>
  <c r="J269" i="1"/>
  <c r="AD268" i="1"/>
  <c r="R268" i="1"/>
  <c r="N268" i="1"/>
  <c r="J268" i="1"/>
  <c r="AH268" i="1" s="1"/>
  <c r="AD267" i="1"/>
  <c r="R267" i="1"/>
  <c r="N267" i="1"/>
  <c r="AH267" i="1" s="1"/>
  <c r="J267" i="1"/>
  <c r="AD266" i="1"/>
  <c r="R266" i="1"/>
  <c r="AH266" i="1" s="1"/>
  <c r="N266" i="1"/>
  <c r="J266" i="1"/>
  <c r="AD265" i="1"/>
  <c r="AH265" i="1" s="1"/>
  <c r="R265" i="1"/>
  <c r="N265" i="1"/>
  <c r="J265" i="1"/>
  <c r="AD264" i="1"/>
  <c r="R264" i="1"/>
  <c r="N264" i="1"/>
  <c r="J264" i="1"/>
  <c r="AH264" i="1" s="1"/>
  <c r="AD263" i="1"/>
  <c r="R263" i="1"/>
  <c r="N263" i="1"/>
  <c r="AH263" i="1" s="1"/>
  <c r="J263" i="1"/>
  <c r="AD262" i="1"/>
  <c r="R262" i="1"/>
  <c r="AH262" i="1" s="1"/>
  <c r="N262" i="1"/>
  <c r="J262" i="1"/>
  <c r="AD261" i="1"/>
  <c r="AH261" i="1" s="1"/>
  <c r="R261" i="1"/>
  <c r="N261" i="1"/>
  <c r="J261" i="1"/>
  <c r="AD260" i="1"/>
  <c r="R260" i="1"/>
  <c r="N260" i="1"/>
  <c r="J260" i="1"/>
  <c r="AH260" i="1" s="1"/>
  <c r="AD259" i="1"/>
  <c r="R259" i="1"/>
  <c r="N259" i="1"/>
  <c r="AH259" i="1" s="1"/>
  <c r="J259" i="1"/>
  <c r="AD258" i="1"/>
  <c r="R258" i="1"/>
  <c r="AH258" i="1" s="1"/>
  <c r="N258" i="1"/>
  <c r="J258" i="1"/>
  <c r="AD257" i="1"/>
  <c r="AH257" i="1" s="1"/>
  <c r="R257" i="1"/>
  <c r="N257" i="1"/>
  <c r="J257" i="1"/>
  <c r="AD256" i="1"/>
  <c r="R256" i="1"/>
  <c r="N256" i="1"/>
  <c r="J256" i="1"/>
  <c r="AH256" i="1" s="1"/>
  <c r="AD255" i="1"/>
  <c r="R255" i="1"/>
  <c r="N255" i="1"/>
  <c r="AH255" i="1" s="1"/>
  <c r="J255" i="1"/>
  <c r="AD254" i="1"/>
  <c r="R254" i="1"/>
  <c r="AH254" i="1" s="1"/>
  <c r="N254" i="1"/>
  <c r="J254" i="1"/>
  <c r="AD253" i="1"/>
  <c r="AH253" i="1" s="1"/>
  <c r="R253" i="1"/>
  <c r="N253" i="1"/>
  <c r="J253" i="1"/>
  <c r="AD252" i="1"/>
  <c r="R252" i="1"/>
  <c r="N252" i="1"/>
  <c r="J252" i="1"/>
  <c r="AH252" i="1" s="1"/>
  <c r="AD251" i="1"/>
  <c r="R251" i="1"/>
  <c r="N251" i="1"/>
  <c r="AH251" i="1" s="1"/>
  <c r="J251" i="1"/>
  <c r="AD250" i="1"/>
  <c r="R250" i="1"/>
  <c r="AH250" i="1" s="1"/>
  <c r="N250" i="1"/>
  <c r="J250" i="1"/>
  <c r="AD249" i="1"/>
  <c r="AH249" i="1" s="1"/>
  <c r="R249" i="1"/>
  <c r="N249" i="1"/>
  <c r="J249" i="1"/>
  <c r="AD248" i="1"/>
  <c r="R248" i="1"/>
  <c r="N248" i="1"/>
  <c r="J248" i="1"/>
  <c r="AH248" i="1" s="1"/>
  <c r="AD247" i="1"/>
  <c r="R247" i="1"/>
  <c r="N247" i="1"/>
  <c r="AH247" i="1" s="1"/>
  <c r="J247" i="1"/>
  <c r="AD246" i="1"/>
  <c r="R246" i="1"/>
  <c r="AH246" i="1" s="1"/>
  <c r="N246" i="1"/>
  <c r="J246" i="1"/>
  <c r="AD245" i="1"/>
  <c r="AH245" i="1" s="1"/>
  <c r="R245" i="1"/>
  <c r="N245" i="1"/>
  <c r="J245" i="1"/>
  <c r="AD244" i="1"/>
  <c r="R244" i="1"/>
  <c r="N244" i="1"/>
  <c r="J244" i="1"/>
  <c r="AH244" i="1" s="1"/>
  <c r="AD243" i="1"/>
  <c r="R243" i="1"/>
  <c r="N243" i="1"/>
  <c r="AH243" i="1" s="1"/>
  <c r="J243" i="1"/>
  <c r="AD242" i="1"/>
  <c r="R242" i="1"/>
  <c r="AH242" i="1" s="1"/>
  <c r="N242" i="1"/>
  <c r="J242" i="1"/>
  <c r="AD241" i="1"/>
  <c r="AH241" i="1" s="1"/>
  <c r="R241" i="1"/>
  <c r="N241" i="1"/>
  <c r="J241" i="1"/>
  <c r="AD240" i="1"/>
  <c r="R240" i="1"/>
  <c r="N240" i="1"/>
  <c r="J240" i="1"/>
  <c r="AH240" i="1" s="1"/>
  <c r="AD239" i="1"/>
  <c r="R239" i="1"/>
  <c r="N239" i="1"/>
  <c r="AH239" i="1" s="1"/>
  <c r="J239" i="1"/>
  <c r="AD238" i="1"/>
  <c r="R238" i="1"/>
  <c r="AH238" i="1" s="1"/>
  <c r="N238" i="1"/>
  <c r="J238" i="1"/>
  <c r="AD237" i="1"/>
  <c r="AH237" i="1" s="1"/>
  <c r="R237" i="1"/>
  <c r="N237" i="1"/>
  <c r="J237" i="1"/>
  <c r="AD236" i="1"/>
  <c r="R236" i="1"/>
  <c r="N236" i="1"/>
  <c r="J236" i="1"/>
  <c r="AH236" i="1" s="1"/>
  <c r="AD235" i="1"/>
  <c r="R235" i="1"/>
  <c r="N235" i="1"/>
  <c r="AH235" i="1" s="1"/>
  <c r="J235" i="1"/>
  <c r="AD234" i="1"/>
  <c r="R234" i="1"/>
  <c r="AH234" i="1" s="1"/>
  <c r="N234" i="1"/>
  <c r="J234" i="1"/>
  <c r="AD233" i="1"/>
  <c r="AH233" i="1" s="1"/>
  <c r="R233" i="1"/>
  <c r="N233" i="1"/>
  <c r="J233" i="1"/>
  <c r="AD232" i="1"/>
  <c r="R232" i="1"/>
  <c r="N232" i="1"/>
  <c r="J232" i="1"/>
  <c r="AH232" i="1" s="1"/>
  <c r="AD231" i="1"/>
  <c r="R231" i="1"/>
  <c r="N231" i="1"/>
  <c r="AH231" i="1" s="1"/>
  <c r="J231" i="1"/>
  <c r="AD230" i="1"/>
  <c r="R230" i="1"/>
  <c r="AH230" i="1" s="1"/>
  <c r="N230" i="1"/>
  <c r="J230" i="1"/>
  <c r="AD229" i="1"/>
  <c r="AH229" i="1" s="1"/>
  <c r="R229" i="1"/>
  <c r="N229" i="1"/>
  <c r="J229" i="1"/>
  <c r="AD228" i="1"/>
  <c r="R228" i="1"/>
  <c r="N228" i="1"/>
  <c r="J228" i="1"/>
  <c r="AH228" i="1" s="1"/>
  <c r="AD227" i="1"/>
  <c r="R227" i="1"/>
  <c r="N227" i="1"/>
  <c r="AH227" i="1" s="1"/>
  <c r="J227" i="1"/>
  <c r="AD226" i="1"/>
  <c r="R226" i="1"/>
  <c r="AH226" i="1" s="1"/>
  <c r="N226" i="1"/>
  <c r="J226" i="1"/>
  <c r="AD225" i="1"/>
  <c r="AH225" i="1" s="1"/>
  <c r="R225" i="1"/>
  <c r="N225" i="1"/>
  <c r="J225" i="1"/>
  <c r="AH224" i="1"/>
  <c r="AD224" i="1"/>
  <c r="N224" i="1"/>
  <c r="J224" i="1"/>
  <c r="AD223" i="1"/>
  <c r="R223" i="1"/>
  <c r="N223" i="1"/>
  <c r="J223" i="1"/>
  <c r="AH223" i="1" s="1"/>
  <c r="AD222" i="1"/>
  <c r="R222" i="1"/>
  <c r="N222" i="1"/>
  <c r="AH222" i="1" s="1"/>
  <c r="J222" i="1"/>
  <c r="AD221" i="1"/>
  <c r="R221" i="1"/>
  <c r="AH221" i="1" s="1"/>
  <c r="N221" i="1"/>
  <c r="J221" i="1"/>
  <c r="AD220" i="1"/>
  <c r="AH220" i="1" s="1"/>
  <c r="R220" i="1"/>
  <c r="N220" i="1"/>
  <c r="J220" i="1"/>
  <c r="AD219" i="1"/>
  <c r="R219" i="1"/>
  <c r="N219" i="1"/>
  <c r="J219" i="1"/>
  <c r="AH219" i="1" s="1"/>
  <c r="AD218" i="1"/>
  <c r="R218" i="1"/>
  <c r="N218" i="1"/>
  <c r="AH218" i="1" s="1"/>
  <c r="J218" i="1"/>
  <c r="AD217" i="1"/>
  <c r="R217" i="1"/>
  <c r="AH217" i="1" s="1"/>
  <c r="N217" i="1"/>
  <c r="J217" i="1"/>
  <c r="AD216" i="1"/>
  <c r="AH216" i="1" s="1"/>
  <c r="R216" i="1"/>
  <c r="N216" i="1"/>
  <c r="J216" i="1"/>
  <c r="AD215" i="1"/>
  <c r="R215" i="1"/>
  <c r="N215" i="1"/>
  <c r="J215" i="1"/>
  <c r="AH215" i="1" s="1"/>
  <c r="AD214" i="1"/>
  <c r="R214" i="1"/>
  <c r="N214" i="1"/>
  <c r="AH214" i="1" s="1"/>
  <c r="J214" i="1"/>
  <c r="AD213" i="1"/>
  <c r="R213" i="1"/>
  <c r="AH213" i="1" s="1"/>
  <c r="N213" i="1"/>
  <c r="J213" i="1"/>
  <c r="AD212" i="1"/>
  <c r="AH212" i="1" s="1"/>
  <c r="R212" i="1"/>
  <c r="N212" i="1"/>
  <c r="J212" i="1"/>
  <c r="AH211" i="1"/>
  <c r="AD211" i="1"/>
  <c r="R211" i="1"/>
  <c r="N211" i="1"/>
  <c r="J211" i="1"/>
  <c r="AD210" i="1"/>
  <c r="R210" i="1"/>
  <c r="N210" i="1"/>
  <c r="AH210" i="1" s="1"/>
  <c r="J210" i="1"/>
  <c r="AD209" i="1"/>
  <c r="R209" i="1"/>
  <c r="AH209" i="1" s="1"/>
  <c r="N209" i="1"/>
  <c r="J209" i="1"/>
  <c r="AD208" i="1"/>
  <c r="AH208" i="1" s="1"/>
  <c r="R208" i="1"/>
  <c r="N208" i="1"/>
  <c r="J208" i="1"/>
  <c r="AD207" i="1"/>
  <c r="R207" i="1"/>
  <c r="N207" i="1"/>
  <c r="J207" i="1"/>
  <c r="AH207" i="1" s="1"/>
  <c r="AD206" i="1"/>
  <c r="R206" i="1"/>
  <c r="N206" i="1"/>
  <c r="AH206" i="1" s="1"/>
  <c r="J206" i="1"/>
  <c r="AD205" i="1"/>
  <c r="R205" i="1"/>
  <c r="AH205" i="1" s="1"/>
  <c r="N205" i="1"/>
  <c r="J205" i="1"/>
  <c r="AD204" i="1"/>
  <c r="AH204" i="1" s="1"/>
  <c r="R204" i="1"/>
  <c r="N204" i="1"/>
  <c r="J204" i="1"/>
  <c r="AD203" i="1"/>
  <c r="R203" i="1"/>
  <c r="N203" i="1"/>
  <c r="J203" i="1"/>
  <c r="AH203" i="1" s="1"/>
  <c r="AD202" i="1"/>
  <c r="R202" i="1"/>
  <c r="N202" i="1"/>
  <c r="AH202" i="1" s="1"/>
  <c r="J202" i="1"/>
  <c r="AD201" i="1"/>
  <c r="R201" i="1"/>
  <c r="AH201" i="1" s="1"/>
  <c r="N201" i="1"/>
  <c r="J201" i="1"/>
  <c r="AD200" i="1"/>
  <c r="AH200" i="1" s="1"/>
  <c r="R200" i="1"/>
  <c r="N200" i="1"/>
  <c r="J200" i="1"/>
  <c r="AD199" i="1"/>
  <c r="R199" i="1"/>
  <c r="N199" i="1"/>
  <c r="J199" i="1"/>
  <c r="AH199" i="1" s="1"/>
  <c r="AD198" i="1"/>
  <c r="R198" i="1"/>
  <c r="N198" i="1"/>
  <c r="AH198" i="1" s="1"/>
  <c r="J198" i="1"/>
  <c r="AD197" i="1"/>
  <c r="R197" i="1"/>
  <c r="AH197" i="1" s="1"/>
  <c r="N197" i="1"/>
  <c r="J197" i="1"/>
  <c r="AD196" i="1"/>
  <c r="AH196" i="1" s="1"/>
  <c r="R196" i="1"/>
  <c r="N196" i="1"/>
  <c r="J196" i="1"/>
  <c r="AD195" i="1"/>
  <c r="R195" i="1"/>
  <c r="N195" i="1"/>
  <c r="J195" i="1"/>
  <c r="AH195" i="1" s="1"/>
  <c r="AD194" i="1"/>
  <c r="R194" i="1"/>
  <c r="N194" i="1"/>
  <c r="AH194" i="1" s="1"/>
  <c r="J194" i="1"/>
  <c r="AD193" i="1"/>
  <c r="R193" i="1"/>
  <c r="AH193" i="1" s="1"/>
  <c r="N193" i="1"/>
  <c r="J193" i="1"/>
  <c r="AD192" i="1"/>
  <c r="AH192" i="1" s="1"/>
  <c r="R192" i="1"/>
  <c r="N192" i="1"/>
  <c r="J192" i="1"/>
  <c r="AD191" i="1"/>
  <c r="R191" i="1"/>
  <c r="N191" i="1"/>
  <c r="J191" i="1"/>
  <c r="AH191" i="1" s="1"/>
  <c r="AD190" i="1"/>
  <c r="R190" i="1"/>
  <c r="N190" i="1"/>
  <c r="AH190" i="1" s="1"/>
  <c r="J190" i="1"/>
  <c r="AD189" i="1"/>
  <c r="R189" i="1"/>
  <c r="AH189" i="1" s="1"/>
  <c r="N189" i="1"/>
  <c r="J189" i="1"/>
  <c r="AD188" i="1"/>
  <c r="AH188" i="1" s="1"/>
  <c r="R188" i="1"/>
  <c r="N188" i="1"/>
  <c r="J188" i="1"/>
  <c r="AD187" i="1"/>
  <c r="R187" i="1"/>
  <c r="N187" i="1"/>
  <c r="J187" i="1"/>
  <c r="AH187" i="1" s="1"/>
  <c r="AD186" i="1"/>
  <c r="R186" i="1"/>
  <c r="N186" i="1"/>
  <c r="AH186" i="1" s="1"/>
  <c r="J186" i="1"/>
  <c r="AD185" i="1"/>
  <c r="R185" i="1"/>
  <c r="AH185" i="1" s="1"/>
  <c r="N185" i="1"/>
  <c r="J185" i="1"/>
  <c r="AD184" i="1"/>
  <c r="AH184" i="1" s="1"/>
  <c r="R184" i="1"/>
  <c r="N184" i="1"/>
  <c r="J184" i="1"/>
  <c r="AD183" i="1"/>
  <c r="R183" i="1"/>
  <c r="N183" i="1"/>
  <c r="J183" i="1"/>
  <c r="AH183" i="1" s="1"/>
  <c r="AD182" i="1"/>
  <c r="R182" i="1"/>
  <c r="N182" i="1"/>
  <c r="AH182" i="1" s="1"/>
  <c r="J182" i="1"/>
  <c r="AD181" i="1"/>
  <c r="R181" i="1"/>
  <c r="AH181" i="1" s="1"/>
  <c r="N181" i="1"/>
  <c r="J181" i="1"/>
  <c r="AD180" i="1"/>
  <c r="AH180" i="1" s="1"/>
  <c r="R180" i="1"/>
  <c r="N180" i="1"/>
  <c r="J180" i="1"/>
  <c r="AD179" i="1"/>
  <c r="R179" i="1"/>
  <c r="N179" i="1"/>
  <c r="J179" i="1"/>
  <c r="AH179" i="1" s="1"/>
  <c r="AD178" i="1"/>
  <c r="R178" i="1"/>
  <c r="N178" i="1"/>
  <c r="AH178" i="1" s="1"/>
  <c r="J178" i="1"/>
  <c r="AD177" i="1"/>
  <c r="R177" i="1"/>
  <c r="AH177" i="1" s="1"/>
  <c r="N177" i="1"/>
  <c r="J177" i="1"/>
  <c r="AD176" i="1"/>
  <c r="AH176" i="1" s="1"/>
  <c r="R176" i="1"/>
  <c r="N176" i="1"/>
  <c r="J176" i="1"/>
  <c r="AD175" i="1"/>
  <c r="R175" i="1"/>
  <c r="N175" i="1"/>
  <c r="J175" i="1"/>
  <c r="AH175" i="1" s="1"/>
  <c r="AD174" i="1"/>
  <c r="R174" i="1"/>
  <c r="N174" i="1"/>
  <c r="AH174" i="1" s="1"/>
  <c r="J174" i="1"/>
  <c r="AD173" i="1"/>
  <c r="R173" i="1"/>
  <c r="AH173" i="1" s="1"/>
  <c r="N173" i="1"/>
  <c r="J173" i="1"/>
  <c r="AD172" i="1"/>
  <c r="AH172" i="1" s="1"/>
  <c r="R172" i="1"/>
  <c r="N172" i="1"/>
  <c r="J172" i="1"/>
  <c r="AD171" i="1"/>
  <c r="R171" i="1"/>
  <c r="N171" i="1"/>
  <c r="J171" i="1"/>
  <c r="AH171" i="1" s="1"/>
  <c r="AD170" i="1"/>
  <c r="R170" i="1"/>
  <c r="N170" i="1"/>
  <c r="AH170" i="1" s="1"/>
  <c r="J170" i="1"/>
  <c r="AD169" i="1"/>
  <c r="R169" i="1"/>
  <c r="AH169" i="1" s="1"/>
  <c r="N169" i="1"/>
  <c r="J169" i="1"/>
  <c r="AD168" i="1"/>
  <c r="AH168" i="1" s="1"/>
  <c r="R168" i="1"/>
  <c r="N168" i="1"/>
  <c r="J168" i="1"/>
  <c r="AD167" i="1"/>
  <c r="R167" i="1"/>
  <c r="N167" i="1"/>
  <c r="J167" i="1"/>
  <c r="AH167" i="1" s="1"/>
  <c r="AD166" i="1"/>
  <c r="R166" i="1"/>
  <c r="N166" i="1"/>
  <c r="AH166" i="1" s="1"/>
  <c r="J166" i="1"/>
  <c r="AD165" i="1"/>
  <c r="R165" i="1"/>
  <c r="AH165" i="1" s="1"/>
  <c r="N165" i="1"/>
  <c r="J165" i="1"/>
  <c r="AD164" i="1"/>
  <c r="AH164" i="1" s="1"/>
  <c r="R164" i="1"/>
  <c r="N164" i="1"/>
  <c r="J164" i="1"/>
  <c r="AD163" i="1"/>
  <c r="R163" i="1"/>
  <c r="N163" i="1"/>
  <c r="J163" i="1"/>
  <c r="AH163" i="1" s="1"/>
  <c r="AD162" i="1"/>
  <c r="R162" i="1"/>
  <c r="N162" i="1"/>
  <c r="AH162" i="1" s="1"/>
  <c r="J162" i="1"/>
  <c r="AD161" i="1"/>
  <c r="R161" i="1"/>
  <c r="AH161" i="1" s="1"/>
  <c r="N161" i="1"/>
  <c r="J161" i="1"/>
  <c r="AD160" i="1"/>
  <c r="AH160" i="1" s="1"/>
  <c r="R160" i="1"/>
  <c r="N160" i="1"/>
  <c r="J160" i="1"/>
  <c r="AD159" i="1"/>
  <c r="R159" i="1"/>
  <c r="N159" i="1"/>
  <c r="J159" i="1"/>
  <c r="AH159" i="1" s="1"/>
  <c r="AD158" i="1"/>
  <c r="R158" i="1"/>
  <c r="N158" i="1"/>
  <c r="AH158" i="1" s="1"/>
  <c r="J158" i="1"/>
  <c r="AD157" i="1"/>
  <c r="R157" i="1"/>
  <c r="AH157" i="1" s="1"/>
  <c r="N157" i="1"/>
  <c r="J157" i="1"/>
  <c r="AD156" i="1"/>
  <c r="AH156" i="1" s="1"/>
  <c r="R156" i="1"/>
  <c r="N156" i="1"/>
  <c r="J156" i="1"/>
  <c r="AD155" i="1"/>
  <c r="R155" i="1"/>
  <c r="N155" i="1"/>
  <c r="J155" i="1"/>
  <c r="AH155" i="1" s="1"/>
  <c r="AD154" i="1"/>
  <c r="R154" i="1"/>
  <c r="N154" i="1"/>
  <c r="AH154" i="1" s="1"/>
  <c r="J154" i="1"/>
  <c r="AD153" i="1"/>
  <c r="R153" i="1"/>
  <c r="AH153" i="1" s="1"/>
  <c r="N153" i="1"/>
  <c r="J153" i="1"/>
  <c r="AD152" i="1"/>
  <c r="AH152" i="1" s="1"/>
  <c r="R152" i="1"/>
  <c r="N152" i="1"/>
  <c r="J152" i="1"/>
  <c r="AD151" i="1"/>
  <c r="R151" i="1"/>
  <c r="N151" i="1"/>
  <c r="J151" i="1"/>
  <c r="AH151" i="1" s="1"/>
  <c r="AD150" i="1"/>
  <c r="R150" i="1"/>
  <c r="N150" i="1"/>
  <c r="AH150" i="1" s="1"/>
  <c r="J150" i="1"/>
  <c r="AD149" i="1"/>
  <c r="R149" i="1"/>
  <c r="AH149" i="1" s="1"/>
  <c r="N149" i="1"/>
  <c r="J149" i="1"/>
  <c r="AD148" i="1"/>
  <c r="AH148" i="1" s="1"/>
  <c r="R148" i="1"/>
  <c r="N148" i="1"/>
  <c r="J148" i="1"/>
  <c r="AH147" i="1"/>
  <c r="AD147" i="1"/>
  <c r="R147" i="1"/>
  <c r="N147" i="1"/>
  <c r="J147" i="1"/>
  <c r="AD146" i="1"/>
  <c r="R146" i="1"/>
  <c r="N146" i="1"/>
  <c r="AH146" i="1" s="1"/>
  <c r="J146" i="1"/>
  <c r="AD145" i="1"/>
  <c r="R145" i="1"/>
  <c r="AH145" i="1" s="1"/>
  <c r="N145" i="1"/>
  <c r="J145" i="1"/>
  <c r="AD144" i="1"/>
  <c r="AH144" i="1" s="1"/>
  <c r="R144" i="1"/>
  <c r="N144" i="1"/>
  <c r="J144" i="1"/>
  <c r="AD143" i="1"/>
  <c r="R143" i="1"/>
  <c r="N143" i="1"/>
  <c r="J143" i="1"/>
  <c r="AH143" i="1" s="1"/>
  <c r="AD142" i="1"/>
  <c r="R142" i="1"/>
  <c r="N142" i="1"/>
  <c r="AH142" i="1" s="1"/>
  <c r="J142" i="1"/>
  <c r="AD141" i="1"/>
  <c r="R141" i="1"/>
  <c r="AH141" i="1" s="1"/>
  <c r="N141" i="1"/>
  <c r="J141" i="1"/>
  <c r="AD140" i="1"/>
  <c r="AH140" i="1" s="1"/>
  <c r="R140" i="1"/>
  <c r="N140" i="1"/>
  <c r="J140" i="1"/>
  <c r="AD139" i="1"/>
  <c r="R139" i="1"/>
  <c r="N139" i="1"/>
  <c r="J139" i="1"/>
  <c r="AH139" i="1" s="1"/>
  <c r="AD138" i="1"/>
  <c r="R138" i="1"/>
  <c r="N138" i="1"/>
  <c r="AH138" i="1" s="1"/>
  <c r="J138" i="1"/>
  <c r="AD137" i="1"/>
  <c r="R137" i="1"/>
  <c r="AH137" i="1" s="1"/>
  <c r="N137" i="1"/>
  <c r="J137" i="1"/>
  <c r="AD136" i="1"/>
  <c r="AH136" i="1" s="1"/>
  <c r="R136" i="1"/>
  <c r="N136" i="1"/>
  <c r="J136" i="1"/>
  <c r="AD135" i="1"/>
  <c r="R135" i="1"/>
  <c r="N135" i="1"/>
  <c r="J135" i="1"/>
  <c r="AH135" i="1" s="1"/>
  <c r="AD134" i="1"/>
  <c r="R134" i="1"/>
  <c r="N134" i="1"/>
  <c r="AH134" i="1" s="1"/>
  <c r="J134" i="1"/>
  <c r="AD133" i="1"/>
  <c r="R133" i="1"/>
  <c r="AH133" i="1" s="1"/>
  <c r="N133" i="1"/>
  <c r="J133" i="1"/>
  <c r="AD132" i="1"/>
  <c r="AH132" i="1" s="1"/>
  <c r="R132" i="1"/>
  <c r="N132" i="1"/>
  <c r="J132" i="1"/>
  <c r="AD131" i="1"/>
  <c r="R131" i="1"/>
  <c r="N131" i="1"/>
  <c r="J131" i="1"/>
  <c r="AH131" i="1" s="1"/>
  <c r="AD130" i="1"/>
  <c r="R130" i="1"/>
  <c r="N130" i="1"/>
  <c r="AH130" i="1" s="1"/>
  <c r="J130" i="1"/>
  <c r="AD129" i="1"/>
  <c r="R129" i="1"/>
  <c r="AH129" i="1" s="1"/>
  <c r="N129" i="1"/>
  <c r="J129" i="1"/>
  <c r="AD128" i="1"/>
  <c r="AH128" i="1" s="1"/>
  <c r="R128" i="1"/>
  <c r="N128" i="1"/>
  <c r="J128" i="1"/>
  <c r="AD127" i="1"/>
  <c r="R127" i="1"/>
  <c r="N127" i="1"/>
  <c r="J127" i="1"/>
  <c r="AH127" i="1" s="1"/>
  <c r="AD126" i="1"/>
  <c r="R126" i="1"/>
  <c r="N126" i="1"/>
  <c r="AH126" i="1" s="1"/>
  <c r="J126" i="1"/>
  <c r="AD125" i="1"/>
  <c r="R125" i="1"/>
  <c r="AH125" i="1" s="1"/>
  <c r="N125" i="1"/>
  <c r="J125" i="1"/>
  <c r="AD124" i="1"/>
  <c r="AH124" i="1" s="1"/>
  <c r="R124" i="1"/>
  <c r="N124" i="1"/>
  <c r="J124" i="1"/>
  <c r="AD123" i="1"/>
  <c r="R123" i="1"/>
  <c r="N123" i="1"/>
  <c r="J123" i="1"/>
  <c r="AH123" i="1" s="1"/>
  <c r="AD122" i="1"/>
  <c r="R122" i="1"/>
  <c r="N122" i="1"/>
  <c r="AH122" i="1" s="1"/>
  <c r="J122" i="1"/>
  <c r="AD121" i="1"/>
  <c r="R121" i="1"/>
  <c r="AH121" i="1" s="1"/>
  <c r="N121" i="1"/>
  <c r="J121" i="1"/>
  <c r="AD120" i="1"/>
  <c r="AH120" i="1" s="1"/>
  <c r="R120" i="1"/>
  <c r="N120" i="1"/>
  <c r="J120" i="1"/>
  <c r="AD119" i="1"/>
  <c r="R119" i="1"/>
  <c r="N119" i="1"/>
  <c r="J119" i="1"/>
  <c r="AH119" i="1" s="1"/>
  <c r="AD118" i="1"/>
  <c r="R118" i="1"/>
  <c r="N118" i="1"/>
  <c r="AH118" i="1" s="1"/>
  <c r="J118" i="1"/>
  <c r="AD117" i="1"/>
  <c r="R117" i="1"/>
  <c r="AH117" i="1" s="1"/>
  <c r="N117" i="1"/>
  <c r="J117" i="1"/>
  <c r="AD116" i="1"/>
  <c r="AH116" i="1" s="1"/>
  <c r="R116" i="1"/>
  <c r="N116" i="1"/>
  <c r="J116" i="1"/>
  <c r="AD115" i="1"/>
  <c r="R115" i="1"/>
  <c r="N115" i="1"/>
  <c r="J115" i="1"/>
  <c r="AH115" i="1" s="1"/>
  <c r="AD114" i="1"/>
  <c r="R114" i="1"/>
  <c r="N114" i="1"/>
  <c r="AH114" i="1" s="1"/>
  <c r="J114" i="1"/>
  <c r="AD113" i="1"/>
  <c r="R113" i="1"/>
  <c r="AH113" i="1" s="1"/>
  <c r="N113" i="1"/>
  <c r="J113" i="1"/>
  <c r="AD112" i="1"/>
  <c r="AH112" i="1" s="1"/>
  <c r="R112" i="1"/>
  <c r="N112" i="1"/>
  <c r="J112" i="1"/>
  <c r="AD111" i="1"/>
  <c r="R111" i="1"/>
  <c r="N111" i="1"/>
  <c r="J111" i="1"/>
  <c r="AH111" i="1" s="1"/>
  <c r="AD110" i="1"/>
  <c r="R110" i="1"/>
  <c r="N110" i="1"/>
  <c r="AH110" i="1" s="1"/>
  <c r="J110" i="1"/>
  <c r="AD109" i="1"/>
  <c r="R109" i="1"/>
  <c r="AH109" i="1" s="1"/>
  <c r="N109" i="1"/>
  <c r="J109" i="1"/>
  <c r="AD108" i="1"/>
  <c r="AH108" i="1" s="1"/>
  <c r="R108" i="1"/>
  <c r="N108" i="1"/>
  <c r="J108" i="1"/>
  <c r="AD107" i="1"/>
  <c r="R107" i="1"/>
  <c r="N107" i="1"/>
  <c r="J107" i="1"/>
  <c r="AH107" i="1" s="1"/>
  <c r="AD106" i="1"/>
  <c r="R106" i="1"/>
  <c r="N106" i="1"/>
  <c r="AH106" i="1" s="1"/>
  <c r="J106" i="1"/>
  <c r="AD105" i="1"/>
  <c r="R105" i="1"/>
  <c r="AH105" i="1" s="1"/>
  <c r="N105" i="1"/>
  <c r="J105" i="1"/>
  <c r="AD104" i="1"/>
  <c r="AH104" i="1" s="1"/>
  <c r="R104" i="1"/>
  <c r="N104" i="1"/>
  <c r="J104" i="1"/>
  <c r="AD103" i="1"/>
  <c r="R103" i="1"/>
  <c r="N103" i="1"/>
  <c r="J103" i="1"/>
  <c r="AH103" i="1" s="1"/>
  <c r="AD102" i="1"/>
  <c r="R102" i="1"/>
  <c r="N102" i="1"/>
  <c r="AH102" i="1" s="1"/>
  <c r="J102" i="1"/>
  <c r="AD101" i="1"/>
  <c r="R101" i="1"/>
  <c r="AH101" i="1" s="1"/>
  <c r="N101" i="1"/>
  <c r="J101" i="1"/>
  <c r="AD100" i="1"/>
  <c r="AH100" i="1" s="1"/>
  <c r="R100" i="1"/>
  <c r="N100" i="1"/>
  <c r="J100" i="1"/>
  <c r="AD99" i="1"/>
  <c r="R99" i="1"/>
  <c r="N99" i="1"/>
  <c r="J99" i="1"/>
  <c r="AH99" i="1" s="1"/>
  <c r="AD98" i="1"/>
  <c r="R98" i="1"/>
  <c r="N98" i="1"/>
  <c r="AH98" i="1" s="1"/>
  <c r="J98" i="1"/>
  <c r="AD97" i="1"/>
  <c r="R97" i="1"/>
  <c r="AH97" i="1" s="1"/>
  <c r="N97" i="1"/>
  <c r="J97" i="1"/>
  <c r="AD96" i="1"/>
  <c r="AH96" i="1" s="1"/>
  <c r="R96" i="1"/>
  <c r="N96" i="1"/>
  <c r="J96" i="1"/>
  <c r="AD95" i="1"/>
  <c r="R95" i="1"/>
  <c r="N95" i="1"/>
  <c r="J95" i="1"/>
  <c r="AH95" i="1" s="1"/>
  <c r="AD94" i="1"/>
  <c r="R94" i="1"/>
  <c r="N94" i="1"/>
  <c r="AH94" i="1" s="1"/>
  <c r="J94" i="1"/>
  <c r="AD93" i="1"/>
  <c r="R93" i="1"/>
  <c r="AH93" i="1" s="1"/>
  <c r="N93" i="1"/>
  <c r="J93" i="1"/>
  <c r="AD92" i="1"/>
  <c r="AH92" i="1" s="1"/>
  <c r="R92" i="1"/>
  <c r="N92" i="1"/>
  <c r="J92" i="1"/>
  <c r="AD91" i="1"/>
  <c r="R91" i="1"/>
  <c r="N91" i="1"/>
  <c r="J91" i="1"/>
  <c r="AH91" i="1" s="1"/>
  <c r="AD90" i="1"/>
  <c r="R90" i="1"/>
  <c r="N90" i="1"/>
  <c r="AH90" i="1" s="1"/>
  <c r="J90" i="1"/>
  <c r="AD89" i="1"/>
  <c r="R89" i="1"/>
  <c r="AH89" i="1" s="1"/>
  <c r="N89" i="1"/>
  <c r="J89" i="1"/>
  <c r="AD88" i="1"/>
  <c r="AH88" i="1" s="1"/>
  <c r="R88" i="1"/>
  <c r="N88" i="1"/>
  <c r="J88" i="1"/>
  <c r="AD87" i="1"/>
  <c r="R87" i="1"/>
  <c r="N87" i="1"/>
  <c r="J87" i="1"/>
  <c r="AH87" i="1" s="1"/>
  <c r="AD86" i="1"/>
  <c r="R86" i="1"/>
  <c r="N86" i="1"/>
  <c r="AH86" i="1" s="1"/>
  <c r="J86" i="1"/>
  <c r="AD85" i="1"/>
  <c r="R85" i="1"/>
  <c r="AH85" i="1" s="1"/>
  <c r="N85" i="1"/>
  <c r="J85" i="1"/>
  <c r="AD84" i="1"/>
  <c r="AH84" i="1" s="1"/>
  <c r="R84" i="1"/>
  <c r="N84" i="1"/>
  <c r="J84" i="1"/>
  <c r="AD83" i="1"/>
  <c r="R83" i="1"/>
  <c r="N83" i="1"/>
  <c r="J83" i="1"/>
  <c r="AH83" i="1" s="1"/>
  <c r="AD82" i="1"/>
  <c r="R82" i="1"/>
  <c r="N82" i="1"/>
  <c r="AH82" i="1" s="1"/>
  <c r="J82" i="1"/>
  <c r="AD81" i="1"/>
  <c r="R81" i="1"/>
  <c r="AH81" i="1" s="1"/>
  <c r="N81" i="1"/>
  <c r="J81" i="1"/>
  <c r="AD80" i="1"/>
  <c r="AH80" i="1" s="1"/>
  <c r="R80" i="1"/>
  <c r="N80" i="1"/>
  <c r="J80" i="1"/>
  <c r="AD79" i="1"/>
  <c r="R79" i="1"/>
  <c r="N79" i="1"/>
  <c r="J79" i="1"/>
  <c r="AH79" i="1" s="1"/>
  <c r="AD78" i="1"/>
  <c r="R78" i="1"/>
  <c r="N78" i="1"/>
  <c r="AH78" i="1" s="1"/>
  <c r="J78" i="1"/>
  <c r="AD77" i="1"/>
  <c r="R77" i="1"/>
  <c r="AH77" i="1" s="1"/>
  <c r="N77" i="1"/>
  <c r="J77" i="1"/>
  <c r="AD76" i="1"/>
  <c r="AH76" i="1" s="1"/>
  <c r="R76" i="1"/>
  <c r="N76" i="1"/>
  <c r="J76" i="1"/>
  <c r="AD75" i="1"/>
  <c r="R75" i="1"/>
  <c r="N75" i="1"/>
  <c r="J75" i="1"/>
  <c r="AH75" i="1" s="1"/>
  <c r="AD74" i="1"/>
  <c r="R74" i="1"/>
  <c r="N74" i="1"/>
  <c r="AH74" i="1" s="1"/>
  <c r="J74" i="1"/>
  <c r="AD73" i="1"/>
  <c r="R73" i="1"/>
  <c r="AH73" i="1" s="1"/>
  <c r="N73" i="1"/>
  <c r="J73" i="1"/>
  <c r="AD72" i="1"/>
  <c r="AH72" i="1" s="1"/>
  <c r="R72" i="1"/>
  <c r="N72" i="1"/>
  <c r="J72" i="1"/>
  <c r="AD71" i="1"/>
  <c r="R71" i="1"/>
  <c r="N71" i="1"/>
  <c r="J71" i="1"/>
  <c r="AH71" i="1" s="1"/>
  <c r="AD70" i="1"/>
  <c r="R70" i="1"/>
  <c r="N70" i="1"/>
  <c r="AH70" i="1" s="1"/>
  <c r="J70" i="1"/>
  <c r="AD69" i="1"/>
  <c r="R69" i="1"/>
  <c r="AH69" i="1" s="1"/>
  <c r="N69" i="1"/>
  <c r="J69" i="1"/>
  <c r="AD68" i="1"/>
  <c r="AH68" i="1" s="1"/>
  <c r="R68" i="1"/>
  <c r="N68" i="1"/>
  <c r="J68" i="1"/>
  <c r="AD67" i="1"/>
  <c r="R67" i="1"/>
  <c r="N67" i="1"/>
  <c r="J67" i="1"/>
  <c r="AH67" i="1" s="1"/>
  <c r="AD66" i="1"/>
  <c r="R66" i="1"/>
  <c r="N66" i="1"/>
  <c r="AH66" i="1" s="1"/>
  <c r="J66" i="1"/>
  <c r="AD65" i="1"/>
  <c r="R65" i="1"/>
  <c r="AH65" i="1" s="1"/>
  <c r="N65" i="1"/>
  <c r="J65" i="1"/>
  <c r="AD64" i="1"/>
  <c r="AH64" i="1" s="1"/>
  <c r="R64" i="1"/>
  <c r="N64" i="1"/>
  <c r="J64" i="1"/>
  <c r="AD63" i="1"/>
  <c r="R63" i="1"/>
  <c r="N63" i="1"/>
  <c r="J63" i="1"/>
  <c r="AH63" i="1" s="1"/>
  <c r="AD62" i="1"/>
  <c r="R62" i="1"/>
  <c r="N62" i="1"/>
  <c r="AH62" i="1" s="1"/>
  <c r="J62" i="1"/>
  <c r="AD61" i="1"/>
  <c r="R61" i="1"/>
  <c r="AH61" i="1" s="1"/>
  <c r="N61" i="1"/>
  <c r="J61" i="1"/>
  <c r="AD60" i="1"/>
  <c r="AH60" i="1" s="1"/>
  <c r="R60" i="1"/>
  <c r="N60" i="1"/>
  <c r="J60" i="1"/>
  <c r="AD59" i="1"/>
  <c r="R59" i="1"/>
  <c r="N59" i="1"/>
  <c r="J59" i="1"/>
  <c r="AH59" i="1" s="1"/>
  <c r="AD58" i="1"/>
  <c r="R58" i="1"/>
  <c r="N58" i="1"/>
  <c r="AH58" i="1" s="1"/>
  <c r="J58" i="1"/>
  <c r="AD57" i="1"/>
  <c r="R57" i="1"/>
  <c r="AH57" i="1" s="1"/>
  <c r="N57" i="1"/>
  <c r="J57" i="1"/>
  <c r="AD56" i="1"/>
  <c r="AH56" i="1" s="1"/>
  <c r="R56" i="1"/>
  <c r="N56" i="1"/>
  <c r="J56" i="1"/>
  <c r="AD55" i="1"/>
  <c r="R55" i="1"/>
  <c r="N55" i="1"/>
  <c r="J55" i="1"/>
  <c r="AH55" i="1" s="1"/>
  <c r="AD54" i="1"/>
  <c r="R54" i="1"/>
  <c r="N54" i="1"/>
  <c r="AH54" i="1" s="1"/>
  <c r="J54" i="1"/>
  <c r="AD53" i="1"/>
  <c r="R53" i="1"/>
  <c r="AH53" i="1" s="1"/>
  <c r="N53" i="1"/>
  <c r="J53" i="1"/>
  <c r="AD52" i="1"/>
  <c r="AH52" i="1" s="1"/>
  <c r="R52" i="1"/>
  <c r="N52" i="1"/>
  <c r="J52" i="1"/>
  <c r="AD51" i="1"/>
  <c r="R51" i="1"/>
  <c r="N51" i="1"/>
  <c r="J51" i="1"/>
  <c r="AH51" i="1" s="1"/>
  <c r="AD50" i="1"/>
  <c r="R50" i="1"/>
  <c r="N50" i="1"/>
  <c r="AH50" i="1" s="1"/>
  <c r="J50" i="1"/>
  <c r="AD49" i="1"/>
  <c r="R49" i="1"/>
  <c r="AH49" i="1" s="1"/>
  <c r="N49" i="1"/>
  <c r="J49" i="1"/>
  <c r="AD48" i="1"/>
  <c r="AH48" i="1" s="1"/>
  <c r="R48" i="1"/>
  <c r="N48" i="1"/>
  <c r="J48" i="1"/>
  <c r="AD47" i="1"/>
  <c r="R47" i="1"/>
  <c r="N47" i="1"/>
  <c r="J47" i="1"/>
  <c r="AH47" i="1" s="1"/>
  <c r="AD46" i="1"/>
  <c r="R46" i="1"/>
  <c r="N46" i="1"/>
  <c r="AH46" i="1" s="1"/>
  <c r="J46" i="1"/>
  <c r="AD45" i="1"/>
  <c r="R45" i="1"/>
  <c r="AH45" i="1" s="1"/>
  <c r="N45" i="1"/>
  <c r="J45" i="1"/>
  <c r="AD44" i="1"/>
  <c r="AH44" i="1" s="1"/>
  <c r="R44" i="1"/>
  <c r="N44" i="1"/>
  <c r="J44" i="1"/>
  <c r="AD43" i="1"/>
  <c r="R43" i="1"/>
  <c r="N43" i="1"/>
  <c r="J43" i="1"/>
  <c r="AH43" i="1" s="1"/>
  <c r="AD42" i="1"/>
  <c r="R42" i="1"/>
  <c r="N42" i="1"/>
  <c r="AH42" i="1" s="1"/>
  <c r="J42" i="1"/>
  <c r="AD41" i="1"/>
  <c r="R41" i="1"/>
  <c r="AH41" i="1" s="1"/>
  <c r="N41" i="1"/>
  <c r="J41" i="1"/>
  <c r="AD40" i="1"/>
  <c r="AH40" i="1" s="1"/>
  <c r="R40" i="1"/>
  <c r="N40" i="1"/>
  <c r="J40" i="1"/>
  <c r="AD39" i="1"/>
  <c r="R39" i="1"/>
  <c r="N39" i="1"/>
  <c r="J39" i="1"/>
  <c r="AH39" i="1" s="1"/>
  <c r="AD38" i="1"/>
  <c r="R38" i="1"/>
  <c r="N38" i="1"/>
  <c r="AH38" i="1" s="1"/>
  <c r="J38" i="1"/>
  <c r="AD37" i="1"/>
  <c r="R37" i="1"/>
  <c r="AH37" i="1" s="1"/>
  <c r="N37" i="1"/>
  <c r="J37" i="1"/>
  <c r="AD36" i="1"/>
  <c r="AH36" i="1" s="1"/>
  <c r="R36" i="1"/>
  <c r="N36" i="1"/>
  <c r="J36" i="1"/>
  <c r="AD35" i="1"/>
  <c r="R35" i="1"/>
  <c r="N35" i="1"/>
  <c r="J35" i="1"/>
  <c r="AH35" i="1" s="1"/>
  <c r="AD34" i="1"/>
  <c r="R34" i="1"/>
  <c r="N34" i="1"/>
  <c r="AH34" i="1" s="1"/>
  <c r="J34" i="1"/>
  <c r="AD33" i="1"/>
  <c r="R33" i="1"/>
  <c r="AH33" i="1" s="1"/>
  <c r="N33" i="1"/>
  <c r="J33" i="1"/>
  <c r="AD32" i="1"/>
  <c r="AH32" i="1" s="1"/>
  <c r="R32" i="1"/>
  <c r="N32" i="1"/>
  <c r="J32" i="1"/>
  <c r="AD31" i="1"/>
  <c r="R31" i="1"/>
  <c r="N31" i="1"/>
  <c r="J31" i="1"/>
  <c r="AH31" i="1" s="1"/>
  <c r="AD30" i="1"/>
  <c r="R30" i="1"/>
  <c r="N30" i="1"/>
  <c r="AH30" i="1" s="1"/>
  <c r="J30" i="1"/>
  <c r="AD29" i="1"/>
  <c r="R29" i="1"/>
  <c r="AH29" i="1" s="1"/>
  <c r="N29" i="1"/>
  <c r="J29" i="1"/>
  <c r="AD28" i="1"/>
  <c r="AH28" i="1" s="1"/>
  <c r="R28" i="1"/>
  <c r="N28" i="1"/>
  <c r="J28" i="1"/>
  <c r="AD27" i="1"/>
  <c r="R27" i="1"/>
  <c r="N27" i="1"/>
  <c r="J27" i="1"/>
  <c r="AH27" i="1" s="1"/>
  <c r="AD26" i="1"/>
  <c r="R26" i="1"/>
  <c r="N26" i="1"/>
  <c r="AH26" i="1" s="1"/>
  <c r="J26" i="1"/>
  <c r="AD25" i="1"/>
  <c r="R25" i="1"/>
  <c r="AH25" i="1" s="1"/>
  <c r="N25" i="1"/>
  <c r="J25" i="1"/>
  <c r="AD24" i="1"/>
  <c r="AH24" i="1" s="1"/>
  <c r="R24" i="1"/>
  <c r="N24" i="1"/>
  <c r="J24" i="1"/>
  <c r="AD23" i="1"/>
  <c r="R23" i="1"/>
  <c r="N23" i="1"/>
  <c r="J23" i="1"/>
  <c r="AH23" i="1" s="1"/>
  <c r="AD22" i="1"/>
  <c r="R22" i="1"/>
  <c r="N22" i="1"/>
  <c r="AH22" i="1" s="1"/>
  <c r="J22" i="1"/>
  <c r="AD21" i="1"/>
  <c r="R21" i="1"/>
  <c r="AH21" i="1" s="1"/>
  <c r="N21" i="1"/>
  <c r="J21" i="1"/>
  <c r="AD20" i="1"/>
  <c r="AH20" i="1" s="1"/>
  <c r="R20" i="1"/>
  <c r="N20" i="1"/>
  <c r="J20" i="1"/>
  <c r="AD19" i="1"/>
  <c r="R19" i="1"/>
  <c r="N19" i="1"/>
  <c r="J19" i="1"/>
  <c r="AH19" i="1" s="1"/>
  <c r="AD18" i="1"/>
  <c r="R18" i="1"/>
  <c r="N18" i="1"/>
  <c r="AH18" i="1" s="1"/>
  <c r="J18" i="1"/>
  <c r="AD17" i="1"/>
  <c r="R17" i="1"/>
  <c r="AH17" i="1" s="1"/>
  <c r="N17" i="1"/>
  <c r="J17" i="1"/>
  <c r="AD16" i="1"/>
  <c r="AH16" i="1" s="1"/>
  <c r="R16" i="1"/>
  <c r="N16" i="1"/>
  <c r="J16" i="1"/>
  <c r="AD15" i="1"/>
  <c r="R15" i="1"/>
  <c r="N15" i="1"/>
  <c r="J15" i="1"/>
  <c r="AH15" i="1" s="1"/>
  <c r="AD14" i="1"/>
  <c r="R14" i="1"/>
  <c r="N14" i="1"/>
  <c r="AH14" i="1" s="1"/>
  <c r="J14" i="1"/>
  <c r="AD13" i="1"/>
  <c r="R13" i="1"/>
  <c r="AH13" i="1" s="1"/>
  <c r="N13" i="1"/>
  <c r="J13" i="1"/>
  <c r="AD12" i="1"/>
  <c r="AH12" i="1" s="1"/>
  <c r="R12" i="1"/>
  <c r="N12" i="1"/>
  <c r="J12" i="1"/>
  <c r="AD11" i="1"/>
  <c r="R11" i="1"/>
  <c r="N11" i="1"/>
  <c r="J11" i="1"/>
  <c r="AH11" i="1" s="1"/>
  <c r="AD10" i="1"/>
  <c r="R10" i="1"/>
  <c r="N10" i="1"/>
  <c r="AH10" i="1" s="1"/>
  <c r="J10" i="1"/>
  <c r="AD9" i="1"/>
  <c r="R9" i="1"/>
  <c r="AH9" i="1" s="1"/>
  <c r="N9" i="1"/>
  <c r="J9" i="1"/>
  <c r="AD8" i="1"/>
  <c r="AH8" i="1" s="1"/>
  <c r="R8" i="1"/>
  <c r="N8" i="1"/>
  <c r="J8" i="1"/>
  <c r="AD7" i="1"/>
  <c r="R7" i="1"/>
  <c r="N7" i="1"/>
  <c r="J7" i="1"/>
  <c r="AH7" i="1" s="1"/>
  <c r="AD6" i="1"/>
  <c r="R6" i="1"/>
  <c r="N6" i="1"/>
  <c r="AH6" i="1" s="1"/>
  <c r="J6" i="1"/>
  <c r="AD5" i="1"/>
  <c r="R5" i="1"/>
  <c r="AH5" i="1" s="1"/>
  <c r="N5" i="1"/>
  <c r="J5" i="1"/>
  <c r="AD4" i="1"/>
  <c r="AH4" i="1" s="1"/>
  <c r="R4" i="1"/>
  <c r="N4" i="1"/>
  <c r="J4" i="1"/>
  <c r="AD3" i="1"/>
  <c r="R3" i="1"/>
  <c r="N3" i="1"/>
  <c r="J3" i="1"/>
  <c r="AH3" i="1" s="1"/>
  <c r="AD2" i="1"/>
  <c r="R2" i="1"/>
  <c r="N2" i="1"/>
  <c r="AH2" i="1" s="1"/>
  <c r="J2" i="1"/>
  <c r="AU80" i="15"/>
  <c r="AT80" i="15"/>
  <c r="AU79" i="15"/>
  <c r="AT79" i="15"/>
  <c r="AU78" i="15"/>
  <c r="AT78" i="15"/>
  <c r="AT24" i="15"/>
  <c r="AT23" i="15"/>
  <c r="AT22" i="15"/>
  <c r="AT21" i="15"/>
  <c r="AT20" i="15"/>
  <c r="AT19" i="15"/>
  <c r="AT18" i="15"/>
  <c r="AT17" i="15"/>
  <c r="AT16" i="15"/>
  <c r="AT15" i="15"/>
  <c r="AT14" i="15"/>
  <c r="AT13" i="15"/>
  <c r="AT12" i="15"/>
  <c r="AT11" i="15"/>
  <c r="AT10" i="15"/>
  <c r="AT9" i="15"/>
  <c r="AT8" i="15"/>
  <c r="AT7" i="15"/>
  <c r="AT6" i="15"/>
  <c r="AT5" i="15"/>
  <c r="AT4" i="15"/>
</calcChain>
</file>

<file path=xl/sharedStrings.xml><?xml version="1.0" encoding="utf-8"?>
<sst xmlns="http://schemas.openxmlformats.org/spreadsheetml/2006/main" count="6968" uniqueCount="4703">
  <si>
    <t>Sr#</t>
  </si>
  <si>
    <t>Name</t>
  </si>
  <si>
    <t>F/Name</t>
  </si>
  <si>
    <t>Section</t>
  </si>
  <si>
    <t>Mobile No</t>
  </si>
  <si>
    <t>Package</t>
  </si>
  <si>
    <t>1st Installment</t>
  </si>
  <si>
    <t>2nd Installment</t>
  </si>
  <si>
    <t>3rd Installment</t>
  </si>
  <si>
    <t>4th Installment</t>
  </si>
  <si>
    <t>5th Installment</t>
  </si>
  <si>
    <t>Maryam ishfaq</t>
  </si>
  <si>
    <t>M.Ishfaq</t>
  </si>
  <si>
    <t>MS</t>
  </si>
  <si>
    <t>uswar Rafi</t>
  </si>
  <si>
    <t>M.Arfi</t>
  </si>
  <si>
    <t>Amina Shahzadi</t>
  </si>
  <si>
    <t>Fiza Saeed</t>
  </si>
  <si>
    <t>Saeed Ahmad</t>
  </si>
  <si>
    <t>2084/ 26-03-19</t>
  </si>
  <si>
    <t>Laiba sattar</t>
  </si>
  <si>
    <t>Hakim Abdul Sattar</t>
  </si>
  <si>
    <t>Shanza bibi</t>
  </si>
  <si>
    <t>Ashiq</t>
  </si>
  <si>
    <t>zahara bibi</t>
  </si>
  <si>
    <t>Mazhar Khan</t>
  </si>
  <si>
    <t>2029/30-04-19</t>
  </si>
  <si>
    <t>Aiman Yousaf</t>
  </si>
  <si>
    <t>M.Yousaf</t>
  </si>
  <si>
    <t>2061/25-03-19</t>
  </si>
  <si>
    <t>Mahnoor</t>
  </si>
  <si>
    <t>M.Luqman</t>
  </si>
  <si>
    <t>2181/30-04-19</t>
  </si>
  <si>
    <t>Kasmala bibi</t>
  </si>
  <si>
    <t>Manzoor hussain</t>
  </si>
  <si>
    <t>2147/23-04-19</t>
  </si>
  <si>
    <t>Ania Farooq</t>
  </si>
  <si>
    <t>M.Farooq</t>
  </si>
  <si>
    <t>2125/18-04-19</t>
  </si>
  <si>
    <t>Umme Muniba</t>
  </si>
  <si>
    <t>Saba Perveen</t>
  </si>
  <si>
    <t>Hamna Iqbal</t>
  </si>
  <si>
    <t>M.Iqbal</t>
  </si>
  <si>
    <t>2298/21-05-19</t>
  </si>
  <si>
    <t>Mehtab Arshad</t>
  </si>
  <si>
    <t>M.Arshad Pervaiz</t>
  </si>
  <si>
    <t>Alina perveen</t>
  </si>
  <si>
    <t>M.yousaf</t>
  </si>
  <si>
    <t>2072/25-03-19</t>
  </si>
  <si>
    <t>Maryam bibi</t>
  </si>
  <si>
    <t>Khalid Mehmood</t>
  </si>
  <si>
    <t>Asma Tariq</t>
  </si>
  <si>
    <t>Tariq Mehmood</t>
  </si>
  <si>
    <t>2057/21-03-19</t>
  </si>
  <si>
    <t>Noor Fatima</t>
  </si>
  <si>
    <t>Ashiq Hussain</t>
  </si>
  <si>
    <t>2003/26-03-19</t>
  </si>
  <si>
    <t>Laiba Fatima</t>
  </si>
  <si>
    <t>Javaid Akhtar</t>
  </si>
  <si>
    <t>2441/01-06-19</t>
  </si>
  <si>
    <t>Ayesha Shahid</t>
  </si>
  <si>
    <t>M.Shahid</t>
  </si>
  <si>
    <t>2210/06-05-19</t>
  </si>
  <si>
    <t>Sania Noreen</t>
  </si>
  <si>
    <t>Shazia bibi</t>
  </si>
  <si>
    <t>Shair Muhammad</t>
  </si>
  <si>
    <t>2443/01-06-19</t>
  </si>
  <si>
    <t>Tayba younas</t>
  </si>
  <si>
    <t>M.younas</t>
  </si>
  <si>
    <t>2042/05-04-19</t>
  </si>
  <si>
    <t>Yasmeen Noreen</t>
  </si>
  <si>
    <t>M.Rafique</t>
  </si>
  <si>
    <t>2037/04-04-19</t>
  </si>
  <si>
    <t>Zaiba Kanwal</t>
  </si>
  <si>
    <t>M.Abbas</t>
  </si>
  <si>
    <t>2039/04-04-19</t>
  </si>
  <si>
    <t>M.Saleem</t>
  </si>
  <si>
    <t>Hafza Eisha Munawar</t>
  </si>
  <si>
    <t>Munawar Ali</t>
  </si>
  <si>
    <t>2444/01-06-19</t>
  </si>
  <si>
    <t>Anosha Sania</t>
  </si>
  <si>
    <t>Farhat Naseem</t>
  </si>
  <si>
    <t>Ghulam Hussain</t>
  </si>
  <si>
    <t>Shabeena Afzal</t>
  </si>
  <si>
    <t>M.Afzal</t>
  </si>
  <si>
    <t>2060/25-03-19</t>
  </si>
  <si>
    <t>Romaisa Ashraf</t>
  </si>
  <si>
    <t>M.Ashraf</t>
  </si>
  <si>
    <t>2433/31-05-19</t>
  </si>
  <si>
    <t>Nimra Iqbal</t>
  </si>
  <si>
    <t>2215/07-05-19</t>
  </si>
  <si>
    <t>Zobia kanwal</t>
  </si>
  <si>
    <t>M.Idress</t>
  </si>
  <si>
    <t>2220/08-05-19</t>
  </si>
  <si>
    <t>Khansa Mehmood</t>
  </si>
  <si>
    <t>M.Arshad Mehmood</t>
  </si>
  <si>
    <t>2222/08-05-19</t>
  </si>
  <si>
    <t>Lubna bibi</t>
  </si>
  <si>
    <t>M.Akram</t>
  </si>
  <si>
    <t>2192/03-05-19</t>
  </si>
  <si>
    <t>Rubina Razzaq</t>
  </si>
  <si>
    <t>Abdul Razzaq</t>
  </si>
  <si>
    <t>Alina khaliq</t>
  </si>
  <si>
    <t>Abdul khaliq</t>
  </si>
  <si>
    <t>saba Mehmood</t>
  </si>
  <si>
    <t>Mehmood Ahmad</t>
  </si>
  <si>
    <t>2096/26-03-19</t>
  </si>
  <si>
    <t>Wajeeha Bashir</t>
  </si>
  <si>
    <t>M.Bashir</t>
  </si>
  <si>
    <t>Sadia Sardar</t>
  </si>
  <si>
    <t>Adeeba Ramzan</t>
  </si>
  <si>
    <t>M.Ramzan</t>
  </si>
  <si>
    <t>Muqaddas bibi</t>
  </si>
  <si>
    <t>Ijaz Hussain</t>
  </si>
  <si>
    <t>Amna Mustafa</t>
  </si>
  <si>
    <t>Shameen Fatima</t>
  </si>
  <si>
    <t>Mubeen Hussain</t>
  </si>
  <si>
    <t>Kinza javaid</t>
  </si>
  <si>
    <t>Faqeer Hussain</t>
  </si>
  <si>
    <t>Ghulam mustafa</t>
  </si>
  <si>
    <t>Hafiza Mahnoor</t>
  </si>
  <si>
    <t>M</t>
  </si>
  <si>
    <t>2107/10-04-19</t>
  </si>
  <si>
    <t>Iqra Mubeen</t>
  </si>
  <si>
    <t>Syed Nasrullaha shah</t>
  </si>
  <si>
    <t>2015/26-03-19</t>
  </si>
  <si>
    <t>2439/31-05-19</t>
  </si>
  <si>
    <t>Faiza Ashraf</t>
  </si>
  <si>
    <t>2146/23-04-19</t>
  </si>
  <si>
    <t>Haleema Sadia</t>
  </si>
  <si>
    <t>Asghar Ali</t>
  </si>
  <si>
    <t>2129/20-04-19</t>
  </si>
  <si>
    <t>Sania Bibi</t>
  </si>
  <si>
    <t>2115/13-04-19</t>
  </si>
  <si>
    <t>Sadia Aslam</t>
  </si>
  <si>
    <t>M.Aslam</t>
  </si>
  <si>
    <t>Azka Zaly</t>
  </si>
  <si>
    <t>javed iqbal</t>
  </si>
  <si>
    <t>2151/24-04-19</t>
  </si>
  <si>
    <t>Misbah Hayat</t>
  </si>
  <si>
    <t>M.Hayat</t>
  </si>
  <si>
    <t>Faryal Naveed</t>
  </si>
  <si>
    <t>Naveed AshrAf</t>
  </si>
  <si>
    <t>2183/02-05-19</t>
  </si>
  <si>
    <t>Laila Zahoor</t>
  </si>
  <si>
    <t>Zahoor Ahmad</t>
  </si>
  <si>
    <t>2058/21-03-19</t>
  </si>
  <si>
    <t>Esha Ronaq</t>
  </si>
  <si>
    <t>Ronaq Ali</t>
  </si>
  <si>
    <t>2256/13-05-19</t>
  </si>
  <si>
    <t>M.javed</t>
  </si>
  <si>
    <t>2126/18-04-19</t>
  </si>
  <si>
    <t>Saba Zulfiqar</t>
  </si>
  <si>
    <t>Zulfiqar Ali</t>
  </si>
  <si>
    <t>Arooba Farooq</t>
  </si>
  <si>
    <t>M.Farooq Shaid</t>
  </si>
  <si>
    <t>Eman Fatima</t>
  </si>
  <si>
    <t>Sajjad Hussain</t>
  </si>
  <si>
    <t>Aliya Sharif</t>
  </si>
  <si>
    <t>M.Sharif</t>
  </si>
  <si>
    <t>2184/02-05-19</t>
  </si>
  <si>
    <t>Saba Ameen</t>
  </si>
  <si>
    <t>M.Ameen</t>
  </si>
  <si>
    <t>2004/26-03-19</t>
  </si>
  <si>
    <t>Rohi Zahid</t>
  </si>
  <si>
    <t>M.Zahid</t>
  </si>
  <si>
    <t>Ayesha Bashir</t>
  </si>
  <si>
    <t>Bashir Ahmad</t>
  </si>
  <si>
    <t>Adila khan</t>
  </si>
  <si>
    <t>M.Ghulam khatak</t>
  </si>
  <si>
    <t>2448/01-06-19</t>
  </si>
  <si>
    <t>2449/01-06-19</t>
  </si>
  <si>
    <t>Hafiza isma Khan</t>
  </si>
  <si>
    <t>Iqra Shabbir</t>
  </si>
  <si>
    <t>shabbir hussain shahid</t>
  </si>
  <si>
    <t>2243/11-05-19</t>
  </si>
  <si>
    <t>Asta Parveen</t>
  </si>
  <si>
    <t>Talib Hussain</t>
  </si>
  <si>
    <t>2275/15-05-19</t>
  </si>
  <si>
    <t>Maneeha khizar</t>
  </si>
  <si>
    <t>Khizar Hayat</t>
  </si>
  <si>
    <t>2253/13-05-19</t>
  </si>
  <si>
    <t>Nadia pervaiz</t>
  </si>
  <si>
    <t>Pervaiz hussain</t>
  </si>
  <si>
    <t>Khadija Qayum</t>
  </si>
  <si>
    <t>Abdul Qayum</t>
  </si>
  <si>
    <t>Kiran Shahzadi</t>
  </si>
  <si>
    <t>Abid Hussain</t>
  </si>
  <si>
    <t>2224/08-05-19</t>
  </si>
  <si>
    <t>Saba Mustafa</t>
  </si>
  <si>
    <t>M.Mustafa</t>
  </si>
  <si>
    <t>Bhrawa Shafi</t>
  </si>
  <si>
    <t>M.Shafi</t>
  </si>
  <si>
    <t>Date and Receipt</t>
  </si>
  <si>
    <t>Paper Fund</t>
  </si>
  <si>
    <t>Received</t>
  </si>
  <si>
    <t>Board RegFee</t>
  </si>
  <si>
    <t>Remaining</t>
  </si>
  <si>
    <t>Board Exam Fee</t>
  </si>
  <si>
    <t>paid Amount</t>
  </si>
  <si>
    <t>FINE</t>
  </si>
  <si>
    <t>CONCESSION</t>
  </si>
  <si>
    <t>ROLL NO</t>
  </si>
  <si>
    <t>M. HANIF</t>
  </si>
  <si>
    <t>Muhammad Hussain</t>
  </si>
  <si>
    <t>412/24-04-19</t>
  </si>
  <si>
    <t>3322212107/03006376185</t>
  </si>
  <si>
    <t>M.Sarwer</t>
  </si>
  <si>
    <t>Iqra batool</t>
  </si>
  <si>
    <t>Qamar Hussain Shah</t>
  </si>
  <si>
    <t>Iqra Aslam</t>
  </si>
  <si>
    <t>M.Aslam Rahi</t>
  </si>
  <si>
    <t>Tooba Ashraf</t>
  </si>
  <si>
    <t>Muhammad Ashraf</t>
  </si>
  <si>
    <t>Sana Asghar</t>
  </si>
  <si>
    <t>M.Asghar</t>
  </si>
  <si>
    <t>Iqra Farooq</t>
  </si>
  <si>
    <t>Muhammad farooq</t>
  </si>
  <si>
    <t>Muhammad Iqbal</t>
  </si>
  <si>
    <t>Javeria Zafar</t>
  </si>
  <si>
    <t>M.Zafar iqbal</t>
  </si>
  <si>
    <t>Hamna Saeed</t>
  </si>
  <si>
    <t>Muhammad saeed</t>
  </si>
  <si>
    <t>Sobia bibi</t>
  </si>
  <si>
    <t>Ameer Hussain</t>
  </si>
  <si>
    <t>Nisha Javed</t>
  </si>
  <si>
    <t>M1</t>
  </si>
  <si>
    <t>Khadija Mubashira</t>
  </si>
  <si>
    <t>Ayesha Saleem</t>
  </si>
  <si>
    <t>Ayesha siddiqa</t>
  </si>
  <si>
    <t>Asma Munir</t>
  </si>
  <si>
    <t>Munir Ahmad</t>
  </si>
  <si>
    <t>Isra Anwar</t>
  </si>
  <si>
    <t>M.Anwar</t>
  </si>
  <si>
    <t>Rimsha sanaullaha</t>
  </si>
  <si>
    <t>Sanaullaha</t>
  </si>
  <si>
    <t>Ayesha Bibi</t>
  </si>
  <si>
    <t>Iqra Umer hayat</t>
  </si>
  <si>
    <t>Umer Hayat</t>
  </si>
  <si>
    <t>Aleesha</t>
  </si>
  <si>
    <t>M.Latif</t>
  </si>
  <si>
    <t>Rahat Noreen</t>
  </si>
  <si>
    <t>Shabbir AHMAD</t>
  </si>
  <si>
    <t>Bushra Khan</t>
  </si>
  <si>
    <t>M.Khan</t>
  </si>
  <si>
    <t>Aqsa beenish</t>
  </si>
  <si>
    <t>M.Ashiq</t>
  </si>
  <si>
    <t>Madiha khan</t>
  </si>
  <si>
    <t>Nasir khan</t>
  </si>
  <si>
    <t>Laiba Noor</t>
  </si>
  <si>
    <t>Riaz Ahmad</t>
  </si>
  <si>
    <t>Malaika Qamar</t>
  </si>
  <si>
    <t>Rimsha shahid</t>
  </si>
  <si>
    <t>Shahid</t>
  </si>
  <si>
    <t>Hafiza saleha nasir</t>
  </si>
  <si>
    <t>Nasir Mehmood</t>
  </si>
  <si>
    <t>Amna Usman</t>
  </si>
  <si>
    <t>M.Usman</t>
  </si>
  <si>
    <t>Aqsa afzal</t>
  </si>
  <si>
    <t>Sidra Riaz</t>
  </si>
  <si>
    <t>Khadija Asghar</t>
  </si>
  <si>
    <t>Iqra bibi</t>
  </si>
  <si>
    <t>Rimsha Kanwal</t>
  </si>
  <si>
    <t>Aqsa Rasool</t>
  </si>
  <si>
    <t>Mishal Fatima</t>
  </si>
  <si>
    <t>Mehreen Sharif</t>
  </si>
  <si>
    <t>Samreen Akram</t>
  </si>
  <si>
    <t>Iqra Abbas</t>
  </si>
  <si>
    <t>Amna Nazir</t>
  </si>
  <si>
    <t>M.Nazir</t>
  </si>
  <si>
    <t>Rubina bibi</t>
  </si>
  <si>
    <t>Urwa majid</t>
  </si>
  <si>
    <t>wajeeha fiaz</t>
  </si>
  <si>
    <t>Malik fiaz</t>
  </si>
  <si>
    <t>Areej Fatima</t>
  </si>
  <si>
    <t>Humaira Younas</t>
  </si>
  <si>
    <t xml:space="preserve">Muqaddas Mushtaq </t>
  </si>
  <si>
    <t>Iqra Muhammad</t>
  </si>
  <si>
    <t>Natasha Khalil</t>
  </si>
  <si>
    <t>Khalil</t>
  </si>
  <si>
    <t>Saman ijaz</t>
  </si>
  <si>
    <t>ijaz</t>
  </si>
  <si>
    <t>Laiba Pervaiz</t>
  </si>
  <si>
    <t>M.Parvaiz</t>
  </si>
  <si>
    <t>Hafsa Qayyum</t>
  </si>
  <si>
    <t>M.Qayyum</t>
  </si>
  <si>
    <t>Ulfat ejaz</t>
  </si>
  <si>
    <t>ejaz</t>
  </si>
  <si>
    <t>Muqaddas Mansha</t>
  </si>
  <si>
    <t>Mansha</t>
  </si>
  <si>
    <t>M.Amjid</t>
  </si>
  <si>
    <t>Samrena Munir</t>
  </si>
  <si>
    <t>Arisha Noreen</t>
  </si>
  <si>
    <t>Ayesha Munir</t>
  </si>
  <si>
    <t>Maliha Khan</t>
  </si>
  <si>
    <t>Nasir Khan</t>
  </si>
  <si>
    <t>Aziba Fida</t>
  </si>
  <si>
    <t>Mutiba Arooj</t>
  </si>
  <si>
    <t>Sania Latif</t>
  </si>
  <si>
    <t>Ruksana bibi</t>
  </si>
  <si>
    <t>M.Riaz</t>
  </si>
  <si>
    <t>Kashaf Saher</t>
  </si>
  <si>
    <t>Abdul Hameed</t>
  </si>
  <si>
    <t>Iqbal Bashir</t>
  </si>
  <si>
    <t>410/22-04-19</t>
  </si>
  <si>
    <t>Mushtaq Hussain</t>
  </si>
  <si>
    <t>Ghulam Rasool</t>
  </si>
  <si>
    <t>431/27-07-19</t>
  </si>
  <si>
    <t>Abdul shakoor</t>
  </si>
  <si>
    <t>Abdul Majid</t>
  </si>
  <si>
    <t>Muhammad Akram</t>
  </si>
  <si>
    <t>Maria Masood</t>
  </si>
  <si>
    <t>Misbah javed</t>
  </si>
  <si>
    <t>M.Ismail</t>
  </si>
  <si>
    <t>Azka Noor</t>
  </si>
  <si>
    <t>Sana Zaman</t>
  </si>
  <si>
    <t>Saira Zaman</t>
  </si>
  <si>
    <t>Sania Khalil</t>
  </si>
  <si>
    <t>Hafiza Anfal Usman</t>
  </si>
  <si>
    <t>Hamna Arshad Ali</t>
  </si>
  <si>
    <t>Ushna javed</t>
  </si>
  <si>
    <t>Samina Saddique</t>
  </si>
  <si>
    <t>Abida perveen</t>
  </si>
  <si>
    <t>Rumaisa Naheed</t>
  </si>
  <si>
    <t>Hafiza kainat Maqbool</t>
  </si>
  <si>
    <t>Iqra Maqbool</t>
  </si>
  <si>
    <t>Rimsha Mustafa</t>
  </si>
  <si>
    <t>Tasmia Kousar</t>
  </si>
  <si>
    <t>Aqsa Javeed</t>
  </si>
  <si>
    <t>Barka Fatima</t>
  </si>
  <si>
    <t>Hina Bilal</t>
  </si>
  <si>
    <t>Sawera Yousaf</t>
  </si>
  <si>
    <t>Alizay Saleem</t>
  </si>
  <si>
    <t>Laraib Akram</t>
  </si>
  <si>
    <t>Munazza iqbal</t>
  </si>
  <si>
    <t>IqraNawaz</t>
  </si>
  <si>
    <t>M2</t>
  </si>
  <si>
    <t>Ghulam Bilal</t>
  </si>
  <si>
    <t>Saleem Akhtar</t>
  </si>
  <si>
    <t>Riwan Hanif</t>
  </si>
  <si>
    <t>M.Zaman</t>
  </si>
  <si>
    <t>M.Saddique</t>
  </si>
  <si>
    <t>E1</t>
  </si>
  <si>
    <t>Misbah Iqbal</t>
  </si>
  <si>
    <t>Ayesha Riaz</t>
  </si>
  <si>
    <t>Afnan Rasheed</t>
  </si>
  <si>
    <t>Maryam Khalil</t>
  </si>
  <si>
    <t>Zunaira</t>
  </si>
  <si>
    <t>Areesha Rauf</t>
  </si>
  <si>
    <t>Sumaira Yousaf</t>
  </si>
  <si>
    <t>Maryam Latif</t>
  </si>
  <si>
    <t>Umm E Habiba</t>
  </si>
  <si>
    <t>Nisha zulfiqar</t>
  </si>
  <si>
    <t>Laiba Ramzan</t>
  </si>
  <si>
    <t>Rifat ijaz</t>
  </si>
  <si>
    <t>Aqsa Bashir</t>
  </si>
  <si>
    <t>Areeba</t>
  </si>
  <si>
    <t>Mubashra Naseem</t>
  </si>
  <si>
    <t>Nimra Ilyas</t>
  </si>
  <si>
    <t>M.ilyas</t>
  </si>
  <si>
    <t>Sania Akhtar</t>
  </si>
  <si>
    <t>M.Akhtar</t>
  </si>
  <si>
    <t>Tanzila Bashir</t>
  </si>
  <si>
    <t>Nadia khan</t>
  </si>
  <si>
    <t>Meer Azam khan</t>
  </si>
  <si>
    <t>Sana Mehboob</t>
  </si>
  <si>
    <t>Altaf ul Rehman</t>
  </si>
  <si>
    <t>Rasheed Ahmad</t>
  </si>
  <si>
    <t>Khalil Ahmad</t>
  </si>
  <si>
    <t>Abdul Rauf</t>
  </si>
  <si>
    <t>Muhammad Mehboob</t>
  </si>
  <si>
    <t>Karam Hussain</t>
  </si>
  <si>
    <t>Malika Anees</t>
  </si>
  <si>
    <t>Anees Ahmad</t>
  </si>
  <si>
    <t>Hifza Qadir</t>
  </si>
  <si>
    <t>Ghulam Qadir</t>
  </si>
  <si>
    <t>Maham sehar</t>
  </si>
  <si>
    <t>Sadia parveen</t>
  </si>
  <si>
    <t>Shanza sijjad</t>
  </si>
  <si>
    <t>Sajjad Ahmad</t>
  </si>
  <si>
    <t>Atika Fiaz</t>
  </si>
  <si>
    <t>Fiaz Ahmad</t>
  </si>
  <si>
    <t>Qurat ul Ain</t>
  </si>
  <si>
    <t>Ray Muhammad shafi</t>
  </si>
  <si>
    <t>Amna Yousaf</t>
  </si>
  <si>
    <t>Mujeeb ullaha</t>
  </si>
  <si>
    <t>Sahar irfan</t>
  </si>
  <si>
    <t>M.Irfan</t>
  </si>
  <si>
    <t>Nimra Rashid</t>
  </si>
  <si>
    <t>M.Rashid</t>
  </si>
  <si>
    <t>Sadia Fiaz</t>
  </si>
  <si>
    <t>M.Fiaz</t>
  </si>
  <si>
    <t>Hafsa Zubair</t>
  </si>
  <si>
    <t>M.Zubair</t>
  </si>
  <si>
    <t>Iram bibi</t>
  </si>
  <si>
    <t>M.Yaseen</t>
  </si>
  <si>
    <t>Rimsha Latif</t>
  </si>
  <si>
    <t>Sumera Parvez</t>
  </si>
  <si>
    <t>Sania Kousar</t>
  </si>
  <si>
    <t>Nimra iqbal</t>
  </si>
  <si>
    <t>Qamar iqabl</t>
  </si>
  <si>
    <t>M.Shoukat</t>
  </si>
  <si>
    <t xml:space="preserve">Shazil Rehana </t>
  </si>
  <si>
    <t>M.Yaqoob</t>
  </si>
  <si>
    <t>M.Saddiq</t>
  </si>
  <si>
    <t>Areeba Arshad</t>
  </si>
  <si>
    <t>Arfa Nasir</t>
  </si>
  <si>
    <t>Zulfiqar</t>
  </si>
  <si>
    <t>Umaima Khadim</t>
  </si>
  <si>
    <t>Maryam Ilyas</t>
  </si>
  <si>
    <t>Khadija Sattar</t>
  </si>
  <si>
    <t>Kainat Zulfiqar</t>
  </si>
  <si>
    <t>Iqra shoukat</t>
  </si>
  <si>
    <t>Shahzadi komal tara</t>
  </si>
  <si>
    <t>Sonia Riaz</t>
  </si>
  <si>
    <t>Saba</t>
  </si>
  <si>
    <t>Allaha Yar</t>
  </si>
  <si>
    <t>Zahid Raza</t>
  </si>
  <si>
    <t>Ayesha Noor</t>
  </si>
  <si>
    <t>Areeba Hussain</t>
  </si>
  <si>
    <t>Maria kalsoom</t>
  </si>
  <si>
    <t>Abdul Waheed</t>
  </si>
  <si>
    <t>Javeria Iram</t>
  </si>
  <si>
    <t>Beenish Rani</t>
  </si>
  <si>
    <t>Muzamil</t>
  </si>
  <si>
    <t>Afshaan Irshad</t>
  </si>
  <si>
    <t>M.Hussain</t>
  </si>
  <si>
    <t>Tayyaba Ashraf</t>
  </si>
  <si>
    <t>Sadia Imtiaz</t>
  </si>
  <si>
    <t>Sana Abdul Sattar</t>
  </si>
  <si>
    <t>Abdul sattar</t>
  </si>
  <si>
    <t>ICS1</t>
  </si>
  <si>
    <t>Anwar Nasir</t>
  </si>
  <si>
    <t>Shoukat Ali</t>
  </si>
  <si>
    <t>Aqsa waheed</t>
  </si>
  <si>
    <t>M.Mursaleen</t>
  </si>
  <si>
    <t>Hussain Raza</t>
  </si>
  <si>
    <t>Muhammad Ramzan</t>
  </si>
  <si>
    <t>M.Azam shah</t>
  </si>
  <si>
    <t>M.Ilyas</t>
  </si>
  <si>
    <t>Amina Zainab</t>
  </si>
  <si>
    <t>Harron Rasheed</t>
  </si>
  <si>
    <t>M.Arshad Ali</t>
  </si>
  <si>
    <t>M.Hafeez</t>
  </si>
  <si>
    <t>pervaiz iqbal</t>
  </si>
  <si>
    <t>Sonia karam</t>
  </si>
  <si>
    <t xml:space="preserve">Maryam Mushtaq </t>
  </si>
  <si>
    <t>Saman iqbal</t>
  </si>
  <si>
    <t>Rimsha Akhtar</t>
  </si>
  <si>
    <t>Alishba sadaqat</t>
  </si>
  <si>
    <t>Nabeeha Fatima</t>
  </si>
  <si>
    <t>Mehwish Fayyaz</t>
  </si>
  <si>
    <t>Nabeela Shafiq</t>
  </si>
  <si>
    <t>Shumaila Rehman</t>
  </si>
  <si>
    <t>Bushra Aneel</t>
  </si>
  <si>
    <t>Zainab Shahid</t>
  </si>
  <si>
    <t>Nadia Akhtar</t>
  </si>
  <si>
    <t>Sonia Rasool</t>
  </si>
  <si>
    <t>Ayesha bibi</t>
  </si>
  <si>
    <t>Aqsa Qadeer</t>
  </si>
  <si>
    <t>Anam Shahzadi</t>
  </si>
  <si>
    <t>Noreen Yaseen</t>
  </si>
  <si>
    <t>Sajjal iftikhar</t>
  </si>
  <si>
    <t>Tuba Ishtiaq</t>
  </si>
  <si>
    <t>Sehrish yaqoob</t>
  </si>
  <si>
    <t>Fiza batool</t>
  </si>
  <si>
    <t>Bushra Batool</t>
  </si>
  <si>
    <t>Ayesha sajjad</t>
  </si>
  <si>
    <t>zainab sattar</t>
  </si>
  <si>
    <t>Talat bibi</t>
  </si>
  <si>
    <t>Malika zafar</t>
  </si>
  <si>
    <t>Farwa Asghar</t>
  </si>
  <si>
    <t>Malika Afzal</t>
  </si>
  <si>
    <t>Aqsa Abdul Sattar</t>
  </si>
  <si>
    <t>Maryam iftikhar</t>
  </si>
  <si>
    <t>Momna Rehman</t>
  </si>
  <si>
    <t>Maryam Hassan</t>
  </si>
  <si>
    <t>Afia Hameed</t>
  </si>
  <si>
    <t>Nisbah bibi</t>
  </si>
  <si>
    <t>Aqsa Hameed</t>
  </si>
  <si>
    <t xml:space="preserve">Tayyaba Noreen </t>
  </si>
  <si>
    <t>Uzma Akram</t>
  </si>
  <si>
    <t>Esha Maqbool</t>
  </si>
  <si>
    <t>Maryam tahir</t>
  </si>
  <si>
    <t>Tayaba Maqbool</t>
  </si>
  <si>
    <t>Kishwar</t>
  </si>
  <si>
    <t>Atika Sattar</t>
  </si>
  <si>
    <t>Rimsha Arshad</t>
  </si>
  <si>
    <t>Laiba Umer</t>
  </si>
  <si>
    <t>Fabia Ali</t>
  </si>
  <si>
    <t>Naila Ramzan</t>
  </si>
  <si>
    <t>Iqra Abdul Jabbar</t>
  </si>
  <si>
    <t>Maryam Mansha</t>
  </si>
  <si>
    <t>Hina Rehman</t>
  </si>
  <si>
    <t>Maryam Alamgir</t>
  </si>
  <si>
    <t>M.Zulfiqar</t>
  </si>
  <si>
    <t>ICS2</t>
  </si>
  <si>
    <t>Ijaz Ahmad</t>
  </si>
  <si>
    <t>Sadaqat Ali</t>
  </si>
  <si>
    <t>Hammad Raza</t>
  </si>
  <si>
    <t>Muhammad Irfan</t>
  </si>
  <si>
    <t>Abdul Jabbar</t>
  </si>
  <si>
    <t>M.Ali</t>
  </si>
  <si>
    <t>Muhammad Umar</t>
  </si>
  <si>
    <t>Arshad Ali</t>
  </si>
  <si>
    <t>ch.Muhammad Tahir</t>
  </si>
  <si>
    <t>iftikhar Ahmad</t>
  </si>
  <si>
    <t>Muhammad Afzal</t>
  </si>
  <si>
    <t>Zafar ullaha</t>
  </si>
  <si>
    <t>Nasir Maqsood</t>
  </si>
  <si>
    <t>Javed iqbal</t>
  </si>
  <si>
    <t>Samia Zafarullah</t>
  </si>
  <si>
    <t>M.Zafarullaha</t>
  </si>
  <si>
    <t>Ghulam Yaseen</t>
  </si>
  <si>
    <t>Abdul Qadeer</t>
  </si>
  <si>
    <t>Muhammad Shahid</t>
  </si>
  <si>
    <t>M.Mujeeb Akhtar</t>
  </si>
  <si>
    <t>Fiaz Hussain</t>
  </si>
  <si>
    <t>Muhammad Mushtaq</t>
  </si>
  <si>
    <t>Muhammad Adil</t>
  </si>
  <si>
    <t>Ali Raza</t>
  </si>
  <si>
    <t>M.Barjees ul Qadar</t>
  </si>
  <si>
    <t>Bilal Majeed</t>
  </si>
  <si>
    <t>Abdul Majeed</t>
  </si>
  <si>
    <t>Ali Ahmad</t>
  </si>
  <si>
    <t>Ashiq Ali</t>
  </si>
  <si>
    <t>M.Usman Shafiq</t>
  </si>
  <si>
    <t>M.Shafiq</t>
  </si>
  <si>
    <t>Aftab Arshad</t>
  </si>
  <si>
    <t>M.Arshad</t>
  </si>
  <si>
    <t>Mudassar Aslam</t>
  </si>
  <si>
    <t>M.Zaib Shahid</t>
  </si>
  <si>
    <t>M.Umer Akhtar</t>
  </si>
  <si>
    <t>M.Akhtar Kaleem</t>
  </si>
  <si>
    <t>M.Kawish</t>
  </si>
  <si>
    <t>M.Talha</t>
  </si>
  <si>
    <t>M.Hanan</t>
  </si>
  <si>
    <t>Abdul salam</t>
  </si>
  <si>
    <t>Hafiz Hamza Aslam</t>
  </si>
  <si>
    <t>Haris Ahmad Nizami</t>
  </si>
  <si>
    <t>M.Akmal Nizami</t>
  </si>
  <si>
    <t>Hamza Naseer</t>
  </si>
  <si>
    <t>Naseer Ahmad</t>
  </si>
  <si>
    <t>Waqas Akhtar</t>
  </si>
  <si>
    <t>Awais Sajid</t>
  </si>
  <si>
    <t>Sajid Hussain</t>
  </si>
  <si>
    <t>Adil Rauf</t>
  </si>
  <si>
    <t>Rauf Rasheed</t>
  </si>
  <si>
    <t>Shahzaib Ahmad</t>
  </si>
  <si>
    <t>Abdul Haseeb</t>
  </si>
  <si>
    <t>M.Umar Saifullah</t>
  </si>
  <si>
    <t>M.Saifullah</t>
  </si>
  <si>
    <t>M.Rizwan Ghaffar</t>
  </si>
  <si>
    <t>Abdul Ghaffar</t>
  </si>
  <si>
    <t>Faqeer Muhammad</t>
  </si>
  <si>
    <t>Javad Ashgar</t>
  </si>
  <si>
    <t>Arbab Danish</t>
  </si>
  <si>
    <t>Javid Akhtar</t>
  </si>
  <si>
    <t>M.Ehtasham</t>
  </si>
  <si>
    <t>Muhammad Ali</t>
  </si>
  <si>
    <t>Sabir Hussain</t>
  </si>
  <si>
    <t>Talha Rasheed</t>
  </si>
  <si>
    <t>M.Ahsan</t>
  </si>
  <si>
    <t>M.Iftikhar</t>
  </si>
  <si>
    <t>Ameer Hamza</t>
  </si>
  <si>
    <t>Subhan Ahmad</t>
  </si>
  <si>
    <t>M.Asif</t>
  </si>
  <si>
    <t>M.Zaid</t>
  </si>
  <si>
    <t>Haseeb ur Rehman</t>
  </si>
  <si>
    <t>M.Kamran</t>
  </si>
  <si>
    <t>Sana ullah</t>
  </si>
  <si>
    <t>M.Usman Akhtar</t>
  </si>
  <si>
    <t>M.Kaleem Akhtar</t>
  </si>
  <si>
    <t>Faisal Hafeez</t>
  </si>
  <si>
    <t>Abdul Hafeez</t>
  </si>
  <si>
    <t>M.Arslan</t>
  </si>
  <si>
    <t>M.Sajid</t>
  </si>
  <si>
    <t>Nazir Ahmad</t>
  </si>
  <si>
    <t>M.Shahid Ishaq</t>
  </si>
  <si>
    <t>M.Ishaq</t>
  </si>
  <si>
    <t>M.Nadeem</t>
  </si>
  <si>
    <t>M.Azam</t>
  </si>
  <si>
    <t>M.Zohaib</t>
  </si>
  <si>
    <t>Sami Ullaha</t>
  </si>
  <si>
    <t>saif Ullaha</t>
  </si>
  <si>
    <t>M.Naeem</t>
  </si>
  <si>
    <t>M.Akbar</t>
  </si>
  <si>
    <t>Saeed khan</t>
  </si>
  <si>
    <t>Zuifiqar</t>
  </si>
  <si>
    <t>Kaleem ur Rehman</t>
  </si>
  <si>
    <t>M.Haris</t>
  </si>
  <si>
    <t>old</t>
  </si>
  <si>
    <t>E2</t>
  </si>
  <si>
    <t xml:space="preserve">M.Adnan </t>
  </si>
  <si>
    <t>M.Mushtaq</t>
  </si>
  <si>
    <t>Ahmad Hassan</t>
  </si>
  <si>
    <t>Ghulam fareed</t>
  </si>
  <si>
    <t>Adil irshad</t>
  </si>
  <si>
    <t>M.Irshad</t>
  </si>
  <si>
    <t>peer Bukhash</t>
  </si>
  <si>
    <t>M.Awais</t>
  </si>
  <si>
    <t>Ali Hassan</t>
  </si>
  <si>
    <t>M.Shoaib Akhtar</t>
  </si>
  <si>
    <t>Nazir Hussain</t>
  </si>
  <si>
    <t>M.Adeel imtiaz</t>
  </si>
  <si>
    <t>imtiaz Ahmad</t>
  </si>
  <si>
    <t>Huzaifa Younas</t>
  </si>
  <si>
    <t>M.Younas</t>
  </si>
  <si>
    <t>Umer Farooq</t>
  </si>
  <si>
    <t>M.Asim Habib</t>
  </si>
  <si>
    <t>Habib ullaha</t>
  </si>
  <si>
    <t>Akhtar Hussain</t>
  </si>
  <si>
    <t>Mazhar Hussain</t>
  </si>
  <si>
    <t>M.Saqlain</t>
  </si>
  <si>
    <t>Ghulam Shabbir</t>
  </si>
  <si>
    <t>M.Haroon</t>
  </si>
  <si>
    <t>Talha Arif</t>
  </si>
  <si>
    <t>M.Arif</t>
  </si>
  <si>
    <t>Fazal ur Rehman</t>
  </si>
  <si>
    <t>M.Yaqoob Saeed</t>
  </si>
  <si>
    <t>M.Jamshaid javed</t>
  </si>
  <si>
    <t>M.Javed</t>
  </si>
  <si>
    <t>M.Zain Sharif</t>
  </si>
  <si>
    <t>Ghulam Fareed</t>
  </si>
  <si>
    <t>Tahir Javed</t>
  </si>
  <si>
    <t>Mohsin Sohail</t>
  </si>
  <si>
    <t>Abdul Ghafoor</t>
  </si>
  <si>
    <t>Zulqarnain</t>
  </si>
  <si>
    <t>M.Nawaz</t>
  </si>
  <si>
    <t>M.Ahmad</t>
  </si>
  <si>
    <t>Nasir iqbal</t>
  </si>
  <si>
    <t>M.Rizwan Arshad</t>
  </si>
  <si>
    <t>Arshad Ali shad</t>
  </si>
  <si>
    <t>M.Akasha</t>
  </si>
  <si>
    <t>Ateeq ur Rehman</t>
  </si>
  <si>
    <t>Gohar Rehman</t>
  </si>
  <si>
    <t>Abdul Rehman</t>
  </si>
  <si>
    <t>M.Bilal shah</t>
  </si>
  <si>
    <t>Iklaq Ahmad shah</t>
  </si>
  <si>
    <t>M.Zeshan</t>
  </si>
  <si>
    <t>Maqbool Ahmad</t>
  </si>
  <si>
    <t>Zahid Khalil</t>
  </si>
  <si>
    <t>khalil ur Rehman</t>
  </si>
  <si>
    <t>Hasan Abbas</t>
  </si>
  <si>
    <t>Ghulam Abbas</t>
  </si>
  <si>
    <t>M Saif</t>
  </si>
  <si>
    <t>Abdul Qahar</t>
  </si>
  <si>
    <t>Fahad Shakir</t>
  </si>
  <si>
    <t>M.Shakir</t>
  </si>
  <si>
    <t>Anas Abdul Nasir</t>
  </si>
  <si>
    <t>Ali Gohar</t>
  </si>
  <si>
    <t>Abdul Latif</t>
  </si>
  <si>
    <t>M.Kamran Arshad</t>
  </si>
  <si>
    <t>M.shahzaib</t>
  </si>
  <si>
    <t>Hayat shah</t>
  </si>
  <si>
    <t>M.Muzammil</t>
  </si>
  <si>
    <t>Zafar Hussain</t>
  </si>
  <si>
    <t>M.Saqlain shah</t>
  </si>
  <si>
    <t>syed Nazir shah</t>
  </si>
  <si>
    <t>M.Hammad</t>
  </si>
  <si>
    <t>Asad Ali</t>
  </si>
  <si>
    <t>Ali Akbar</t>
  </si>
  <si>
    <t>M.Rehman</t>
  </si>
  <si>
    <t>M.Rafiq</t>
  </si>
  <si>
    <t>Waseem Akram</t>
  </si>
  <si>
    <t>Asad Mehboob</t>
  </si>
  <si>
    <t>Tassadaq Hussain</t>
  </si>
  <si>
    <t>M.Imran</t>
  </si>
  <si>
    <t>M.Ali Aslam</t>
  </si>
  <si>
    <t>Adnan saeed</t>
  </si>
  <si>
    <t>Saif ullaha</t>
  </si>
  <si>
    <t>Safadr Ali</t>
  </si>
  <si>
    <t>Hammad Ali</t>
  </si>
  <si>
    <t>Nayaz Mustafa</t>
  </si>
  <si>
    <t>M.Waqar</t>
  </si>
  <si>
    <t>Khusi M.</t>
  </si>
  <si>
    <t>Junaid Riaz</t>
  </si>
  <si>
    <t>Zohaib Khan</t>
  </si>
  <si>
    <t xml:space="preserve">M.Umer </t>
  </si>
  <si>
    <t>Shoaib Akhtar</t>
  </si>
  <si>
    <t>M.Akhtar khan</t>
  </si>
  <si>
    <t>Abdul Mohaman</t>
  </si>
  <si>
    <t>Wajid Hussain</t>
  </si>
  <si>
    <t>M.Adnan Javed</t>
  </si>
  <si>
    <t>Shafarish Ali</t>
  </si>
  <si>
    <t>Usman Tahir</t>
  </si>
  <si>
    <t>M.Tahir</t>
  </si>
  <si>
    <t>Yasir Talha</t>
  </si>
  <si>
    <t>Danish Nazir</t>
  </si>
  <si>
    <t>Mehtab Ahmad Madni</t>
  </si>
  <si>
    <t>Aftab Ahmad</t>
  </si>
  <si>
    <t>Nadeem Rasheed</t>
  </si>
  <si>
    <t>Ali Akram</t>
  </si>
  <si>
    <t>Yasir Ali</t>
  </si>
  <si>
    <t>Qaim din</t>
  </si>
  <si>
    <t>M.Shafiq ur Rrhman</t>
  </si>
  <si>
    <t>Rashid sarwar</t>
  </si>
  <si>
    <t>M.Sarwar</t>
  </si>
  <si>
    <t>M.Mubashir</t>
  </si>
  <si>
    <t>Uzair Hussain</t>
  </si>
  <si>
    <t>M.Asharf</t>
  </si>
  <si>
    <t>Waqas subhani</t>
  </si>
  <si>
    <t>Nazar Meeran</t>
  </si>
  <si>
    <t>Shahwaiz</t>
  </si>
  <si>
    <t>Qaisar Abbas</t>
  </si>
  <si>
    <t>M.Khawar Shakeel</t>
  </si>
  <si>
    <t>M.Mubashar</t>
  </si>
  <si>
    <t>lal khan</t>
  </si>
  <si>
    <t>Khursheed</t>
  </si>
  <si>
    <t>M.Faizan</t>
  </si>
  <si>
    <t>Mazhar khan</t>
  </si>
  <si>
    <t>Zeshan Anwar</t>
  </si>
  <si>
    <t>M.Zain</t>
  </si>
  <si>
    <t>Uneeb Ali</t>
  </si>
  <si>
    <t>M.Hamza</t>
  </si>
  <si>
    <t>Nasir Ali</t>
  </si>
  <si>
    <t>M.Rayyan Amin</t>
  </si>
  <si>
    <t>M.Amin</t>
  </si>
  <si>
    <t>Mubashar saeed</t>
  </si>
  <si>
    <t>Mursleen</t>
  </si>
  <si>
    <t>M.Rizwan Munawar</t>
  </si>
  <si>
    <t>Munawar Shahzad</t>
  </si>
  <si>
    <t>Ghulam Murtaza</t>
  </si>
  <si>
    <t>Pervaiz Akhtar</t>
  </si>
  <si>
    <t>M.Aleem</t>
  </si>
  <si>
    <t>Tasleem Ahmad</t>
  </si>
  <si>
    <t>Rao Zubair Akhtar</t>
  </si>
  <si>
    <t>Akhtar Mehmood</t>
  </si>
  <si>
    <t>Sohail Younas</t>
  </si>
  <si>
    <t>Zeshan Ali</t>
  </si>
  <si>
    <t>Atif Javed</t>
  </si>
  <si>
    <t>javed Akhtar</t>
  </si>
  <si>
    <t>Rizwan khan</t>
  </si>
  <si>
    <t>shoukat Sultan</t>
  </si>
  <si>
    <t>Ishrat Abbas</t>
  </si>
  <si>
    <t>Dilawar Hussain</t>
  </si>
  <si>
    <t>M.Shahzad</t>
  </si>
  <si>
    <t>Umer saddique</t>
  </si>
  <si>
    <t>Moon Ali</t>
  </si>
  <si>
    <t>Basharat</t>
  </si>
  <si>
    <t>Gulzar Ahmad</t>
  </si>
  <si>
    <t>Adeel Hussain</t>
  </si>
  <si>
    <t>Fida Hussain</t>
  </si>
  <si>
    <t>M.Adil</t>
  </si>
  <si>
    <t>Farooq Azam</t>
  </si>
  <si>
    <t>M.Hamid Anwar</t>
  </si>
  <si>
    <t>Asim Shahzad</t>
  </si>
  <si>
    <t>Naseem ul Hassan</t>
  </si>
  <si>
    <t>M.Mudassar</t>
  </si>
  <si>
    <t>M.Sulman</t>
  </si>
  <si>
    <t>Aftab Alam</t>
  </si>
  <si>
    <t>M.Haseeb</t>
  </si>
  <si>
    <t>Qasim ALI</t>
  </si>
  <si>
    <t>Syed Ghulam Abbas Shah</t>
  </si>
  <si>
    <t>M.Imran Hameed</t>
  </si>
  <si>
    <t>Hassan Rafiq</t>
  </si>
  <si>
    <t>Zohaib Munir</t>
  </si>
  <si>
    <t>Munir Hussain</t>
  </si>
  <si>
    <t>M. Naveed</t>
  </si>
  <si>
    <t>M.Jameel</t>
  </si>
  <si>
    <t>Ramzan Ali</t>
  </si>
  <si>
    <t>M.Usman Saqlain</t>
  </si>
  <si>
    <t>M.Basit</t>
  </si>
  <si>
    <t>M.Mubeen</t>
  </si>
  <si>
    <t>Rehman Javid</t>
  </si>
  <si>
    <t>javaid iqbal</t>
  </si>
  <si>
    <t>M.Khalid</t>
  </si>
  <si>
    <t>M.Hamza Ramzan</t>
  </si>
  <si>
    <t>Haris Hussain</t>
  </si>
  <si>
    <t>M.Nasir</t>
  </si>
  <si>
    <t>Azhar Jameel</t>
  </si>
  <si>
    <t>Ali Hamza</t>
  </si>
  <si>
    <t>M.Haneef</t>
  </si>
  <si>
    <t>M.Rehman Arshad</t>
  </si>
  <si>
    <t>M.Arshad pervaiz</t>
  </si>
  <si>
    <t>M.Bilal</t>
  </si>
  <si>
    <t>Jameel khan</t>
  </si>
  <si>
    <t>M.Hammad Munir</t>
  </si>
  <si>
    <t>M.Munir Anjum</t>
  </si>
  <si>
    <t>M.Raza</t>
  </si>
  <si>
    <t>Talha Ramzan</t>
  </si>
  <si>
    <t>Jazab Hussain</t>
  </si>
  <si>
    <t>M.Umair TALHA</t>
  </si>
  <si>
    <t>Allah yar</t>
  </si>
  <si>
    <t>Sana Ullaha</t>
  </si>
  <si>
    <t>Ahmad Tashfeen</t>
  </si>
  <si>
    <t>Malazim Hussain</t>
  </si>
  <si>
    <t>M.Wajahat</t>
  </si>
  <si>
    <t>M.fayaz</t>
  </si>
  <si>
    <t>Zain Ali</t>
  </si>
  <si>
    <t>M.Asalm</t>
  </si>
  <si>
    <t>M.jaan sher</t>
  </si>
  <si>
    <t>Ishtiaq Ahmad</t>
  </si>
  <si>
    <t>Haroon Hanif</t>
  </si>
  <si>
    <t>M.Hanif</t>
  </si>
  <si>
    <t>Mehboob Ashiq</t>
  </si>
  <si>
    <t>Saqib Shamshad</t>
  </si>
  <si>
    <t>Shamshad Ali</t>
  </si>
  <si>
    <t>Zeshan Ramzan (2)</t>
  </si>
  <si>
    <t>Shafqat Khursheed</t>
  </si>
  <si>
    <t>M.Shakeel</t>
  </si>
  <si>
    <t>Akhtar cheema SB</t>
  </si>
  <si>
    <t>tay krna hy</t>
  </si>
  <si>
    <t>Saqlain Iqbal</t>
  </si>
  <si>
    <t>Usman Ashraf</t>
  </si>
  <si>
    <t>Syed Adeel Ali</t>
  </si>
  <si>
    <t>Niaz Ali</t>
  </si>
  <si>
    <t>M.Anas</t>
  </si>
  <si>
    <t>Yasir Saleem</t>
  </si>
  <si>
    <t>Kashif Ali</t>
  </si>
  <si>
    <t>M.Adnan</t>
  </si>
  <si>
    <t>Safeer</t>
  </si>
  <si>
    <t>M.Rizwan</t>
  </si>
  <si>
    <t>M.Waqar Ashraf</t>
  </si>
  <si>
    <t>Sajjad Ali</t>
  </si>
  <si>
    <t>Abid Ali</t>
  </si>
  <si>
    <t>Danish Aslam</t>
  </si>
  <si>
    <t>Zahoor Hussain</t>
  </si>
  <si>
    <t>Ladin Sher</t>
  </si>
  <si>
    <t>Faryad Ali</t>
  </si>
  <si>
    <t>Ahsan Bashir</t>
  </si>
  <si>
    <t>Liaqat Ali</t>
  </si>
  <si>
    <t>M.Hammad Rafique</t>
  </si>
  <si>
    <t>M.Rafiue</t>
  </si>
  <si>
    <t>Zeshan Hussain</t>
  </si>
  <si>
    <t>Usama Zia</t>
  </si>
  <si>
    <t>M.Abdullaha</t>
  </si>
  <si>
    <t>M.Dawood</t>
  </si>
  <si>
    <t>M.Osaf Ali</t>
  </si>
  <si>
    <t>M.Nasir Ali</t>
  </si>
  <si>
    <t>Ahmad Bilal</t>
  </si>
  <si>
    <t>Hafiz Abdul Qadeer</t>
  </si>
  <si>
    <t>Arham Asad</t>
  </si>
  <si>
    <t>Asad Murtaza</t>
  </si>
  <si>
    <t>M.Aaraf</t>
  </si>
  <si>
    <t>M.Umer siddique</t>
  </si>
  <si>
    <t xml:space="preserve">M.Fahad </t>
  </si>
  <si>
    <t>Moazam Hussain</t>
  </si>
  <si>
    <t xml:space="preserve">Talib Hussain </t>
  </si>
  <si>
    <t>Rana Akbar Ali</t>
  </si>
  <si>
    <t>Shahid iqbal</t>
  </si>
  <si>
    <t>Mudassar Ahmad</t>
  </si>
  <si>
    <t>Usman Ali</t>
  </si>
  <si>
    <t>Irshad Ahmad</t>
  </si>
  <si>
    <t>Ahsan iqbal</t>
  </si>
  <si>
    <t>Ghulam Ranjha</t>
  </si>
  <si>
    <t>Faisal Rauf</t>
  </si>
  <si>
    <t>M.Rauf</t>
  </si>
  <si>
    <t>Shahzad ALI</t>
  </si>
  <si>
    <t>Asad Ullah</t>
  </si>
  <si>
    <t>M.Saad Mushtaq</t>
  </si>
  <si>
    <t>Faisal Basharat</t>
  </si>
  <si>
    <t>Basharat Ali</t>
  </si>
  <si>
    <t>Faisal Munir</t>
  </si>
  <si>
    <t>Munir khan</t>
  </si>
  <si>
    <t>M.Nouman</t>
  </si>
  <si>
    <t>Mazhar Abbas</t>
  </si>
  <si>
    <t>Nazar Hussain</t>
  </si>
  <si>
    <t>Asim javed</t>
  </si>
  <si>
    <t>M.Rafique Akhtar</t>
  </si>
  <si>
    <t>M.Zakria</t>
  </si>
  <si>
    <t>Farhad Zahoor</t>
  </si>
  <si>
    <t>M.Waseem Amin</t>
  </si>
  <si>
    <t>Barkat Ali</t>
  </si>
  <si>
    <t>Asif Bashir</t>
  </si>
  <si>
    <t>Rizwan</t>
  </si>
  <si>
    <t>Ramzan</t>
  </si>
  <si>
    <t>M.Waqas</t>
  </si>
  <si>
    <t>Gulam Muhammad</t>
  </si>
  <si>
    <t>Zohaib Akram</t>
  </si>
  <si>
    <t>Faisal Shahzad</t>
  </si>
  <si>
    <t>Hashir Arslan</t>
  </si>
  <si>
    <t>Zain Riaz</t>
  </si>
  <si>
    <t>Riaz Hussain</t>
  </si>
  <si>
    <t>M.Salman</t>
  </si>
  <si>
    <t>Mohsin Raza</t>
  </si>
  <si>
    <t>Shabir Ahmad</t>
  </si>
  <si>
    <t>Khurram Shahzad</t>
  </si>
  <si>
    <t>Ghulam Nasir</t>
  </si>
  <si>
    <t>Waheed Murtaza</t>
  </si>
  <si>
    <t>M.Dilawar</t>
  </si>
  <si>
    <t>Khadim Hussain</t>
  </si>
  <si>
    <t>M.Abdullah</t>
  </si>
  <si>
    <t>M.Adil Shah</t>
  </si>
  <si>
    <t>Qatab shah</t>
  </si>
  <si>
    <t>M.Hassnain</t>
  </si>
  <si>
    <t>M.Qasim</t>
  </si>
  <si>
    <t>Aalian Naeem</t>
  </si>
  <si>
    <t>Rana Naeem</t>
  </si>
  <si>
    <t>M.Danish Manzoor</t>
  </si>
  <si>
    <t>Manzoor Hussain</t>
  </si>
  <si>
    <t xml:space="preserve">M.Haseeb </t>
  </si>
  <si>
    <t>Danish Rauf</t>
  </si>
  <si>
    <t>M.Amir</t>
  </si>
  <si>
    <t>Haq Nawaz</t>
  </si>
  <si>
    <t>Shahzaib</t>
  </si>
  <si>
    <t>Karam elahi</t>
  </si>
  <si>
    <t>Usman Tariq</t>
  </si>
  <si>
    <t>M.Mufasal Javed</t>
  </si>
  <si>
    <t>Asif Javed</t>
  </si>
  <si>
    <t>Shahid Nazir</t>
  </si>
  <si>
    <t>Ajmal Hussain</t>
  </si>
  <si>
    <t>Mudasar Hussain</t>
  </si>
  <si>
    <t>Nouman Nasir</t>
  </si>
  <si>
    <t>Nasir Masood</t>
  </si>
  <si>
    <t>Qusain Hashmi</t>
  </si>
  <si>
    <t>Hamid Shah Hashmi</t>
  </si>
  <si>
    <t>M.Shoaib</t>
  </si>
  <si>
    <t>Aftab Mubarik</t>
  </si>
  <si>
    <t>Mubarik Ali</t>
  </si>
  <si>
    <t>Saddam Hussain</t>
  </si>
  <si>
    <t>Allah Ditta</t>
  </si>
  <si>
    <t>Saad Nasir</t>
  </si>
  <si>
    <t>Umer Nawaz</t>
  </si>
  <si>
    <t>Majeeb ullah</t>
  </si>
  <si>
    <t>Ansar saeed</t>
  </si>
  <si>
    <t>M.Sajjad</t>
  </si>
  <si>
    <t>Qudratullah</t>
  </si>
  <si>
    <t>M.Ishfaq Ahmad</t>
  </si>
  <si>
    <t>Umair Amin</t>
  </si>
  <si>
    <t>Nafees Ahmad</t>
  </si>
  <si>
    <t>Haider Ali</t>
  </si>
  <si>
    <t>Ghulam Yahya</t>
  </si>
  <si>
    <t>Qaiser Waseem</t>
  </si>
  <si>
    <t>M.Anees</t>
  </si>
  <si>
    <t>Rehman Ullah</t>
  </si>
  <si>
    <t>Umar Khan</t>
  </si>
  <si>
    <t>Sabir Ali</t>
  </si>
  <si>
    <t>M.Boota</t>
  </si>
  <si>
    <t>Usman Khan</t>
  </si>
  <si>
    <t>Shahzad Khan</t>
  </si>
  <si>
    <t>Salamat Ali</t>
  </si>
  <si>
    <t>Shahzaib Ashiq</t>
  </si>
  <si>
    <t>Muneeb Aslam</t>
  </si>
  <si>
    <t>M Sajjad</t>
  </si>
  <si>
    <t>Allaha Dita</t>
  </si>
  <si>
    <t>Phool Shahazad</t>
  </si>
  <si>
    <t>Dilber Nadeem</t>
  </si>
  <si>
    <t>Rashid Nadeem</t>
  </si>
  <si>
    <t>ICS3</t>
  </si>
  <si>
    <t>Falak sher</t>
  </si>
  <si>
    <t>Meer Dad Khan</t>
  </si>
  <si>
    <t>Nasir Siddiq</t>
  </si>
  <si>
    <t>2372/27-06-19</t>
  </si>
  <si>
    <t>Shahzad Ali</t>
  </si>
  <si>
    <t>M.Musab Ramzan</t>
  </si>
  <si>
    <t>Rana Sadam Hussain</t>
  </si>
  <si>
    <t>Faisal iqbal</t>
  </si>
  <si>
    <t>2051/18-03-19</t>
  </si>
  <si>
    <t>2052/19-03-19</t>
  </si>
  <si>
    <t>2053/19-03-19</t>
  </si>
  <si>
    <t>2054/20-03-19</t>
  </si>
  <si>
    <t>2055/20-03-19</t>
  </si>
  <si>
    <t>2056/20-03-19</t>
  </si>
  <si>
    <t>2062/25-03-19</t>
  </si>
  <si>
    <t>2063/25-03-19</t>
  </si>
  <si>
    <t>2064/25-03-19</t>
  </si>
  <si>
    <t>2065/25-03-19</t>
  </si>
  <si>
    <t>2066/25-03-19</t>
  </si>
  <si>
    <t>2067/25-03-19</t>
  </si>
  <si>
    <t>2068/25-03-19</t>
  </si>
  <si>
    <t>2069/23-03-19</t>
  </si>
  <si>
    <t>2070/25-03-19</t>
  </si>
  <si>
    <t>2071/25-03-19</t>
  </si>
  <si>
    <t>2074/25-03-19</t>
  </si>
  <si>
    <t>2076/25-03-19</t>
  </si>
  <si>
    <t>2077/26-03-19</t>
  </si>
  <si>
    <t>2078/26-03-19</t>
  </si>
  <si>
    <t>2079/26-03-19</t>
  </si>
  <si>
    <t>2080/26-03-19</t>
  </si>
  <si>
    <t>2081/26-03-19</t>
  </si>
  <si>
    <t>2082/26-03-19</t>
  </si>
  <si>
    <t>2083/26-03-19</t>
  </si>
  <si>
    <t>2085/26-03-19</t>
  </si>
  <si>
    <t>2086/26-03-19</t>
  </si>
  <si>
    <t>2087/26-03-19</t>
  </si>
  <si>
    <t>2088/26-03-19</t>
  </si>
  <si>
    <t>2089/26-03-19</t>
  </si>
  <si>
    <t>2090/26-03-19</t>
  </si>
  <si>
    <t>2091/26-03-19</t>
  </si>
  <si>
    <t>2092/26-03-19</t>
  </si>
  <si>
    <t>2093/26-03-19</t>
  </si>
  <si>
    <t>2095/26-03-19</t>
  </si>
  <si>
    <t>2097/26-03-19</t>
  </si>
  <si>
    <t>2098/26-03-19</t>
  </si>
  <si>
    <t>2099/26-03-19</t>
  </si>
  <si>
    <t>2100/26-03-19</t>
  </si>
  <si>
    <t>2001/26-03-19</t>
  </si>
  <si>
    <t>2002/26-03-19</t>
  </si>
  <si>
    <t>2005/26-03-19</t>
  </si>
  <si>
    <t>2006/26-03-19</t>
  </si>
  <si>
    <t>2008/26-03-19</t>
  </si>
  <si>
    <t>2010/26-03-19</t>
  </si>
  <si>
    <t>2011/26-03-19</t>
  </si>
  <si>
    <t>2012/26-03-19</t>
  </si>
  <si>
    <t>2013/26-03-19</t>
  </si>
  <si>
    <t>2014/26-03-19</t>
  </si>
  <si>
    <t>2016/26-03-19</t>
  </si>
  <si>
    <t>2019/27-03-19</t>
  </si>
  <si>
    <t>2020/27-03-19</t>
  </si>
  <si>
    <t>2021/27-03-19</t>
  </si>
  <si>
    <t>2022/27-03-19</t>
  </si>
  <si>
    <t>2023/27-03-19</t>
  </si>
  <si>
    <t>2024/28-03-19</t>
  </si>
  <si>
    <t>2025/29-03-19</t>
  </si>
  <si>
    <t>2026/29-03-19</t>
  </si>
  <si>
    <t>2027/29-03-19</t>
  </si>
  <si>
    <t>2028/29-03-19</t>
  </si>
  <si>
    <t>2030/01-04-19</t>
  </si>
  <si>
    <t>2031/01-04-19</t>
  </si>
  <si>
    <t>2035/03-04-19</t>
  </si>
  <si>
    <t>2038/04-04-19</t>
  </si>
  <si>
    <t>2040/05-04-19</t>
  </si>
  <si>
    <t>2041/05-04-19</t>
  </si>
  <si>
    <t>2044/06-04-19</t>
  </si>
  <si>
    <t>2045/06-04-19</t>
  </si>
  <si>
    <t>2046/06-04-19</t>
  </si>
  <si>
    <t>2047/06-04-19</t>
  </si>
  <si>
    <t>khalil Ahmad</t>
  </si>
  <si>
    <t>2048/06-04-19</t>
  </si>
  <si>
    <t>2049/08-04-19</t>
  </si>
  <si>
    <t>2050/08-04-19</t>
  </si>
  <si>
    <t>2152/24-04-19</t>
  </si>
  <si>
    <t>2153/25-04-19</t>
  </si>
  <si>
    <t>2154/25-04-19</t>
  </si>
  <si>
    <t>2155/25-04-19</t>
  </si>
  <si>
    <t>2156/25-04-19</t>
  </si>
  <si>
    <t>Aiza Javid</t>
  </si>
  <si>
    <t>2157/25-04-19</t>
  </si>
  <si>
    <t>2158/26-04-19</t>
  </si>
  <si>
    <t>2159/26-04-19</t>
  </si>
  <si>
    <t>2160/26-04-19</t>
  </si>
  <si>
    <t>2161/27-04-19</t>
  </si>
  <si>
    <t>2162/27-04-19</t>
  </si>
  <si>
    <t>2163/29-04-19</t>
  </si>
  <si>
    <t>2164/29-04-19</t>
  </si>
  <si>
    <t>2165/29-04-19</t>
  </si>
  <si>
    <t>i</t>
  </si>
  <si>
    <t>2166/29-04-19</t>
  </si>
  <si>
    <t>2167/29-04-19</t>
  </si>
  <si>
    <t>2168/29-04-19</t>
  </si>
  <si>
    <t>2169/29-04-19</t>
  </si>
  <si>
    <t>2170/29-04-19</t>
  </si>
  <si>
    <t>2171/29-04-19</t>
  </si>
  <si>
    <t>2172/30-04-19</t>
  </si>
  <si>
    <t>2173/30-04-19</t>
  </si>
  <si>
    <t>2174/30-04-19</t>
  </si>
  <si>
    <t>2175/30-04-19</t>
  </si>
  <si>
    <t>2176/30-04-19</t>
  </si>
  <si>
    <t>2177/30-04-19</t>
  </si>
  <si>
    <t>2178/30-04-19</t>
  </si>
  <si>
    <t>2179/30-04-19</t>
  </si>
  <si>
    <t>2180/30-04-19</t>
  </si>
  <si>
    <t>2182/02-05-19</t>
  </si>
  <si>
    <t>2185/02-05-19</t>
  </si>
  <si>
    <t>2186/02-05-19</t>
  </si>
  <si>
    <t>2187/02-05-19</t>
  </si>
  <si>
    <t>2188/02-05-19</t>
  </si>
  <si>
    <t>2189/02-05-19</t>
  </si>
  <si>
    <t>2190/02-05-19</t>
  </si>
  <si>
    <t>2191/02-05-19</t>
  </si>
  <si>
    <t>2193/03-05-19</t>
  </si>
  <si>
    <t>2194/03-05-19</t>
  </si>
  <si>
    <t>2195/03-05-19</t>
  </si>
  <si>
    <t>2196/03-05-19</t>
  </si>
  <si>
    <t>2197/03-05-19</t>
  </si>
  <si>
    <t>2198/04-05-19</t>
  </si>
  <si>
    <t xml:space="preserve">Zulfiqar </t>
  </si>
  <si>
    <t>2199/04-05-19</t>
  </si>
  <si>
    <t>2200/04-05-19</t>
  </si>
  <si>
    <t>2101/08-04-19</t>
  </si>
  <si>
    <t>2102/08-04-19</t>
  </si>
  <si>
    <t>2103/09-04-19</t>
  </si>
  <si>
    <t>2104/09-04-19</t>
  </si>
  <si>
    <t>2105/10-04-19</t>
  </si>
  <si>
    <t>2106/10-04-19</t>
  </si>
  <si>
    <t>2108/10-04-19</t>
  </si>
  <si>
    <t>2109/10-04-19</t>
  </si>
  <si>
    <t>2110/11-04-19</t>
  </si>
  <si>
    <t>2111/12-04-19</t>
  </si>
  <si>
    <t>2112/12-04-19</t>
  </si>
  <si>
    <t>M.Muzamil Hussain</t>
  </si>
  <si>
    <t>2113/13-04-19</t>
  </si>
  <si>
    <t>2114/13-04-19</t>
  </si>
  <si>
    <t>2116/15-04-19</t>
  </si>
  <si>
    <t>2117/15-04-19</t>
  </si>
  <si>
    <t>2118/15-04-19</t>
  </si>
  <si>
    <t>2119/16-04-19</t>
  </si>
  <si>
    <t>2120/16-04-19</t>
  </si>
  <si>
    <t>2121/16-04-19</t>
  </si>
  <si>
    <t>2123/17-04-19</t>
  </si>
  <si>
    <t>2127/18-04-19</t>
  </si>
  <si>
    <t>2128/19-04-19</t>
  </si>
  <si>
    <t>2130/20-04-19</t>
  </si>
  <si>
    <t>2131/20-04-19</t>
  </si>
  <si>
    <t>2132/20-04-19</t>
  </si>
  <si>
    <t>2134/20-04-19</t>
  </si>
  <si>
    <t>2135/22-04-19</t>
  </si>
  <si>
    <t>2136/22-04-19</t>
  </si>
  <si>
    <t>2137/22-04-19</t>
  </si>
  <si>
    <t>2138/22-04-19</t>
  </si>
  <si>
    <t>2139/22-04-19</t>
  </si>
  <si>
    <t>2140/22-04-19</t>
  </si>
  <si>
    <t>2141/22-04-19</t>
  </si>
  <si>
    <t>Ray Akhtar Ali</t>
  </si>
  <si>
    <t>2142/22-04-19</t>
  </si>
  <si>
    <t>2143/22-04-19</t>
  </si>
  <si>
    <t>2144/22-04-19</t>
  </si>
  <si>
    <t>2145/23-04-19</t>
  </si>
  <si>
    <t>2148/23-04-19</t>
  </si>
  <si>
    <t>2149/24-04-19</t>
  </si>
  <si>
    <t>2150/24-04-19</t>
  </si>
  <si>
    <t>2251/13-05-19</t>
  </si>
  <si>
    <t>2201/04-05-19</t>
  </si>
  <si>
    <t>2202/04-05-19</t>
  </si>
  <si>
    <t>2203/04-05-19</t>
  </si>
  <si>
    <t>2204/04-05-19</t>
  </si>
  <si>
    <t>2205/06-05-19</t>
  </si>
  <si>
    <t>2206/06-05-19</t>
  </si>
  <si>
    <t>2207/06-05-19</t>
  </si>
  <si>
    <t>2208/06-05-19</t>
  </si>
  <si>
    <t>2209/06-05-19</t>
  </si>
  <si>
    <t>2211/06-05-19</t>
  </si>
  <si>
    <t>2212/06-05-19</t>
  </si>
  <si>
    <t>2214/07-05-19</t>
  </si>
  <si>
    <t>2216/07-05-19</t>
  </si>
  <si>
    <t>2217/07-05-19</t>
  </si>
  <si>
    <t>2218/07-05-19</t>
  </si>
  <si>
    <t>2223/08-05-19</t>
  </si>
  <si>
    <t>2225/08-05-19</t>
  </si>
  <si>
    <t>2226/08-05-19</t>
  </si>
  <si>
    <t>2227/08-05-19</t>
  </si>
  <si>
    <t>2228/09-05-19</t>
  </si>
  <si>
    <t>2229/09-05-19</t>
  </si>
  <si>
    <t>2231/09-05-19</t>
  </si>
  <si>
    <t>2232/09-05-19</t>
  </si>
  <si>
    <t>2233/09-05-19</t>
  </si>
  <si>
    <t>2234/10-05-19</t>
  </si>
  <si>
    <t>2235/10-05-19</t>
  </si>
  <si>
    <t>2236/10-05-19</t>
  </si>
  <si>
    <t>2237/10-05-19</t>
  </si>
  <si>
    <t>2238/10-05-19</t>
  </si>
  <si>
    <t>2239/11-05-19</t>
  </si>
  <si>
    <t>2240/11-05-19</t>
  </si>
  <si>
    <t>2241/11-05-19</t>
  </si>
  <si>
    <t>2242/11-05-19</t>
  </si>
  <si>
    <t>2246/11-05-19</t>
  </si>
  <si>
    <t>2247/11-05-19</t>
  </si>
  <si>
    <t>2248/13-05-19</t>
  </si>
  <si>
    <t>2249/13-05-19</t>
  </si>
  <si>
    <t>2250/13-05-19</t>
  </si>
  <si>
    <t>2252/13-05-19</t>
  </si>
  <si>
    <t>2254/13-05-19</t>
  </si>
  <si>
    <t>2255/13-05-19</t>
  </si>
  <si>
    <t>2257/14-05-19</t>
  </si>
  <si>
    <t>2258/14-05-19</t>
  </si>
  <si>
    <t>2259/14-05-19</t>
  </si>
  <si>
    <t>2260/14-05-19</t>
  </si>
  <si>
    <t>2261/14-05-19</t>
  </si>
  <si>
    <t>2262/14-05-19</t>
  </si>
  <si>
    <t>2263/14-05-19</t>
  </si>
  <si>
    <t>2264/14-05-19</t>
  </si>
  <si>
    <t>2265/14-05-19</t>
  </si>
  <si>
    <t>2266/14-05-19</t>
  </si>
  <si>
    <t>2267/14-05-19</t>
  </si>
  <si>
    <t>2268/14-05-19</t>
  </si>
  <si>
    <t>2269/15-05-19</t>
  </si>
  <si>
    <t>2270/15-04-19</t>
  </si>
  <si>
    <t>2272/15-05-19</t>
  </si>
  <si>
    <t>2273/15-05-19</t>
  </si>
  <si>
    <t>Umar Khitab</t>
  </si>
  <si>
    <t>Sajida Umar</t>
  </si>
  <si>
    <t>2274/15-03-19</t>
  </si>
  <si>
    <t>2276/16-05-19</t>
  </si>
  <si>
    <t>2277/16-05-19</t>
  </si>
  <si>
    <t>2278/16-05-19</t>
  </si>
  <si>
    <t>2279/15-05-19</t>
  </si>
  <si>
    <t>2280/18-05-19</t>
  </si>
  <si>
    <t>2281/18-05-19</t>
  </si>
  <si>
    <t>2282/18-05-19</t>
  </si>
  <si>
    <t>2283/18-05-19</t>
  </si>
  <si>
    <t>2284/18-05-19</t>
  </si>
  <si>
    <t>2286/18-05-19</t>
  </si>
  <si>
    <t>2287/18-05-19</t>
  </si>
  <si>
    <t>M.Yaseen Rehami</t>
  </si>
  <si>
    <t>2288/20-05-19</t>
  </si>
  <si>
    <t>2290/20-05-19</t>
  </si>
  <si>
    <t>2291/20-05-19</t>
  </si>
  <si>
    <t>2292/20-05-19</t>
  </si>
  <si>
    <t>2294/21-05-19</t>
  </si>
  <si>
    <t>2295/21-05-19</t>
  </si>
  <si>
    <t>2296/21-05-19</t>
  </si>
  <si>
    <t>Shafiq ur Rehman</t>
  </si>
  <si>
    <t>2297/21-05-19</t>
  </si>
  <si>
    <t>2299/22-05-19</t>
  </si>
  <si>
    <t>2300/22-05-19</t>
  </si>
  <si>
    <t>2401/22-05-19</t>
  </si>
  <si>
    <t>2402/22-05-19</t>
  </si>
  <si>
    <t>2403/22-05-19</t>
  </si>
  <si>
    <t>2404/22-05-19</t>
  </si>
  <si>
    <t>2405/22-05-19</t>
  </si>
  <si>
    <t>2406/23-05-19</t>
  </si>
  <si>
    <t>2408/23-05-19</t>
  </si>
  <si>
    <t>2409/23-05-19</t>
  </si>
  <si>
    <t>2411/24-05-19</t>
  </si>
  <si>
    <t>2412/24-05-19</t>
  </si>
  <si>
    <t>2413/25-05-19</t>
  </si>
  <si>
    <t>2416/27-05-19</t>
  </si>
  <si>
    <t>2418/27-05-19</t>
  </si>
  <si>
    <t>2420/27-05-19</t>
  </si>
  <si>
    <t>2421/27-05-19</t>
  </si>
  <si>
    <t>Noor Muhammad</t>
  </si>
  <si>
    <t>2425/28-05-19</t>
  </si>
  <si>
    <t>2426/28-05-19</t>
  </si>
  <si>
    <t>2427/28-05-19</t>
  </si>
  <si>
    <t>2428/29-05-19</t>
  </si>
  <si>
    <t>2429/29-05-19</t>
  </si>
  <si>
    <t>2430/30-05-19</t>
  </si>
  <si>
    <t>2431/31-05-19</t>
  </si>
  <si>
    <t>2432/31-05-19</t>
  </si>
  <si>
    <t>2435/31-05-19</t>
  </si>
  <si>
    <t>2436/31-05-19</t>
  </si>
  <si>
    <t>2437/31-05-19</t>
  </si>
  <si>
    <t>2438/31-05-19</t>
  </si>
  <si>
    <t>2440/31-05-19</t>
  </si>
  <si>
    <t>2442/01-06-19</t>
  </si>
  <si>
    <t>2445/01-06-19</t>
  </si>
  <si>
    <t>2446/01-06-19</t>
  </si>
  <si>
    <t>2447/01-06-19</t>
  </si>
  <si>
    <t>2450/01-06-19</t>
  </si>
  <si>
    <t>2351/01-06-19</t>
  </si>
  <si>
    <t>2352/10-06-19</t>
  </si>
  <si>
    <t>2353/10-06-19</t>
  </si>
  <si>
    <t>2354/10-06-19</t>
  </si>
  <si>
    <t>2356/11-06-19</t>
  </si>
  <si>
    <t>2357/11-06-19</t>
  </si>
  <si>
    <t>2358/11-06-19</t>
  </si>
  <si>
    <t>2359/11-06-19</t>
  </si>
  <si>
    <t>2361/12-06-19</t>
  </si>
  <si>
    <t>2362/12-06-19</t>
  </si>
  <si>
    <t>2363/12-06-19</t>
  </si>
  <si>
    <t>2364/13-06-19</t>
  </si>
  <si>
    <t>2365/13-06-19</t>
  </si>
  <si>
    <t>2367/17-06-19</t>
  </si>
  <si>
    <t>2369/17-06-19</t>
  </si>
  <si>
    <t>2370/19-06-19</t>
  </si>
  <si>
    <t>2371/19-06-19</t>
  </si>
  <si>
    <t>2374/02-07-19</t>
  </si>
  <si>
    <t>2375/03-07-19</t>
  </si>
  <si>
    <t>2376/03-07-19</t>
  </si>
  <si>
    <t>2377/04-07-19</t>
  </si>
  <si>
    <t>2378/04-07-19</t>
  </si>
  <si>
    <t>2379/04-07-19</t>
  </si>
  <si>
    <t>2380/04-07-19</t>
  </si>
  <si>
    <t>2381/05-07-19</t>
  </si>
  <si>
    <t>M.Nazir Ahmad</t>
  </si>
  <si>
    <t>2382/05-07-19</t>
  </si>
  <si>
    <t>2383/10-07-19</t>
  </si>
  <si>
    <t>2384/13-07-19</t>
  </si>
  <si>
    <t>2385/16-07-19</t>
  </si>
  <si>
    <t>Zia ullaha khan</t>
  </si>
  <si>
    <t>2387/18-07-19</t>
  </si>
  <si>
    <t>2388/18-07-19</t>
  </si>
  <si>
    <t>2389/18-07-19</t>
  </si>
  <si>
    <t>2390/19-07-19</t>
  </si>
  <si>
    <t>2391/19-07-19</t>
  </si>
  <si>
    <t>2392/19-09-19</t>
  </si>
  <si>
    <t>2393/19-07-19</t>
  </si>
  <si>
    <t>2395/20-07-19</t>
  </si>
  <si>
    <t>2396/20-07-19</t>
  </si>
  <si>
    <t>2397/20-07-19</t>
  </si>
  <si>
    <t>2399/22-07-19</t>
  </si>
  <si>
    <t>2400/22-07-19</t>
  </si>
  <si>
    <t>sardar Hussain</t>
  </si>
  <si>
    <t>2301/03-06-19</t>
  </si>
  <si>
    <t>2302/11-06-19</t>
  </si>
  <si>
    <t>Rana.M.Mustafa</t>
  </si>
  <si>
    <t>2303/12-06-19</t>
  </si>
  <si>
    <t>2304/14-06-19</t>
  </si>
  <si>
    <t>2305/14-06-19</t>
  </si>
  <si>
    <t>2306/17-06-19</t>
  </si>
  <si>
    <t>2309/17-06-19</t>
  </si>
  <si>
    <t>sadia Amjid</t>
  </si>
  <si>
    <t>2310/18-06-19</t>
  </si>
  <si>
    <t>2311/18-06-19</t>
  </si>
  <si>
    <t>2312/19-06-19</t>
  </si>
  <si>
    <t>2313/19-06-19</t>
  </si>
  <si>
    <t>2314/21-06-19</t>
  </si>
  <si>
    <t>2315/03-07-19</t>
  </si>
  <si>
    <t>2317/04-07-19</t>
  </si>
  <si>
    <t>2318/04-07-19</t>
  </si>
  <si>
    <t>Abdul hameed</t>
  </si>
  <si>
    <t>2319/05-07-19</t>
  </si>
  <si>
    <t>2320/08-07-19</t>
  </si>
  <si>
    <t>2321/09-07-19</t>
  </si>
  <si>
    <t>2322/09-07-19</t>
  </si>
  <si>
    <t>2323/09-07-19</t>
  </si>
  <si>
    <t>2324/09-07-19</t>
  </si>
  <si>
    <t>Saffia Sadia</t>
  </si>
  <si>
    <t>Abdul Majeed shabir</t>
  </si>
  <si>
    <t>2325/10-07-19</t>
  </si>
  <si>
    <t>2326/10-07-19</t>
  </si>
  <si>
    <t>2327/10-07-19</t>
  </si>
  <si>
    <t>2328/12-07-19</t>
  </si>
  <si>
    <t>2329/12-07-19</t>
  </si>
  <si>
    <t>2330/12-07-19</t>
  </si>
  <si>
    <t>2333/13-07-19</t>
  </si>
  <si>
    <t>2334/13-07-19</t>
  </si>
  <si>
    <t>2335/13-07-19</t>
  </si>
  <si>
    <t>2336/13-07-19</t>
  </si>
  <si>
    <t>2337/16-07-19</t>
  </si>
  <si>
    <t>2338/17-07-19</t>
  </si>
  <si>
    <t>2339/17-07-19</t>
  </si>
  <si>
    <t>2340/17-07-19</t>
  </si>
  <si>
    <t>2341/17-07-19</t>
  </si>
  <si>
    <t>2342/17-07-19</t>
  </si>
  <si>
    <t>2343/17-07-19</t>
  </si>
  <si>
    <t>2344/17-07-19</t>
  </si>
  <si>
    <t>2345/17-07-19</t>
  </si>
  <si>
    <t>2346/18-07-19</t>
  </si>
  <si>
    <t>2347/18-07-19</t>
  </si>
  <si>
    <t>2348/18-07-19</t>
  </si>
  <si>
    <t>2349/18-07-19</t>
  </si>
  <si>
    <t>2350/18-07-19</t>
  </si>
  <si>
    <t>2501/18-07-19</t>
  </si>
  <si>
    <t>2502/19-07-19</t>
  </si>
  <si>
    <t>2503/19-07-19</t>
  </si>
  <si>
    <t>2504/20-07-19</t>
  </si>
  <si>
    <t>2505/20-07-19</t>
  </si>
  <si>
    <t>2506/20-07-19</t>
  </si>
  <si>
    <t>2507/20-07-19</t>
  </si>
  <si>
    <t>2508/20-07-19</t>
  </si>
  <si>
    <t>2509/20-07-19</t>
  </si>
  <si>
    <t>2510/22-07-19</t>
  </si>
  <si>
    <t>2511/22-07-19</t>
  </si>
  <si>
    <t>2512/22-07-19</t>
  </si>
  <si>
    <t>2513/22-07-19</t>
  </si>
  <si>
    <t>2514/22-07-19</t>
  </si>
  <si>
    <t>maqbool Ahmad</t>
  </si>
  <si>
    <t>2515/22-07-19</t>
  </si>
  <si>
    <t>2516/23-07-19</t>
  </si>
  <si>
    <t>2517/23-07-19</t>
  </si>
  <si>
    <t>2518/23-07-19</t>
  </si>
  <si>
    <t>2519/23-07-19</t>
  </si>
  <si>
    <t>2522/23-07-19</t>
  </si>
  <si>
    <t>2523/23-07-19</t>
  </si>
  <si>
    <t>2524/23-07-19</t>
  </si>
  <si>
    <t>2526/24-07-19</t>
  </si>
  <si>
    <t>2527/24-07-19</t>
  </si>
  <si>
    <t>2528/24-07-19</t>
  </si>
  <si>
    <t>2529/24-07-19</t>
  </si>
  <si>
    <t>2531/25-07-19</t>
  </si>
  <si>
    <t>2532/25-07-19</t>
  </si>
  <si>
    <t>2533/26-07-19</t>
  </si>
  <si>
    <t>2534/26-07-19</t>
  </si>
  <si>
    <t>2535/26-07-19</t>
  </si>
  <si>
    <t>2536/26-07-19</t>
  </si>
  <si>
    <t>2537/27-07-19</t>
  </si>
  <si>
    <t>2538/27-07-19</t>
  </si>
  <si>
    <t>2539/27-07-19</t>
  </si>
  <si>
    <t>2540/27-07-19</t>
  </si>
  <si>
    <t>2541/29-07-19</t>
  </si>
  <si>
    <t>2542/29-07-19</t>
  </si>
  <si>
    <t>2544/29-07-19</t>
  </si>
  <si>
    <t>2545/29-07-19</t>
  </si>
  <si>
    <t>2546/29-07-19</t>
  </si>
  <si>
    <t>Umar Waqar</t>
  </si>
  <si>
    <t>2548/29-07-19</t>
  </si>
  <si>
    <t>2549/30-07-19</t>
  </si>
  <si>
    <t>2550/30-07-19</t>
  </si>
  <si>
    <t>3001/30-07-19</t>
  </si>
  <si>
    <t>3002/30-07-19</t>
  </si>
  <si>
    <t>3003/30-07-19</t>
  </si>
  <si>
    <t>Malik Noor Zaman Maitla</t>
  </si>
  <si>
    <t>3004/30-07-19</t>
  </si>
  <si>
    <t>3005/31-07-19</t>
  </si>
  <si>
    <t>3006/31-07-19</t>
  </si>
  <si>
    <t>3008/31-07-19</t>
  </si>
  <si>
    <t>3009/31-07-19</t>
  </si>
  <si>
    <t>3010/31-07-19</t>
  </si>
  <si>
    <t>3011/31-07-19</t>
  </si>
  <si>
    <t>3012/31-07-19</t>
  </si>
  <si>
    <t>3013/31-07-19</t>
  </si>
  <si>
    <t>3014/31-07-19</t>
  </si>
  <si>
    <t>3015/31-07-19</t>
  </si>
  <si>
    <t>3016/31-07-19</t>
  </si>
  <si>
    <t>3017/31-07-19</t>
  </si>
  <si>
    <t>3018/31-07-19</t>
  </si>
  <si>
    <t>3019/01-08-19</t>
  </si>
  <si>
    <t>3020/01-08-19</t>
  </si>
  <si>
    <t>3021/01-08-19</t>
  </si>
  <si>
    <t>3022/02-08-19</t>
  </si>
  <si>
    <t>3023/02-08-19</t>
  </si>
  <si>
    <t>3024/02-08-19</t>
  </si>
  <si>
    <t>3025/02-08-19</t>
  </si>
  <si>
    <t>3026/02-08-19</t>
  </si>
  <si>
    <t>3027/05-08-19</t>
  </si>
  <si>
    <t>3028/05-08-19</t>
  </si>
  <si>
    <t>3029/05-08-19</t>
  </si>
  <si>
    <t>3030/05-08-19</t>
  </si>
  <si>
    <t>3031/05-08-19</t>
  </si>
  <si>
    <t>3032/05-08-19</t>
  </si>
  <si>
    <t>3033/05-08-19</t>
  </si>
  <si>
    <t>3034/05-08-19</t>
  </si>
  <si>
    <t>3035/05-08-19</t>
  </si>
  <si>
    <t>3036/05-08-19</t>
  </si>
  <si>
    <t>3037/06-08-19</t>
  </si>
  <si>
    <t>3038/06-08-19</t>
  </si>
  <si>
    <t>3039/06-08-19</t>
  </si>
  <si>
    <t>Zeshan Ramzan (chak)</t>
  </si>
  <si>
    <t>3040/06-08-19</t>
  </si>
  <si>
    <t>3041/06-08-19</t>
  </si>
  <si>
    <t>3042/06-08-19</t>
  </si>
  <si>
    <t>3044/07-08-19</t>
  </si>
  <si>
    <t>3045/07-08-19</t>
  </si>
  <si>
    <t>3043/07-08-19</t>
  </si>
  <si>
    <t>3047/07-08-19</t>
  </si>
  <si>
    <t>Abdul hameed saddique</t>
  </si>
  <si>
    <t>3048/08-08-19</t>
  </si>
  <si>
    <t>3049/08-08-19</t>
  </si>
  <si>
    <t>M.Umer Ashraf</t>
  </si>
  <si>
    <t>3050/08-08-19</t>
  </si>
  <si>
    <t>3051/08-08-19</t>
  </si>
  <si>
    <t>3053/10-08-19</t>
  </si>
  <si>
    <t>3054/19-08-19</t>
  </si>
  <si>
    <t>3055/19-08-19</t>
  </si>
  <si>
    <t>3056/19-08-19</t>
  </si>
  <si>
    <t>3057/19-08-19</t>
  </si>
  <si>
    <t>3059/20-08-19</t>
  </si>
  <si>
    <t>Rimsha Perveen</t>
  </si>
  <si>
    <t>Amanat Ali</t>
  </si>
  <si>
    <t>3060/20-08-19</t>
  </si>
  <si>
    <t>3062/20-08-19</t>
  </si>
  <si>
    <t>Tanveer Akhtar</t>
  </si>
  <si>
    <t>3063/21-08-19</t>
  </si>
  <si>
    <t>3064/21-08-19</t>
  </si>
  <si>
    <t>Amina Maqbool</t>
  </si>
  <si>
    <t>3065/21-08-19</t>
  </si>
  <si>
    <t>3066/21-08-19</t>
  </si>
  <si>
    <t>3067/21-08-19</t>
  </si>
  <si>
    <t>3068/21-08-19</t>
  </si>
  <si>
    <t>3069/22-08-19</t>
  </si>
  <si>
    <t>khadim Hussain</t>
  </si>
  <si>
    <t>3070/22-08-19</t>
  </si>
  <si>
    <t>3071/22-08-19</t>
  </si>
  <si>
    <t>3072/22-08-19</t>
  </si>
  <si>
    <t>3073/22-08-19</t>
  </si>
  <si>
    <t>3074/22-08-19</t>
  </si>
  <si>
    <t>2293/20-05-19,3075/22-08-19</t>
  </si>
  <si>
    <t>Imtiaz Ahmad Bhatti</t>
  </si>
  <si>
    <t>3077/22-08-19</t>
  </si>
  <si>
    <t>3078/22-08-19</t>
  </si>
  <si>
    <t>3079/22-08-19</t>
  </si>
  <si>
    <t>3081/22-08-19</t>
  </si>
  <si>
    <t>3082/22-05-19</t>
  </si>
  <si>
    <t>Naila Sarwer</t>
  </si>
  <si>
    <t>3083/23-08-19</t>
  </si>
  <si>
    <t>3084/23-08-19</t>
  </si>
  <si>
    <t>3085/23-08-19</t>
  </si>
  <si>
    <t>3086/23-08-19</t>
  </si>
  <si>
    <t>3087/23-08-19</t>
  </si>
  <si>
    <t>3088/23-08-19</t>
  </si>
  <si>
    <t>3089/24-08-19</t>
  </si>
  <si>
    <t>3090/24-08-19</t>
  </si>
  <si>
    <t>3091/24-08-19</t>
  </si>
  <si>
    <t>3093/24-08-19</t>
  </si>
  <si>
    <t>3095/24-08-19</t>
  </si>
  <si>
    <t>3096/24-08-19</t>
  </si>
  <si>
    <t>3097/26-08-19</t>
  </si>
  <si>
    <t>3098/26-08-19</t>
  </si>
  <si>
    <t>siddique Ahmad</t>
  </si>
  <si>
    <t>3099/27-08-19</t>
  </si>
  <si>
    <t>3100/27-08-19</t>
  </si>
  <si>
    <t>3101/30-07-19</t>
  </si>
  <si>
    <t>3102/30-07-19</t>
  </si>
  <si>
    <t>3203/28-08-19</t>
  </si>
  <si>
    <t>3204/28-08-19</t>
  </si>
  <si>
    <t>3205/28-08-19</t>
  </si>
  <si>
    <t>3206/28-08-19</t>
  </si>
  <si>
    <t>3207/29-08-19</t>
  </si>
  <si>
    <t>3208/29-08-19</t>
  </si>
  <si>
    <t>3209/29-08-19</t>
  </si>
  <si>
    <t>3210/29-08-19</t>
  </si>
  <si>
    <t>Muhammad latif</t>
  </si>
  <si>
    <t>3211/29-08-19</t>
  </si>
  <si>
    <t>haq nawaz</t>
  </si>
  <si>
    <t>3212/29-08-19</t>
  </si>
  <si>
    <t>3213/29-08-19</t>
  </si>
  <si>
    <t>3214/29-08-19</t>
  </si>
  <si>
    <t>3215/30-08-19</t>
  </si>
  <si>
    <t>3216/31-08-19</t>
  </si>
  <si>
    <t>Sehrish iqbal</t>
  </si>
  <si>
    <t>3217/31-08-19</t>
  </si>
  <si>
    <t>3218/02-09-19</t>
  </si>
  <si>
    <t>Amina Hafeez</t>
  </si>
  <si>
    <t>Hafeez ul haq</t>
  </si>
  <si>
    <t>3219/02-09-19</t>
  </si>
  <si>
    <t>3220/02-09-19</t>
  </si>
  <si>
    <t>3221/02-09-19</t>
  </si>
  <si>
    <t>3222/02-09-19</t>
  </si>
  <si>
    <t>Arham kashif</t>
  </si>
  <si>
    <t>Kashif Nadeem</t>
  </si>
  <si>
    <t>3223/02-09-19</t>
  </si>
  <si>
    <t>3224/02-09-19</t>
  </si>
  <si>
    <t>3225/03-09-19</t>
  </si>
  <si>
    <t>3226/03-09-19</t>
  </si>
  <si>
    <t>3227/03-09-19</t>
  </si>
  <si>
    <t>3229/04-09-19</t>
  </si>
  <si>
    <t>3230/04-09-19</t>
  </si>
  <si>
    <t>3231/04-09-19</t>
  </si>
  <si>
    <t>3232/04-09-19</t>
  </si>
  <si>
    <t>M.Zaid Aslam</t>
  </si>
  <si>
    <t>3233/04-09-19</t>
  </si>
  <si>
    <t>3234/04-09-19</t>
  </si>
  <si>
    <t>3235/05-09-19</t>
  </si>
  <si>
    <t>3236/05-09-19</t>
  </si>
  <si>
    <t>3237/05-09-19</t>
  </si>
  <si>
    <t>3238/05-09-19</t>
  </si>
  <si>
    <t>3239/05-09-19</t>
  </si>
  <si>
    <t>3240/05-09-19</t>
  </si>
  <si>
    <t>3241/05-09-19</t>
  </si>
  <si>
    <t>3242/05-09-19</t>
  </si>
  <si>
    <t>3243/05-09-19</t>
  </si>
  <si>
    <t>3244/05-09-19</t>
  </si>
  <si>
    <t>3245/05-09-19</t>
  </si>
  <si>
    <t>3246/06-09-19</t>
  </si>
  <si>
    <t>3247/06-09-19</t>
  </si>
  <si>
    <t>3248/06-09-19</t>
  </si>
  <si>
    <t>3249/06-09-19</t>
  </si>
  <si>
    <t>3250/06-09-19</t>
  </si>
  <si>
    <t>3251/06-09-19</t>
  </si>
  <si>
    <t>3252/06-09-19</t>
  </si>
  <si>
    <t>3253/06-09-19</t>
  </si>
  <si>
    <t>3254/07-09-19</t>
  </si>
  <si>
    <t>saba hameed</t>
  </si>
  <si>
    <t>2543/29-07-19</t>
  </si>
  <si>
    <t>3076/28-08-19</t>
  </si>
  <si>
    <t>3255/07-09-19</t>
  </si>
  <si>
    <t>3256/07-09-19</t>
  </si>
  <si>
    <t>3258/07-09-19</t>
  </si>
  <si>
    <t>3259/07-09-19</t>
  </si>
  <si>
    <t>3260/07-09-19</t>
  </si>
  <si>
    <t>3261/07-09-19</t>
  </si>
  <si>
    <t>3263/07-09-19</t>
  </si>
  <si>
    <t>3264/07-09-19</t>
  </si>
  <si>
    <t>3265/07-09-19</t>
  </si>
  <si>
    <t>3266/12-09-19</t>
  </si>
  <si>
    <t>3268/12-05-19</t>
  </si>
  <si>
    <t>3269/12-09-19</t>
  </si>
  <si>
    <t>3267/12-09-19</t>
  </si>
  <si>
    <t>3270/12-09-19</t>
  </si>
  <si>
    <t>3271/12-09-19</t>
  </si>
  <si>
    <t>3272/12-09-19</t>
  </si>
  <si>
    <t>3273/12-09-19</t>
  </si>
  <si>
    <t>3274/12-09-19</t>
  </si>
  <si>
    <t>3275/12-09-19</t>
  </si>
  <si>
    <t>3276/20-09-19</t>
  </si>
  <si>
    <t>3277/20-09-19</t>
  </si>
  <si>
    <t>3278/20-09-19</t>
  </si>
  <si>
    <t>3279/20-09-19</t>
  </si>
  <si>
    <t>3280/20-09-19</t>
  </si>
  <si>
    <t>3281/20-09-19</t>
  </si>
  <si>
    <t>3283/20-09-19</t>
  </si>
  <si>
    <t>3284/20-09-19</t>
  </si>
  <si>
    <t>3285/20-09-19</t>
  </si>
  <si>
    <t>3286/20-09-19</t>
  </si>
  <si>
    <t>3287/20-09-19</t>
  </si>
  <si>
    <t>3288/20-09-19</t>
  </si>
  <si>
    <t>3289/20-09-19</t>
  </si>
  <si>
    <t>3290/20-09-19</t>
  </si>
  <si>
    <t>3291/20-09-19</t>
  </si>
  <si>
    <t>3292/21-09-19</t>
  </si>
  <si>
    <t>3293/21-09-19</t>
  </si>
  <si>
    <t>3294/21-09-19</t>
  </si>
  <si>
    <t>3295/21-09-19</t>
  </si>
  <si>
    <t>3296/21-09-19</t>
  </si>
  <si>
    <t>3297/21-09-19</t>
  </si>
  <si>
    <t>3298/21-09-19</t>
  </si>
  <si>
    <t>3299/21-09-19</t>
  </si>
  <si>
    <t>3300/21-09-19</t>
  </si>
  <si>
    <t>3257/07-09-19</t>
  </si>
  <si>
    <t>3201/27-08-19</t>
  </si>
  <si>
    <t>3202/28-08-19</t>
  </si>
  <si>
    <t>3103/30-07-19</t>
  </si>
  <si>
    <t>3104/31-07-19</t>
  </si>
  <si>
    <t>3105/31-07-19</t>
  </si>
  <si>
    <t>3106/05-08-19</t>
  </si>
  <si>
    <t>3107/05-08-19</t>
  </si>
  <si>
    <t>3108/06-08-19</t>
  </si>
  <si>
    <t>Ghulam Nabi</t>
  </si>
  <si>
    <t>3109/07-08-19</t>
  </si>
  <si>
    <t>3110/09-08-19</t>
  </si>
  <si>
    <t>3112/22-08-19</t>
  </si>
  <si>
    <t>3113/22-08-19</t>
  </si>
  <si>
    <t>3114/22-08-19</t>
  </si>
  <si>
    <t>3115/22-08-19</t>
  </si>
  <si>
    <t>3116/22-08-19</t>
  </si>
  <si>
    <t>3117/22-08-19</t>
  </si>
  <si>
    <t>3118/22-08-19</t>
  </si>
  <si>
    <t>Ruksana saddiq</t>
  </si>
  <si>
    <t>3119/22-08-19</t>
  </si>
  <si>
    <t>3120/23-08-19</t>
  </si>
  <si>
    <t>3121/23-08-19</t>
  </si>
  <si>
    <t>3122/23-08-19</t>
  </si>
  <si>
    <t>3123/23-08-19</t>
  </si>
  <si>
    <t>3124/23-08-19</t>
  </si>
  <si>
    <t>3125/24-08-19</t>
  </si>
  <si>
    <t>3126/26-08-19</t>
  </si>
  <si>
    <t>3127/26-08-19</t>
  </si>
  <si>
    <t>3128/26-08-19</t>
  </si>
  <si>
    <t>3129/27-08-19</t>
  </si>
  <si>
    <t>Muzamil hussain shah</t>
  </si>
  <si>
    <t>3131/27-08-19</t>
  </si>
  <si>
    <t>3132/28-08-19</t>
  </si>
  <si>
    <t>3133/28-08-19</t>
  </si>
  <si>
    <t>3135/11-09-19</t>
  </si>
  <si>
    <t>3136/11-09-19</t>
  </si>
  <si>
    <t>3138/11-09-19</t>
  </si>
  <si>
    <t>3139/11-09-19</t>
  </si>
  <si>
    <t>3140/19-09-19</t>
  </si>
  <si>
    <t>fida hussain</t>
  </si>
  <si>
    <t>3141/11-09-19</t>
  </si>
  <si>
    <t>Amina Shokat</t>
  </si>
  <si>
    <t>3142/11-09-19</t>
  </si>
  <si>
    <t>Hasnain Khalid</t>
  </si>
  <si>
    <t>3143/11-09-19</t>
  </si>
  <si>
    <t>3144/11-09-19</t>
  </si>
  <si>
    <t>3145/11-09-19</t>
  </si>
  <si>
    <t>3146/13-09-19</t>
  </si>
  <si>
    <t>3147/13-09-19</t>
  </si>
  <si>
    <t>3148/13-09-19</t>
  </si>
  <si>
    <t>3149/13-09-19</t>
  </si>
  <si>
    <t>3150/13-09-19</t>
  </si>
  <si>
    <t>3151/13-09-19</t>
  </si>
  <si>
    <t>3152/13-09-19</t>
  </si>
  <si>
    <t>3154/14-09-19</t>
  </si>
  <si>
    <t>3155/14-09-19</t>
  </si>
  <si>
    <t>3156/14-09-19</t>
  </si>
  <si>
    <t>3157/14-09-19</t>
  </si>
  <si>
    <t>3158/14-09-19</t>
  </si>
  <si>
    <t>3159/14-09-19</t>
  </si>
  <si>
    <t>3160/14-09-19</t>
  </si>
  <si>
    <t>3161/14-09-19</t>
  </si>
  <si>
    <t>3162/14-09-19</t>
  </si>
  <si>
    <t>3163/14-09-19</t>
  </si>
  <si>
    <t>3164/14-09-19</t>
  </si>
  <si>
    <t>3165/14-09-19</t>
  </si>
  <si>
    <t>3166/14-09-19</t>
  </si>
  <si>
    <t>3167/14-09-19</t>
  </si>
  <si>
    <t>3168/14-09-19</t>
  </si>
  <si>
    <t>3169/14-09-19</t>
  </si>
  <si>
    <t>3171/14-09-19</t>
  </si>
  <si>
    <t>3172/14-09-19</t>
  </si>
  <si>
    <t>3173/16-09-19</t>
  </si>
  <si>
    <t>3174/16-09-19</t>
  </si>
  <si>
    <t>3175/16-09-19</t>
  </si>
  <si>
    <t>3176/16-09-19</t>
  </si>
  <si>
    <t>3177/16-09-19</t>
  </si>
  <si>
    <t>3178/16-09-19</t>
  </si>
  <si>
    <t>3179/16-09-19</t>
  </si>
  <si>
    <t>3182/16-09-19</t>
  </si>
  <si>
    <t>3183/17-09-19</t>
  </si>
  <si>
    <t>3184/17-09-19</t>
  </si>
  <si>
    <t>3185/17-09-19</t>
  </si>
  <si>
    <t>3186/17-09-19</t>
  </si>
  <si>
    <t>3187/17-09-19</t>
  </si>
  <si>
    <t>3188/17-09-19</t>
  </si>
  <si>
    <t>3189/17-09-19</t>
  </si>
  <si>
    <t>3190/17-09-19</t>
  </si>
  <si>
    <t>3191/17-09-19</t>
  </si>
  <si>
    <t>3192/17-09-19</t>
  </si>
  <si>
    <t>3193/17-09-19</t>
  </si>
  <si>
    <t>3194/18-09-19</t>
  </si>
  <si>
    <t>3195/18-09-19</t>
  </si>
  <si>
    <t>3196/19-09-19</t>
  </si>
  <si>
    <t>3198/19-09-19</t>
  </si>
  <si>
    <t>3199/20-09-19</t>
  </si>
  <si>
    <t>3200/20-09-19</t>
  </si>
  <si>
    <t>3301/21-09-19</t>
  </si>
  <si>
    <t>3302/21-09-19</t>
  </si>
  <si>
    <t>3304/21-09-19</t>
  </si>
  <si>
    <t>3305/21-09-19</t>
  </si>
  <si>
    <t>3306/21-09-19</t>
  </si>
  <si>
    <t>3307/21-09-19</t>
  </si>
  <si>
    <t>3308/21-09-19</t>
  </si>
  <si>
    <t>3309/21-09-19</t>
  </si>
  <si>
    <t>3310/21-09-19</t>
  </si>
  <si>
    <t>3311/21-09-19</t>
  </si>
  <si>
    <t>3312/21-09-19</t>
  </si>
  <si>
    <t>3313/21-09-19</t>
  </si>
  <si>
    <t>3314/21-09-19</t>
  </si>
  <si>
    <t>21-09-19</t>
  </si>
  <si>
    <t>3316/21-09-19</t>
  </si>
  <si>
    <t>3317/21-09-19</t>
  </si>
  <si>
    <t>3318/21-09-19</t>
  </si>
  <si>
    <t>3319/21-09-19</t>
  </si>
  <si>
    <t>3320/21-09-19</t>
  </si>
  <si>
    <t>3321/21-09-19</t>
  </si>
  <si>
    <t>3322/21-09-19</t>
  </si>
  <si>
    <t>3323/21-09-19</t>
  </si>
  <si>
    <t>3324/21-09-19</t>
  </si>
  <si>
    <t>3325/21-09-19</t>
  </si>
  <si>
    <t>3326/21-09-19</t>
  </si>
  <si>
    <t>3327/23-09-19</t>
  </si>
  <si>
    <t>3328/23-09-19</t>
  </si>
  <si>
    <t>3329/23-09-19</t>
  </si>
  <si>
    <t>3330/23-09-19</t>
  </si>
  <si>
    <t>3331/23-09-19</t>
  </si>
  <si>
    <t>3332/23-09-19</t>
  </si>
  <si>
    <t>3333/23-09-19</t>
  </si>
  <si>
    <t>3334/23-09-19</t>
  </si>
  <si>
    <t>3335/23-09-19</t>
  </si>
  <si>
    <t>3336/23-09-19</t>
  </si>
  <si>
    <t>3337/23-09-19</t>
  </si>
  <si>
    <t>3338/23-09-19</t>
  </si>
  <si>
    <t>3340/24-09-19</t>
  </si>
  <si>
    <t>3341/24-09-19</t>
  </si>
  <si>
    <t>3342/24-09-19</t>
  </si>
  <si>
    <t>3343/24-09-19</t>
  </si>
  <si>
    <t>3345/24-09-19</t>
  </si>
  <si>
    <t>3346/24-09-19</t>
  </si>
  <si>
    <t>3347/24-09-19</t>
  </si>
  <si>
    <t>3348/24-09-19</t>
  </si>
  <si>
    <t>3349/24-09-19</t>
  </si>
  <si>
    <t>3350/24-09-19</t>
  </si>
  <si>
    <t>3351/24-09-19</t>
  </si>
  <si>
    <t>3353/24-09-19</t>
  </si>
  <si>
    <t>3354/24-09-19</t>
  </si>
  <si>
    <t>3355/24-09-19</t>
  </si>
  <si>
    <t>3356/25-09-19</t>
  </si>
  <si>
    <t>3357/25-09-19</t>
  </si>
  <si>
    <t>3358/25-09-19</t>
  </si>
  <si>
    <t>3359/25-09-19</t>
  </si>
  <si>
    <t>3360/25-09-19</t>
  </si>
  <si>
    <t>3361/25-09-19</t>
  </si>
  <si>
    <t>3362/25-09-19</t>
  </si>
  <si>
    <t>3364/25-09-19</t>
  </si>
  <si>
    <t>3365/25-09-19</t>
  </si>
  <si>
    <t>3366/25-09-19</t>
  </si>
  <si>
    <t>3367/26-09-19</t>
  </si>
  <si>
    <t>3368/26-05-19</t>
  </si>
  <si>
    <t>3369/26-09-19</t>
  </si>
  <si>
    <t>3370/26-09-19</t>
  </si>
  <si>
    <t>3371/26-09-19</t>
  </si>
  <si>
    <t>3372/26-09-19</t>
  </si>
  <si>
    <t>3373/26-09-19</t>
  </si>
  <si>
    <t>3374/26-09-19</t>
  </si>
  <si>
    <t>3375/27-09-19</t>
  </si>
  <si>
    <t>Amina Amwar</t>
  </si>
  <si>
    <t>3376/27-09-19</t>
  </si>
  <si>
    <t>3377/27-09-19</t>
  </si>
  <si>
    <t>401/18-04-19</t>
  </si>
  <si>
    <t>402/19-04-19</t>
  </si>
  <si>
    <t>404/19-04-19</t>
  </si>
  <si>
    <t>405/20-04-19</t>
  </si>
  <si>
    <t>3303/21-09-19,406/22-04-19</t>
  </si>
  <si>
    <t>407/22-04-19</t>
  </si>
  <si>
    <t>408/22-04-19</t>
  </si>
  <si>
    <t>409/22-04-19</t>
  </si>
  <si>
    <t>Abdul Raheem</t>
  </si>
  <si>
    <t>411/24-04-19</t>
  </si>
  <si>
    <t>413/25-04-19</t>
  </si>
  <si>
    <t>414/13-05-19</t>
  </si>
  <si>
    <t>3181/16-09-19,415/18-05-19</t>
  </si>
  <si>
    <t>417/20-05-19</t>
  </si>
  <si>
    <t>429/11-06-19</t>
  </si>
  <si>
    <t>428/23-05-19,430/05-07-19</t>
  </si>
  <si>
    <t>5173/29-08-19</t>
  </si>
  <si>
    <t>6001/13-09-19</t>
  </si>
  <si>
    <t>Shangool</t>
  </si>
  <si>
    <t>2ndyear ka pkg 20000+5000 ho ga</t>
  </si>
  <si>
    <t>Maqbool Akhtar</t>
  </si>
  <si>
    <t>Masood Ahmad</t>
  </si>
  <si>
    <t>Alamgir</t>
  </si>
  <si>
    <t>zulfiqar Ali</t>
  </si>
  <si>
    <t>Saira Masood</t>
  </si>
  <si>
    <t>Khalid Masood</t>
  </si>
  <si>
    <t>2386/16-07-19</t>
  </si>
  <si>
    <t>Ayesha Munawar</t>
  </si>
  <si>
    <t>Munawar Hussain</t>
  </si>
  <si>
    <t>3134/28-08-19</t>
  </si>
  <si>
    <t>Nisar Ahmad</t>
  </si>
  <si>
    <t>3379/28-09-19</t>
  </si>
  <si>
    <t>2033/02-04-19</t>
  </si>
  <si>
    <t>Hazeeqa Mujeeb</t>
  </si>
  <si>
    <t>InamUllaha</t>
  </si>
  <si>
    <t>javed Iqbal</t>
  </si>
  <si>
    <t>Tahreem Wahid</t>
  </si>
  <si>
    <t>Abdul Wahid</t>
  </si>
  <si>
    <t>2407/23-05-19</t>
  </si>
  <si>
    <t>3378/28-09-19</t>
  </si>
  <si>
    <t>3390/02-10-19</t>
  </si>
  <si>
    <t>3381/30-09-19</t>
  </si>
  <si>
    <t>3383/30-09-19</t>
  </si>
  <si>
    <t>3384/30-09-19</t>
  </si>
  <si>
    <t>3385/01-10-19</t>
  </si>
  <si>
    <t>3386/01-10-19</t>
  </si>
  <si>
    <t>3387/01-10-19</t>
  </si>
  <si>
    <t>3388/02-10-19</t>
  </si>
  <si>
    <t>3389/02-10-19</t>
  </si>
  <si>
    <t>Class</t>
  </si>
  <si>
    <t>pakage</t>
  </si>
  <si>
    <t>Receipt/Date</t>
  </si>
  <si>
    <t>3rd installment</t>
  </si>
  <si>
    <t>1st installment</t>
  </si>
  <si>
    <t>2nd installment</t>
  </si>
  <si>
    <t>3397/04-10-19</t>
  </si>
  <si>
    <t>3401/04-10-19</t>
  </si>
  <si>
    <t>3402/04-10-19</t>
  </si>
  <si>
    <t>3403/04-10-19</t>
  </si>
  <si>
    <t>3404/05-10-19</t>
  </si>
  <si>
    <t>3405/05-10-19</t>
  </si>
  <si>
    <t>3406/05-10-19</t>
  </si>
  <si>
    <t>3407/05-10-19</t>
  </si>
  <si>
    <t>3408/07-10-19</t>
  </si>
  <si>
    <t>3409/07-10-19</t>
  </si>
  <si>
    <t>3410/07-10-19</t>
  </si>
  <si>
    <t>3411/07-10-19</t>
  </si>
  <si>
    <t>3412/08-10-19</t>
  </si>
  <si>
    <t>3413/08-10-19</t>
  </si>
  <si>
    <t>3414/08-10-19</t>
  </si>
  <si>
    <t>3415/08-10-19</t>
  </si>
  <si>
    <t>3391/02-10-19</t>
  </si>
  <si>
    <t>Sultan Ali</t>
  </si>
  <si>
    <t>Muhammad Tariq</t>
  </si>
  <si>
    <t>3392/03-10-19</t>
  </si>
  <si>
    <t>Muhammad Latif</t>
  </si>
  <si>
    <t>3393/03-10-19</t>
  </si>
  <si>
    <t>3394/03-10-19</t>
  </si>
  <si>
    <t>3395/03-10-19</t>
  </si>
  <si>
    <t>3396/03-10-19</t>
  </si>
  <si>
    <t>3398/04-10-19</t>
  </si>
  <si>
    <t>3399/04-10-19</t>
  </si>
  <si>
    <t>3400/04-10-19</t>
  </si>
  <si>
    <t>LEFT COLLEGE</t>
  </si>
  <si>
    <t>Usama Shakeel</t>
  </si>
  <si>
    <t>NAME</t>
  </si>
  <si>
    <t>2555/20-05-19</t>
  </si>
  <si>
    <t>5057/01-08-19</t>
  </si>
  <si>
    <t>5198/23-03-19</t>
  </si>
  <si>
    <t>SAAD ALI</t>
  </si>
  <si>
    <t>IJAZ ALI</t>
  </si>
  <si>
    <t>FREE</t>
  </si>
  <si>
    <t>NIL</t>
  </si>
  <si>
    <t>M ARSHID</t>
  </si>
  <si>
    <t>M BOOTA</t>
  </si>
  <si>
    <t>M MAZHAR</t>
  </si>
  <si>
    <t>M RIAZ</t>
  </si>
  <si>
    <t>03012251117</t>
  </si>
  <si>
    <t>03081395411</t>
  </si>
  <si>
    <t>03027386245</t>
  </si>
  <si>
    <t>03070075862</t>
  </si>
  <si>
    <t>2557/20-5-19</t>
  </si>
  <si>
    <t>5036/31-7-19</t>
  </si>
  <si>
    <t xml:space="preserve">M JUNAID </t>
  </si>
  <si>
    <t>M JAVAID</t>
  </si>
  <si>
    <t>03003605200</t>
  </si>
  <si>
    <t>1850/17-5-19</t>
  </si>
  <si>
    <t>2476/27-7-19</t>
  </si>
  <si>
    <t>6017/30-09-19</t>
  </si>
  <si>
    <t>M BILAL</t>
  </si>
  <si>
    <t>GHULAM MURTZA</t>
  </si>
  <si>
    <t>03047035389</t>
  </si>
  <si>
    <t>1812/16-5-19</t>
  </si>
  <si>
    <t>2498/29-07-19</t>
  </si>
  <si>
    <t>NILL</t>
  </si>
  <si>
    <t>M WARIS</t>
  </si>
  <si>
    <t>M RAFIQ</t>
  </si>
  <si>
    <t>03491601812</t>
  </si>
  <si>
    <t>5227/28-8-19</t>
  </si>
  <si>
    <t>1805/16-5-19</t>
  </si>
  <si>
    <t>M SHAREEF</t>
  </si>
  <si>
    <t>SHAH MUHAMMAD</t>
  </si>
  <si>
    <t>03044519742</t>
  </si>
  <si>
    <t>1883/20-5-19</t>
  </si>
  <si>
    <t>5125/2819</t>
  </si>
  <si>
    <t>HFZ ASIM ABDULLAH</t>
  </si>
  <si>
    <t>M ADREES</t>
  </si>
  <si>
    <t>03007739886</t>
  </si>
  <si>
    <t>M AWAIS</t>
  </si>
  <si>
    <t>M ASHFAQ</t>
  </si>
  <si>
    <t>03078600321</t>
  </si>
  <si>
    <t>2817/18-5-19</t>
  </si>
  <si>
    <t>2490/29-7-19</t>
  </si>
  <si>
    <t>MEHMOOD AHMAD</t>
  </si>
  <si>
    <t>M ASLAM</t>
  </si>
  <si>
    <t>03088768457</t>
  </si>
  <si>
    <t>ABDUL MALIK</t>
  </si>
  <si>
    <t>ZAFFAR IQBAL</t>
  </si>
  <si>
    <t>03009859867</t>
  </si>
  <si>
    <t>1822/16-5-19</t>
  </si>
  <si>
    <t>2409/29-7-19</t>
  </si>
  <si>
    <t>AHSAN IQBAL</t>
  </si>
  <si>
    <t>M IQBAL</t>
  </si>
  <si>
    <t>03076655588</t>
  </si>
  <si>
    <t>5253/03-09-19</t>
  </si>
  <si>
    <t>ABDUL MOHAIMAN</t>
  </si>
  <si>
    <t>M ZAFFAR IQBAL</t>
  </si>
  <si>
    <t>03056578825</t>
  </si>
  <si>
    <t>1811/16-5-19</t>
  </si>
  <si>
    <t>5086/6-08-19</t>
  </si>
  <si>
    <t xml:space="preserve">M UMAR KHALID </t>
  </si>
  <si>
    <t>M KHALID</t>
  </si>
  <si>
    <t>03467270715</t>
  </si>
  <si>
    <t>1823/16-5-19</t>
  </si>
  <si>
    <t>5139/19-08-19</t>
  </si>
  <si>
    <t>M HASEEB</t>
  </si>
  <si>
    <t>03447348032</t>
  </si>
  <si>
    <t>2845/18-05-19</t>
  </si>
  <si>
    <t>5283/12-05-19</t>
  </si>
  <si>
    <t>M UMAIR LODHI</t>
  </si>
  <si>
    <t>UMAR DRAZ KHAN</t>
  </si>
  <si>
    <t>03004799675</t>
  </si>
  <si>
    <t>0152/17-07-19</t>
  </si>
  <si>
    <t>5186/21-09-19</t>
  </si>
  <si>
    <t>M UZAIR</t>
  </si>
  <si>
    <t>03004799676</t>
  </si>
  <si>
    <t>0153/17-07-19</t>
  </si>
  <si>
    <t>5187/21-09-19</t>
  </si>
  <si>
    <t>MUHAMMAD</t>
  </si>
  <si>
    <t>ABDUL  SATTAR</t>
  </si>
  <si>
    <t>03057588490</t>
  </si>
  <si>
    <t>ABDUL REHMAN</t>
  </si>
  <si>
    <t>M DILSHAD</t>
  </si>
  <si>
    <t>03437343123</t>
  </si>
  <si>
    <t>2866/16-05-19</t>
  </si>
  <si>
    <t>5244/31-08-19</t>
  </si>
  <si>
    <t>ABDULLAH DILSHAD</t>
  </si>
  <si>
    <t>ALI IQBAL</t>
  </si>
  <si>
    <t>ABDULLAH ALEEM</t>
  </si>
  <si>
    <t>M SHAFIQUE</t>
  </si>
  <si>
    <t>FAHAD RASOOL</t>
  </si>
  <si>
    <t>M ISHFAQ</t>
  </si>
  <si>
    <t>M JAHANZAIB</t>
  </si>
  <si>
    <t>M USMAN</t>
  </si>
  <si>
    <t>M MEHROZ</t>
  </si>
  <si>
    <t>SHOAIB MAQSOOD</t>
  </si>
  <si>
    <t>MUHAMMAD IQBAL</t>
  </si>
  <si>
    <t>M ALEEM</t>
  </si>
  <si>
    <t xml:space="preserve">BASHIR AHMAD </t>
  </si>
  <si>
    <t>GHULLAM RASOOL</t>
  </si>
  <si>
    <t>NAFAL DIN</t>
  </si>
  <si>
    <t>M RAMZAN</t>
  </si>
  <si>
    <t>M ANWAR</t>
  </si>
  <si>
    <t>ZULFIQAR ALI</t>
  </si>
  <si>
    <t>MAQSOOD AHMAD</t>
  </si>
  <si>
    <t>03064096509</t>
  </si>
  <si>
    <t>03087388846</t>
  </si>
  <si>
    <t>03097294640</t>
  </si>
  <si>
    <t>03017381453</t>
  </si>
  <si>
    <t>03029071993</t>
  </si>
  <si>
    <t>03086941992</t>
  </si>
  <si>
    <t>03061787141</t>
  </si>
  <si>
    <t>03327125875</t>
  </si>
  <si>
    <t>03057516542</t>
  </si>
  <si>
    <t>1825/17-05-19</t>
  </si>
  <si>
    <t>5103/31-07-19</t>
  </si>
  <si>
    <t>1848/17-05-19</t>
  </si>
  <si>
    <t>1836/17-05-19</t>
  </si>
  <si>
    <t>2579/20-05-19</t>
  </si>
  <si>
    <t>2563/20-05-19</t>
  </si>
  <si>
    <t>5206/22-08-19</t>
  </si>
  <si>
    <t>5185/21-09-19</t>
  </si>
  <si>
    <t>M MUBEEN</t>
  </si>
  <si>
    <t>ABDUL KHALIQ</t>
  </si>
  <si>
    <t>M ADNAN SHAHID</t>
  </si>
  <si>
    <t>ALI HUSSAIN</t>
  </si>
  <si>
    <t>UMAIR IQBAL</t>
  </si>
  <si>
    <t>M ASAD  IJAZ</t>
  </si>
  <si>
    <t>ZAIN UL ABDEEN</t>
  </si>
  <si>
    <t>IHSAN ARSHAD</t>
  </si>
  <si>
    <t>ABDURRAHMAN</t>
  </si>
  <si>
    <t>M MOSA</t>
  </si>
  <si>
    <t>M KHADIM HUSSAIN</t>
  </si>
  <si>
    <t>M ZAMAN</t>
  </si>
  <si>
    <t>IJAZ HUSSAIN</t>
  </si>
  <si>
    <t>ABDUL  GHAFOR</t>
  </si>
  <si>
    <t>MUHAMMAD ARSHAD</t>
  </si>
  <si>
    <t>ATAULLAH</t>
  </si>
  <si>
    <t>03057623780</t>
  </si>
  <si>
    <t>03037361067</t>
  </si>
  <si>
    <t>03068650614</t>
  </si>
  <si>
    <t>03008140724</t>
  </si>
  <si>
    <t>03015130971</t>
  </si>
  <si>
    <t>03087395770</t>
  </si>
  <si>
    <t>03454837429</t>
  </si>
  <si>
    <t>03036566437</t>
  </si>
  <si>
    <t>03005769123</t>
  </si>
  <si>
    <t>6070/08-10-19</t>
  </si>
  <si>
    <t>1884/20-05-19</t>
  </si>
  <si>
    <t>2584/21-05-19</t>
  </si>
  <si>
    <t>1835/17-05-19</t>
  </si>
  <si>
    <t>2824/18-05-19</t>
  </si>
  <si>
    <t>2737/20-07-19</t>
  </si>
  <si>
    <t>5084/06-08-19</t>
  </si>
  <si>
    <t>2492/29-07-19</t>
  </si>
  <si>
    <t>6052/05-10-19</t>
  </si>
  <si>
    <t>MAAZ NAVEED</t>
  </si>
  <si>
    <t>M REHAN</t>
  </si>
  <si>
    <t>SHAKEEL AHMAD</t>
  </si>
  <si>
    <t>M BILAL ANWAR</t>
  </si>
  <si>
    <t>FASIAL IQBAL</t>
  </si>
  <si>
    <t>M TAHIR</t>
  </si>
  <si>
    <t>ALI HASSAN</t>
  </si>
  <si>
    <t>IMRAN AKRAM</t>
  </si>
  <si>
    <t>NAVEED HUSSAIN</t>
  </si>
  <si>
    <t>M NAVEED</t>
  </si>
  <si>
    <t>M YOUSAF</t>
  </si>
  <si>
    <t>AMANAT ALI</t>
  </si>
  <si>
    <t>KHUSHI MUHAMMAD</t>
  </si>
  <si>
    <t>ABDUL GHAFAR</t>
  </si>
  <si>
    <t>M SAFDAR</t>
  </si>
  <si>
    <t>M AKRAM</t>
  </si>
  <si>
    <t>M HUSSAIN</t>
  </si>
  <si>
    <t>03017609409</t>
  </si>
  <si>
    <t>03447008137</t>
  </si>
  <si>
    <t>03033349863</t>
  </si>
  <si>
    <t>03037862147</t>
  </si>
  <si>
    <t>03017314347</t>
  </si>
  <si>
    <t>03007855771</t>
  </si>
  <si>
    <t>03337659147</t>
  </si>
  <si>
    <t>03062197433</t>
  </si>
  <si>
    <t>03097431101</t>
  </si>
  <si>
    <t>2827/18-05-19</t>
  </si>
  <si>
    <t>2469/06-07-19</t>
  </si>
  <si>
    <t>6033/03-10-19</t>
  </si>
  <si>
    <t>1816/16-05-19</t>
  </si>
  <si>
    <t>2833/18-05-19</t>
  </si>
  <si>
    <t>5234/30-08-19</t>
  </si>
  <si>
    <t>5134/07-08-19</t>
  </si>
  <si>
    <t>5194/21-09-19</t>
  </si>
  <si>
    <t>5268/04-09-19</t>
  </si>
  <si>
    <t>138/10R</t>
  </si>
  <si>
    <t>DEGREE COLLEGE</t>
  </si>
  <si>
    <t>SHOAIB GONDAL</t>
  </si>
  <si>
    <t>ZOHAIB HASSAN</t>
  </si>
  <si>
    <t>IJAZ SHFAQAT</t>
  </si>
  <si>
    <t>ASAD SARDAR</t>
  </si>
  <si>
    <t>SHAH ZAIB RAFIQ</t>
  </si>
  <si>
    <t>YASEEN SIDDIQUE</t>
  </si>
  <si>
    <t>M ASGHAR</t>
  </si>
  <si>
    <t>M YOUSAF GILL</t>
  </si>
  <si>
    <t>SHAFAQAT ALI</t>
  </si>
  <si>
    <t>MUSHTAQ AHMAD</t>
  </si>
  <si>
    <t>ARIF ALI</t>
  </si>
  <si>
    <t>RAFIQ UR REHMAN</t>
  </si>
  <si>
    <t>MUHAMMAD SIDDIQUE</t>
  </si>
  <si>
    <t>03035142229</t>
  </si>
  <si>
    <t>03083278150</t>
  </si>
  <si>
    <t>03083675960</t>
  </si>
  <si>
    <t>151/18-07-19</t>
  </si>
  <si>
    <t>5277/06-09-19</t>
  </si>
  <si>
    <t>2659/21-05-19</t>
  </si>
  <si>
    <t>5257/03-09-19</t>
  </si>
  <si>
    <t>5154/22-08-19</t>
  </si>
  <si>
    <t>5267/04-09-19</t>
  </si>
  <si>
    <t>M AZAM BLOCH</t>
  </si>
  <si>
    <t>SHAMSHAD ALI</t>
  </si>
  <si>
    <t>M MOHSIN ALI</t>
  </si>
  <si>
    <t>NAEEM  RAMZAN</t>
  </si>
  <si>
    <t>HASSAN RASHEED</t>
  </si>
  <si>
    <t>M IMRAN</t>
  </si>
  <si>
    <t>NOUMAN YOUNAS</t>
  </si>
  <si>
    <t>FURRUKH LATIF</t>
  </si>
  <si>
    <t>SIJJAD HUSSAIN</t>
  </si>
  <si>
    <t>M ISLAM</t>
  </si>
  <si>
    <t>M ABDULLAH</t>
  </si>
  <si>
    <t>M.RAFIQUE</t>
  </si>
  <si>
    <t>ABDUL RASHEED</t>
  </si>
  <si>
    <t>KHURSHEED KHSHI MUH</t>
  </si>
  <si>
    <t>M YOUNAS</t>
  </si>
  <si>
    <t>M LATIF</t>
  </si>
  <si>
    <t>M ILYASS</t>
  </si>
  <si>
    <t>ADNAN JAVAID</t>
  </si>
  <si>
    <t>TALHA KHAN</t>
  </si>
  <si>
    <t>ARSLAN KAREEM</t>
  </si>
  <si>
    <t>ALI RAZA</t>
  </si>
  <si>
    <t>NAEEM GHAFFAR</t>
  </si>
  <si>
    <t>HAMZA IFTUKHAR</t>
  </si>
  <si>
    <t>RANA ADEEL MUSTAFA</t>
  </si>
  <si>
    <t>TAHMOOR ASHEAF</t>
  </si>
  <si>
    <t>YASEEN RAMZAN</t>
  </si>
  <si>
    <t>03336327112</t>
  </si>
  <si>
    <t>03012455979</t>
  </si>
  <si>
    <t>03337659992</t>
  </si>
  <si>
    <t>03467822502</t>
  </si>
  <si>
    <t>03017558803</t>
  </si>
  <si>
    <t>03004330487</t>
  </si>
  <si>
    <t>03347836108</t>
  </si>
  <si>
    <t>03477373624</t>
  </si>
  <si>
    <t>03038848219</t>
  </si>
  <si>
    <t>03004829140</t>
  </si>
  <si>
    <t>03437123120</t>
  </si>
  <si>
    <t>03236427687</t>
  </si>
  <si>
    <t>03459131756</t>
  </si>
  <si>
    <t>03078712519</t>
  </si>
  <si>
    <t>03456846766</t>
  </si>
  <si>
    <t>03017945962</t>
  </si>
  <si>
    <t>03047195967</t>
  </si>
  <si>
    <t>03024996321</t>
  </si>
  <si>
    <t>03025367406</t>
  </si>
  <si>
    <t>03466502187</t>
  </si>
  <si>
    <t>1807/16-05-19</t>
  </si>
  <si>
    <t>RE ADMITION</t>
  </si>
  <si>
    <t>SAFARISH ALI</t>
  </si>
  <si>
    <t>ABDUL QAHAR</t>
  </si>
  <si>
    <t>DILDAR HUSSAIN</t>
  </si>
  <si>
    <t>M FAROOQ</t>
  </si>
  <si>
    <t>M IFTIKHAR</t>
  </si>
  <si>
    <t>M MUSTAFA</t>
  </si>
  <si>
    <t>M ASHRIF</t>
  </si>
  <si>
    <t>2801/17-05-19</t>
  </si>
  <si>
    <t>2554/20-05-19</t>
  </si>
  <si>
    <t>1877/20-05-19</t>
  </si>
  <si>
    <t>2834/18-05-19</t>
  </si>
  <si>
    <t>1804/16-05-19</t>
  </si>
  <si>
    <t>2952/11-05-19</t>
  </si>
  <si>
    <t>1876/20-05-19</t>
  </si>
  <si>
    <t>1805/16-05-19</t>
  </si>
  <si>
    <t>5087/6-08-19</t>
  </si>
  <si>
    <t>2468/04-07-19</t>
  </si>
  <si>
    <t>2592/21-05-19</t>
  </si>
  <si>
    <t>2730/18-05-19</t>
  </si>
  <si>
    <t>1802/16-05-19</t>
  </si>
  <si>
    <t>0140/9-07-16</t>
  </si>
  <si>
    <t>5205/22-08-19</t>
  </si>
  <si>
    <t>5196/23-09-19</t>
  </si>
  <si>
    <t>6055/07-10-19</t>
  </si>
  <si>
    <t>5247/02-09-19</t>
  </si>
  <si>
    <t>6039/05-10-19</t>
  </si>
  <si>
    <t>RE ADDMISSION 2029</t>
  </si>
  <si>
    <t>5184/21-09-19</t>
  </si>
  <si>
    <t>5240/30-08-19</t>
  </si>
  <si>
    <t>5241/30-08-19</t>
  </si>
  <si>
    <t>5248/02-09-19</t>
  </si>
  <si>
    <t>ALI ASHFAQ</t>
  </si>
  <si>
    <t>FAIZAN ASHRAF</t>
  </si>
  <si>
    <t>ADNAN MUSHTAQ</t>
  </si>
  <si>
    <t>M MUSHTAQ</t>
  </si>
  <si>
    <t>03471632334</t>
  </si>
  <si>
    <t>5211/24-08-19</t>
  </si>
  <si>
    <t>RE ADDMISSTION 2019</t>
  </si>
  <si>
    <t>PVT</t>
  </si>
  <si>
    <t>UBAID UR REHMAN</t>
  </si>
  <si>
    <t>HAMZA MANSHAD</t>
  </si>
  <si>
    <t>ZOHAIB ASGHAR</t>
  </si>
  <si>
    <t>AFTAB NASIR</t>
  </si>
  <si>
    <t>MUDDASSIR AMJID</t>
  </si>
  <si>
    <t>KASHIF ALI</t>
  </si>
  <si>
    <t>RIZWAN KHAN</t>
  </si>
  <si>
    <t>M HAMAD</t>
  </si>
  <si>
    <t>NABEEL AHMAD</t>
  </si>
  <si>
    <t>MAZZ ALI</t>
  </si>
  <si>
    <t>SHAHBAZ FAROOQ</t>
  </si>
  <si>
    <t>MUDASSIR HUSSAIN</t>
  </si>
  <si>
    <t>NOUMAN TAHIR</t>
  </si>
  <si>
    <t>M SHOAIB</t>
  </si>
  <si>
    <t>BILAL AHMAD</t>
  </si>
  <si>
    <t>TAYYAB UL HASSAN</t>
  </si>
  <si>
    <t>WAQAS YOUNAS</t>
  </si>
  <si>
    <t>MASAB SHAKOOR</t>
  </si>
  <si>
    <t>TAHIR RAFIQUE</t>
  </si>
  <si>
    <t>M SHABAN</t>
  </si>
  <si>
    <t>M ALI</t>
  </si>
  <si>
    <t>M ALTAF HUSSAIN</t>
  </si>
  <si>
    <t>M ASHRAF</t>
  </si>
  <si>
    <t>HAJI MUHAMMAD</t>
  </si>
  <si>
    <t>ASGHAR ALI</t>
  </si>
  <si>
    <t>M NASIR</t>
  </si>
  <si>
    <t>AMJAD PATVAIZ</t>
  </si>
  <si>
    <t>MUJAHID ALI</t>
  </si>
  <si>
    <t>GHULAM SHABIR</t>
  </si>
  <si>
    <t>NASIR</t>
  </si>
  <si>
    <t>ALLAH DITTA</t>
  </si>
  <si>
    <t>MANZOOR AHMAD</t>
  </si>
  <si>
    <t>M ARSHAD</t>
  </si>
  <si>
    <t>M NAZEER AHMAD</t>
  </si>
  <si>
    <t>NAVEED UL HASSAN</t>
  </si>
  <si>
    <t>ABDUL SHAKOOR</t>
  </si>
  <si>
    <t>M RAFIQUE</t>
  </si>
  <si>
    <t>JAFIR ALI</t>
  </si>
  <si>
    <t>ABDUL HAMEED</t>
  </si>
  <si>
    <t>03047822187</t>
  </si>
  <si>
    <t>03317720100</t>
  </si>
  <si>
    <t>03017408377</t>
  </si>
  <si>
    <t>03002931810</t>
  </si>
  <si>
    <t>03420394384</t>
  </si>
  <si>
    <t>03066506385</t>
  </si>
  <si>
    <t>03337749120</t>
  </si>
  <si>
    <t>03068158046</t>
  </si>
  <si>
    <t>03087426579</t>
  </si>
  <si>
    <t>03055203057</t>
  </si>
  <si>
    <t>03013910747</t>
  </si>
  <si>
    <t>03030874527</t>
  </si>
  <si>
    <t>03068818012</t>
  </si>
  <si>
    <t>03068204382</t>
  </si>
  <si>
    <t>03068773690</t>
  </si>
  <si>
    <t>03006875125</t>
  </si>
  <si>
    <t>03364232871</t>
  </si>
  <si>
    <t>03007342938</t>
  </si>
  <si>
    <t>03071678975</t>
  </si>
  <si>
    <t>03000050108</t>
  </si>
  <si>
    <t>03085669114</t>
  </si>
  <si>
    <t>COMBINED 1ST YEAR +2ND YEAR</t>
  </si>
  <si>
    <t>03045305512</t>
  </si>
  <si>
    <t>03047125924</t>
  </si>
  <si>
    <t>1815/16-05-19</t>
  </si>
  <si>
    <t>2832/18-05-19</t>
  </si>
  <si>
    <t>5130/06-08-19</t>
  </si>
  <si>
    <t>5214/24-08-19</t>
  </si>
  <si>
    <t>6007/24-09-09</t>
  </si>
  <si>
    <t>2815/18-05-19</t>
  </si>
  <si>
    <t>5144/22-08-19</t>
  </si>
  <si>
    <t>1873/20-05-19</t>
  </si>
  <si>
    <t>2814/18-05-19</t>
  </si>
  <si>
    <t>2562/20-05-19</t>
  </si>
  <si>
    <t>2552/20-05-19</t>
  </si>
  <si>
    <t>2676/22-05-19</t>
  </si>
  <si>
    <t>26776/22-05-19</t>
  </si>
  <si>
    <t>2553/20-05-19</t>
  </si>
  <si>
    <t>5213/24-08-19</t>
  </si>
  <si>
    <t>6046/05-10-19</t>
  </si>
  <si>
    <t>1845/17-05-19</t>
  </si>
  <si>
    <t>6048/05-10-19</t>
  </si>
  <si>
    <t>6050/05-10-19</t>
  </si>
  <si>
    <t>5183/20-09-19</t>
  </si>
  <si>
    <t>6038/05-10-19</t>
  </si>
  <si>
    <t>BABAR ALI</t>
  </si>
  <si>
    <t>GHULAM MUHA U DIN</t>
  </si>
  <si>
    <t>03024345143</t>
  </si>
  <si>
    <t>6019/01/10-19</t>
  </si>
  <si>
    <t>FAWAD HUSSAIN</t>
  </si>
  <si>
    <t>ALTAF HUSSAIN</t>
  </si>
  <si>
    <t>SHAHZAIB ALI</t>
  </si>
  <si>
    <t>M ADNAN GHAFAR</t>
  </si>
  <si>
    <t>SOBAN WAQAR</t>
  </si>
  <si>
    <t>MOID ALTAF</t>
  </si>
  <si>
    <t>M UMAIR RAFIQUE</t>
  </si>
  <si>
    <t>UMAIR ASLAM</t>
  </si>
  <si>
    <t>ABDULLAH NASIR</t>
  </si>
  <si>
    <t>OWAIS SAIF ULLAH</t>
  </si>
  <si>
    <t xml:space="preserve">M USMAN MANZOOR </t>
  </si>
  <si>
    <t>JUNAID ALI</t>
  </si>
  <si>
    <t>ATHAR FARYAD</t>
  </si>
  <si>
    <t>M SAIF ULLAH ABRAR</t>
  </si>
  <si>
    <t>M, SUFIAN ASIM</t>
  </si>
  <si>
    <t>MUNAWAR HUSSAIN</t>
  </si>
  <si>
    <t>M TALHA KHAN</t>
  </si>
  <si>
    <t>TAHIR ARSHAD</t>
  </si>
  <si>
    <t>TALHA MEHBOOB</t>
  </si>
  <si>
    <t>MUHAMMAD JAMEEL FAREEDI</t>
  </si>
  <si>
    <t>AWAIS IQBAL</t>
  </si>
  <si>
    <t>TALHA BIN TAHIR</t>
  </si>
  <si>
    <t>HASEEB ZAFAR</t>
  </si>
  <si>
    <t>ZOHAIB RAZA</t>
  </si>
  <si>
    <t>M DANISH</t>
  </si>
  <si>
    <t>SAQIB IQBAL</t>
  </si>
  <si>
    <t>MUDASSIR SALEEM</t>
  </si>
  <si>
    <t>SALMAN MUNAWAR</t>
  </si>
  <si>
    <t xml:space="preserve">HASSAN RAZA </t>
  </si>
  <si>
    <t xml:space="preserve">SAID  KHAN </t>
  </si>
  <si>
    <t xml:space="preserve">HAMZA AKRAM </t>
  </si>
  <si>
    <t xml:space="preserve">FASIL IMRAN </t>
  </si>
  <si>
    <t xml:space="preserve">M TALAL </t>
  </si>
  <si>
    <t>USMAN AHMAD</t>
  </si>
  <si>
    <t xml:space="preserve">M ABDULLAH </t>
  </si>
  <si>
    <t xml:space="preserve">JAWAD HUSSAIN </t>
  </si>
  <si>
    <t xml:space="preserve">M NOUMAN </t>
  </si>
  <si>
    <t xml:space="preserve">M ABU SUFAN </t>
  </si>
  <si>
    <t>ARHAM KASHAIF</t>
  </si>
  <si>
    <t>M MUJAHID</t>
  </si>
  <si>
    <t>M ADNAN HANIF</t>
  </si>
  <si>
    <t>HANZALA IBRAR</t>
  </si>
  <si>
    <t>KHUZAIMA</t>
  </si>
  <si>
    <t>M SALMAN SARWAR</t>
  </si>
  <si>
    <t>M ANAS ASGHAR</t>
  </si>
  <si>
    <t>M ZOHAIB</t>
  </si>
  <si>
    <t>AMEER HAMZA</t>
  </si>
  <si>
    <t>M ZUBAIR AKRAM</t>
  </si>
  <si>
    <t>GHULAM MURTAZA</t>
  </si>
  <si>
    <t>HFZ MAHBOOB AHMAD</t>
  </si>
  <si>
    <t>WAQAR ASHRAF</t>
  </si>
  <si>
    <t>DR ALTAF HUSSAIN</t>
  </si>
  <si>
    <t>NASAR IQBAL</t>
  </si>
  <si>
    <t>SAIF ULLAH NDHARWI</t>
  </si>
  <si>
    <t>FARYAD HUSSAIN</t>
  </si>
  <si>
    <t>ABRAR ALI</t>
  </si>
  <si>
    <t>ZULFIQAR ALI ASIM</t>
  </si>
  <si>
    <t>M SADIQ</t>
  </si>
  <si>
    <t>SARDAR MUHAMMAD</t>
  </si>
  <si>
    <t>M MUNAWAR</t>
  </si>
  <si>
    <t>MEHBOB ALI</t>
  </si>
  <si>
    <t>JAVED IQBAL BHATTI</t>
  </si>
  <si>
    <t>KHALIL AHMAD</t>
  </si>
  <si>
    <t>ABDUL SATTAR</t>
  </si>
  <si>
    <t>TAHIR NAZIR</t>
  </si>
  <si>
    <t>RAY ZAFAR IQBAL</t>
  </si>
  <si>
    <t>M AKHTAR</t>
  </si>
  <si>
    <t>M SALEEM</t>
  </si>
  <si>
    <t>HASSAN JAHANGEER</t>
  </si>
  <si>
    <t>CH KHALIL AHMAD</t>
  </si>
  <si>
    <t>JAMSHAID ALI NADIR</t>
  </si>
  <si>
    <t>IMRAN AHMAD</t>
  </si>
  <si>
    <t>RIAST ALI</t>
  </si>
  <si>
    <t>MUBASHAR HUSSAIN</t>
  </si>
  <si>
    <t>QAZI ALTAF HUSSAIN</t>
  </si>
  <si>
    <t>M MANSHA</t>
  </si>
  <si>
    <t>M LUQMAN</t>
  </si>
  <si>
    <t>KASHIF NADEEM</t>
  </si>
  <si>
    <t>M SHREEF</t>
  </si>
  <si>
    <t>M HANIF</t>
  </si>
  <si>
    <t>IBRAR UL HAQ</t>
  </si>
  <si>
    <t>AMEER SULTAN</t>
  </si>
  <si>
    <t>PROF JAVAID ASGHAR</t>
  </si>
  <si>
    <t>NISAR AHMAD</t>
  </si>
  <si>
    <t>03416239608</t>
  </si>
  <si>
    <t>03017575264</t>
  </si>
  <si>
    <t>03436531308</t>
  </si>
  <si>
    <t>03036575076</t>
  </si>
  <si>
    <t>03067429722</t>
  </si>
  <si>
    <t>03007348723</t>
  </si>
  <si>
    <t>03077885050</t>
  </si>
  <si>
    <t>03467041336</t>
  </si>
  <si>
    <t>03007346074</t>
  </si>
  <si>
    <t>03342211370</t>
  </si>
  <si>
    <t>03002839284</t>
  </si>
  <si>
    <t>03338371122</t>
  </si>
  <si>
    <t>03028239836</t>
  </si>
  <si>
    <t>03047220150</t>
  </si>
  <si>
    <t>03027924337</t>
  </si>
  <si>
    <t>03054894025</t>
  </si>
  <si>
    <t>03036511819</t>
  </si>
  <si>
    <t>03006884665</t>
  </si>
  <si>
    <t>03077323349</t>
  </si>
  <si>
    <t>03042163437</t>
  </si>
  <si>
    <t>03017792593</t>
  </si>
  <si>
    <t>03068681350</t>
  </si>
  <si>
    <t>03078835755</t>
  </si>
  <si>
    <t>03026101142</t>
  </si>
  <si>
    <t>03028522435</t>
  </si>
  <si>
    <t>03047378236</t>
  </si>
  <si>
    <t>03064092152</t>
  </si>
  <si>
    <t>03077096956</t>
  </si>
  <si>
    <t>03022821474</t>
  </si>
  <si>
    <t>03076643576</t>
  </si>
  <si>
    <t>03089213464</t>
  </si>
  <si>
    <t>03067498814</t>
  </si>
  <si>
    <t>03097373858</t>
  </si>
  <si>
    <t>03027340485</t>
  </si>
  <si>
    <t>03033131615</t>
  </si>
  <si>
    <t>03484280003</t>
  </si>
  <si>
    <t>03004890589</t>
  </si>
  <si>
    <t>03047826784</t>
  </si>
  <si>
    <t>03116524784</t>
  </si>
  <si>
    <t>03005071601</t>
  </si>
  <si>
    <t>03327620325</t>
  </si>
  <si>
    <t>03047280095</t>
  </si>
  <si>
    <t>03017413396</t>
  </si>
  <si>
    <t>03029492418</t>
  </si>
  <si>
    <t>03014881345</t>
  </si>
  <si>
    <t>03037581499</t>
  </si>
  <si>
    <t>03075433948</t>
  </si>
  <si>
    <t>03094828994</t>
  </si>
  <si>
    <t>03007184596</t>
  </si>
  <si>
    <t>03436998551</t>
  </si>
  <si>
    <t>15000+2000</t>
  </si>
  <si>
    <t>1813/16-05-19</t>
  </si>
  <si>
    <t>1838/17-05-19</t>
  </si>
  <si>
    <t>2726/18-05-19</t>
  </si>
  <si>
    <t>1820/16-05-19</t>
  </si>
  <si>
    <t>1808/16-05-19</t>
  </si>
  <si>
    <t>1819/16-05-19</t>
  </si>
  <si>
    <t>2819/19-05-19</t>
  </si>
  <si>
    <t>2829/18-05-19</t>
  </si>
  <si>
    <t>1880/20-05-19</t>
  </si>
  <si>
    <t>2702/18-05-19</t>
  </si>
  <si>
    <t>2837/18-05-19</t>
  </si>
  <si>
    <t>1824/17-05-19</t>
  </si>
  <si>
    <t>1837/17-05-19</t>
  </si>
  <si>
    <t>1887/20-05-19</t>
  </si>
  <si>
    <t>1809/16-05-19</t>
  </si>
  <si>
    <t>1885/20-05-19</t>
  </si>
  <si>
    <t>2822/18-05-19</t>
  </si>
  <si>
    <t>2657/21-05-19</t>
  </si>
  <si>
    <t>2671/21-05-19</t>
  </si>
  <si>
    <t>2701/18-05-19</t>
  </si>
  <si>
    <t>1882/20-05-19</t>
  </si>
  <si>
    <t>2813/18-05-19</t>
  </si>
  <si>
    <t>1833/17-05-19</t>
  </si>
  <si>
    <t>1886/20-05-19</t>
  </si>
  <si>
    <t>6005/24-09-19</t>
  </si>
  <si>
    <t>2818/18-05-19</t>
  </si>
  <si>
    <t>2812/18-05-19</t>
  </si>
  <si>
    <t>2838/18-05-19</t>
  </si>
  <si>
    <t>2830/18-05-19</t>
  </si>
  <si>
    <t>2836/18-05-19</t>
  </si>
  <si>
    <t>0150/15-07-19</t>
  </si>
  <si>
    <t>2844/18-05-19</t>
  </si>
  <si>
    <t>2734/18-05-19</t>
  </si>
  <si>
    <t>2778/20-05-19</t>
  </si>
  <si>
    <t>2840/18-05-19</t>
  </si>
  <si>
    <t>2577/20-05-19</t>
  </si>
  <si>
    <t>6010/26-09-19</t>
  </si>
  <si>
    <t>2658/21-05-19</t>
  </si>
  <si>
    <t>2704/18-05-19</t>
  </si>
  <si>
    <t>2807/17-05-19</t>
  </si>
  <si>
    <t>5071/05-08-19</t>
  </si>
  <si>
    <t>5037/31-07-19</t>
  </si>
  <si>
    <t>5010/30-07-19</t>
  </si>
  <si>
    <t>5146/22-08-19</t>
  </si>
  <si>
    <t>2477/27-07-19</t>
  </si>
  <si>
    <t>5251/03-09-19</t>
  </si>
  <si>
    <t>5280/07-09-19</t>
  </si>
  <si>
    <t>5172/29-08-19</t>
  </si>
  <si>
    <t>2475/29-07-19</t>
  </si>
  <si>
    <t>5224/28-08-19</t>
  </si>
  <si>
    <t>5147/22-08-19</t>
  </si>
  <si>
    <t>2491/29-07-19</t>
  </si>
  <si>
    <t>5189/21-19</t>
  </si>
  <si>
    <t>2488/29-07-19</t>
  </si>
  <si>
    <t>5242/30-08-19</t>
  </si>
  <si>
    <t>5038/31-07-19</t>
  </si>
  <si>
    <t>5152/22-28-19</t>
  </si>
  <si>
    <t>5161/24-08-19</t>
  </si>
  <si>
    <t>5082/06-08-19</t>
  </si>
  <si>
    <t>5100/22-08-19</t>
  </si>
  <si>
    <t>5298/20-09-19</t>
  </si>
  <si>
    <t>5149/22-08-19</t>
  </si>
  <si>
    <t>2496/29-07-19</t>
  </si>
  <si>
    <t>5011/30-07-19</t>
  </si>
  <si>
    <t>5190/21-09-19</t>
  </si>
  <si>
    <t>2499/29-07-19</t>
  </si>
  <si>
    <t>5230/28-08-19</t>
  </si>
  <si>
    <t>5085/06-08-19</t>
  </si>
  <si>
    <t>5016/31-07-19</t>
  </si>
  <si>
    <t>5135/07-08-19</t>
  </si>
  <si>
    <t>5058/01-08-19</t>
  </si>
  <si>
    <t>6058/07-10-19</t>
  </si>
  <si>
    <t>6013/26-09-19</t>
  </si>
  <si>
    <t>M ZORAIZ</t>
  </si>
  <si>
    <t>AMIR HAFI</t>
  </si>
  <si>
    <t xml:space="preserve">M USMAN </t>
  </si>
  <si>
    <t>M TALHA RANDHAWA</t>
  </si>
  <si>
    <t>ALI AKRAM</t>
  </si>
  <si>
    <t>FAISL MAHMOOD</t>
  </si>
  <si>
    <t>UMAR FAROOQ</t>
  </si>
  <si>
    <t>AZEEM SHOUKAT</t>
  </si>
  <si>
    <t>SIBT E HAIDER</t>
  </si>
  <si>
    <t>DIL AHMAD</t>
  </si>
  <si>
    <t>ASAD YOUNAS</t>
  </si>
  <si>
    <t>HAMMAD Rasool</t>
  </si>
  <si>
    <t>ALI HAMZA</t>
  </si>
  <si>
    <t>SAMI SAEED</t>
  </si>
  <si>
    <t>M KAMIL</t>
  </si>
  <si>
    <t>SAIF UR REHMAN</t>
  </si>
  <si>
    <t>FAZAL ABBAS</t>
  </si>
  <si>
    <t>ADEEL SHOAIB</t>
  </si>
  <si>
    <t>M SAMIULLAH</t>
  </si>
  <si>
    <t>M JAHANGEER</t>
  </si>
  <si>
    <t>M SHAHBAZ</t>
  </si>
  <si>
    <t>ADEEL AKRAM</t>
  </si>
  <si>
    <t>M AZEEM</t>
  </si>
  <si>
    <t>SAMIULLAH</t>
  </si>
  <si>
    <t>M SHEHZAD</t>
  </si>
  <si>
    <t>RAMZAN ASGHAR</t>
  </si>
  <si>
    <t>SHOAIB AKHTAR</t>
  </si>
  <si>
    <t>FAISAL HASSAN</t>
  </si>
  <si>
    <t>HAMZA KHALEEQ</t>
  </si>
  <si>
    <t>M MUBASHIR</t>
  </si>
  <si>
    <t>AMANULLAH</t>
  </si>
  <si>
    <t>FAIZ AHMAD</t>
  </si>
  <si>
    <t>M AHSAN</t>
  </si>
  <si>
    <t>AZHAR SAQLAIN</t>
  </si>
  <si>
    <t>UMAR USMAN</t>
  </si>
  <si>
    <t xml:space="preserve">IRFAN KHAN </t>
  </si>
  <si>
    <t>M USAMA</t>
  </si>
  <si>
    <t>ZAIN IJAZ</t>
  </si>
  <si>
    <t>IHSAN ISMAIL</t>
  </si>
  <si>
    <t>UMAIS AJMAL</t>
  </si>
  <si>
    <t>ABU TALHA</t>
  </si>
  <si>
    <t>KALEEM ATEEQ</t>
  </si>
  <si>
    <t>HAMMAD CH IQBAL</t>
  </si>
  <si>
    <t>M EHSAN DANISH</t>
  </si>
  <si>
    <t>ARSLAN NAWAZ</t>
  </si>
  <si>
    <t>M ISMAIL</t>
  </si>
  <si>
    <t>ZEESHAN SHAFIQ</t>
  </si>
  <si>
    <t>AHSAN SHAHZAD</t>
  </si>
  <si>
    <t>M AHSAN SAEED</t>
  </si>
  <si>
    <t>M YASEEN</t>
  </si>
  <si>
    <t>TARIQ MAHMOOD</t>
  </si>
  <si>
    <t>FAROOQ AHMAD</t>
  </si>
  <si>
    <t>JAWAD HAIDER</t>
  </si>
  <si>
    <t>M SHAFIQ</t>
  </si>
  <si>
    <t>GHULAM RASOOL</t>
  </si>
  <si>
    <t>M SAEED ASIF</t>
  </si>
  <si>
    <t>M AFZAL</t>
  </si>
  <si>
    <t>HABIB UR REHMAN</t>
  </si>
  <si>
    <t>M IMTIAZ</t>
  </si>
  <si>
    <t>M KHALIL</t>
  </si>
  <si>
    <t>M HUSSAIN BHATTI</t>
  </si>
  <si>
    <t>M JAMEEL</t>
  </si>
  <si>
    <t>SAIF ULLAH</t>
  </si>
  <si>
    <t>GHULAM FAREED</t>
  </si>
  <si>
    <t>FIDA HUSSAIN</t>
  </si>
  <si>
    <t>LAIQAT ALI</t>
  </si>
  <si>
    <t>KHALEEQ UR REHMAN</t>
  </si>
  <si>
    <t>M ISHAQ</t>
  </si>
  <si>
    <t>ATTA MUHAMMAD</t>
  </si>
  <si>
    <t>AHMAD BUKSH</t>
  </si>
  <si>
    <t>ALLAH DAD</t>
  </si>
  <si>
    <t>MUSHTAQ ELAHI</t>
  </si>
  <si>
    <t>ABDUL RAZZAQ</t>
  </si>
  <si>
    <t>NASEEM KHAN</t>
  </si>
  <si>
    <t>RIAZ AHMAD</t>
  </si>
  <si>
    <t>IJAZ AHMAD IJAZ</t>
  </si>
  <si>
    <t>M AJMAL</t>
  </si>
  <si>
    <t>ATIQ ULLAH KHAN</t>
  </si>
  <si>
    <t xml:space="preserve">JAVED IQBAL </t>
  </si>
  <si>
    <t>HAQ NAWAZ</t>
  </si>
  <si>
    <t>RANA SADAQAT</t>
  </si>
  <si>
    <t>RIAZ HUSSAIN</t>
  </si>
  <si>
    <t>SAEED AHMAD</t>
  </si>
  <si>
    <t>03026762723</t>
  </si>
  <si>
    <t>03017206050</t>
  </si>
  <si>
    <t>03053391162</t>
  </si>
  <si>
    <t>03047108599</t>
  </si>
  <si>
    <t>03017208137</t>
  </si>
  <si>
    <t>03078266998</t>
  </si>
  <si>
    <t>03040728400</t>
  </si>
  <si>
    <t>03067437793</t>
  </si>
  <si>
    <t>03065237179</t>
  </si>
  <si>
    <t>03023578372</t>
  </si>
  <si>
    <t>03064049829</t>
  </si>
  <si>
    <t>03013107325</t>
  </si>
  <si>
    <t>03484798216</t>
  </si>
  <si>
    <t>03176647651</t>
  </si>
  <si>
    <t>03027817416</t>
  </si>
  <si>
    <t>03056914493</t>
  </si>
  <si>
    <t>03037273123</t>
  </si>
  <si>
    <t>03095727152</t>
  </si>
  <si>
    <t>03038038602</t>
  </si>
  <si>
    <t>03027818918</t>
  </si>
  <si>
    <t>03097252952</t>
  </si>
  <si>
    <t>03457300233</t>
  </si>
  <si>
    <t>03093427121</t>
  </si>
  <si>
    <t>03106841836</t>
  </si>
  <si>
    <t>03066509551</t>
  </si>
  <si>
    <t>03045486359</t>
  </si>
  <si>
    <t>03086311905</t>
  </si>
  <si>
    <t>03332068302</t>
  </si>
  <si>
    <t>03006356375</t>
  </si>
  <si>
    <t>03007839158</t>
  </si>
  <si>
    <t>03039632483</t>
  </si>
  <si>
    <t>03054341926</t>
  </si>
  <si>
    <t>03008851620</t>
  </si>
  <si>
    <t>03037978521</t>
  </si>
  <si>
    <t>03007354551</t>
  </si>
  <si>
    <t>03427250824</t>
  </si>
  <si>
    <t>03336106018</t>
  </si>
  <si>
    <t>03057311619</t>
  </si>
  <si>
    <t>03068205423</t>
  </si>
  <si>
    <t>03326143503</t>
  </si>
  <si>
    <t>03083540156</t>
  </si>
  <si>
    <t>03007878261</t>
  </si>
  <si>
    <t>03327162873</t>
  </si>
  <si>
    <t>03467168316</t>
  </si>
  <si>
    <t>03064564661</t>
  </si>
  <si>
    <t>5726/04-09-19</t>
  </si>
  <si>
    <t>2708/18-05-19</t>
  </si>
  <si>
    <t>2551/20-05-19</t>
  </si>
  <si>
    <t>2732/18-05-19</t>
  </si>
  <si>
    <t>2809/17-05-19</t>
  </si>
  <si>
    <t>2703/18-05-19</t>
  </si>
  <si>
    <t>2746/29-05-19</t>
  </si>
  <si>
    <t>2669/21-05-19</t>
  </si>
  <si>
    <t>2745/29-07-19</t>
  </si>
  <si>
    <t>6008/25-09-19</t>
  </si>
  <si>
    <t>2705/18-05-19</t>
  </si>
  <si>
    <t>2656/21-05-19</t>
  </si>
  <si>
    <t>2723/18-05-19</t>
  </si>
  <si>
    <t>2707/18-05-19</t>
  </si>
  <si>
    <t>2864/16-05-19</t>
  </si>
  <si>
    <t>2727/18-05-19</t>
  </si>
  <si>
    <t>2558/20-05-19</t>
  </si>
  <si>
    <t>2679/22-05-19</t>
  </si>
  <si>
    <t>2564/20-05-19</t>
  </si>
  <si>
    <t>2501/20-05-19</t>
  </si>
  <si>
    <t>5095/19-08-19</t>
  </si>
  <si>
    <t>2846/18-05-19</t>
  </si>
  <si>
    <t>2804/17-05-19</t>
  </si>
  <si>
    <t>2653/21-05-19</t>
  </si>
  <si>
    <t>5193/21-09-19</t>
  </si>
  <si>
    <t>2806/17-05-19</t>
  </si>
  <si>
    <t>2706/18-05-19</t>
  </si>
  <si>
    <t>1900/20-05-19</t>
  </si>
  <si>
    <t>2594/21-05-19</t>
  </si>
  <si>
    <t>2831/18-05-19</t>
  </si>
  <si>
    <t>2651/21-05-19</t>
  </si>
  <si>
    <t>2810/17-05-19</t>
  </si>
  <si>
    <t>2575/20-05-19</t>
  </si>
  <si>
    <t>5148/22-08-19</t>
  </si>
  <si>
    <t>2811-18-05-19</t>
  </si>
  <si>
    <t>2919/18-05-19</t>
  </si>
  <si>
    <t>2680/22-05-19</t>
  </si>
  <si>
    <t>2728/18-05-19</t>
  </si>
  <si>
    <t>5094/10-18-19</t>
  </si>
  <si>
    <t>5260/03-09-19</t>
  </si>
  <si>
    <t>5143/22-08-19</t>
  </si>
  <si>
    <t>5232/28-08-19</t>
  </si>
  <si>
    <t>5192/21-09-19</t>
  </si>
  <si>
    <t>5081/06-08-19</t>
  </si>
  <si>
    <t>5217/25-08-19</t>
  </si>
  <si>
    <t>5165/26-08-19</t>
  </si>
  <si>
    <t>2739/27-07-19</t>
  </si>
  <si>
    <t>5181/21-09-19</t>
  </si>
  <si>
    <t>2740/29-07-19</t>
  </si>
  <si>
    <t>5225/28-08-19</t>
  </si>
  <si>
    <t>5288/17-09-19</t>
  </si>
  <si>
    <t>5254/03-09-19</t>
  </si>
  <si>
    <t>6059/07-10-19</t>
  </si>
  <si>
    <t>M IRFAN</t>
  </si>
  <si>
    <t>M MUBASHIR ISHAQ</t>
  </si>
  <si>
    <t>M AHTISHAM</t>
  </si>
  <si>
    <t>M USAMA RAZA</t>
  </si>
  <si>
    <t>USAMA RASHEED</t>
  </si>
  <si>
    <t>ARSLAN SHER</t>
  </si>
  <si>
    <t>ABDUL MANAN</t>
  </si>
  <si>
    <t>TALHA ISHFAQ</t>
  </si>
  <si>
    <t>HAMID QAYYUM</t>
  </si>
  <si>
    <t>M WAQAS</t>
  </si>
  <si>
    <t>M RAHEEL</t>
  </si>
  <si>
    <t>FAISAL MUKHTAR</t>
  </si>
  <si>
    <t>M UMAR</t>
  </si>
  <si>
    <t>ZAIN RASHID</t>
  </si>
  <si>
    <t>M ARSLAN</t>
  </si>
  <si>
    <t>M ZAHID</t>
  </si>
  <si>
    <t>HFZ MUBASHAR JUNAID</t>
  </si>
  <si>
    <t xml:space="preserve">TALHA RASHEED </t>
  </si>
  <si>
    <t>KHALID FARYAD</t>
  </si>
  <si>
    <t>MUDASSIR FAROOQ</t>
  </si>
  <si>
    <t>TAYYEB ASHIQ</t>
  </si>
  <si>
    <t>M ARBAZ</t>
  </si>
  <si>
    <t>USMAN ALI</t>
  </si>
  <si>
    <t>HAMZA ALI</t>
  </si>
  <si>
    <t>USAMA NASEER</t>
  </si>
  <si>
    <t>M FAIZAN SAEED</t>
  </si>
  <si>
    <t>M ARIF</t>
  </si>
  <si>
    <t>M UMAIR</t>
  </si>
  <si>
    <t>M IHSAN</t>
  </si>
  <si>
    <t>ALI ANSAR</t>
  </si>
  <si>
    <t>UMAR NAZIR</t>
  </si>
  <si>
    <t>M REHMAN ULLAH</t>
  </si>
  <si>
    <t>M RAZA BHATTI</t>
  </si>
  <si>
    <t>M RASHEED</t>
  </si>
  <si>
    <t>FALAK SHER</t>
  </si>
  <si>
    <t>PARVAEEZ AHMAD</t>
  </si>
  <si>
    <t>ABDUL QAYYUM</t>
  </si>
  <si>
    <t>SHAKOOR AHMAD</t>
  </si>
  <si>
    <t>MUKHTAR AHMAD</t>
  </si>
  <si>
    <t>RANA SALEEM</t>
  </si>
  <si>
    <t>M SADDIQUE</t>
  </si>
  <si>
    <t>RASHID MEHMOOD</t>
  </si>
  <si>
    <t>RASHEED AHMAD</t>
  </si>
  <si>
    <t>FARYAD ALI</t>
  </si>
  <si>
    <t>FIAZ BUKHSH</t>
  </si>
  <si>
    <t>M ASHIQ</t>
  </si>
  <si>
    <t>JAVAID TAHIR</t>
  </si>
  <si>
    <t>AMANT ALI</t>
  </si>
  <si>
    <t>M ASRAF</t>
  </si>
  <si>
    <t>UMAR HAYAT</t>
  </si>
  <si>
    <t>KHALID JAVED</t>
  </si>
  <si>
    <t>NASEER AHMAD</t>
  </si>
  <si>
    <t>M SAEED</t>
  </si>
  <si>
    <t>M HAJJI</t>
  </si>
  <si>
    <t>ABDUL GHAFOOR</t>
  </si>
  <si>
    <t>ATTAULLAH</t>
  </si>
  <si>
    <t>NOOR AHMAD</t>
  </si>
  <si>
    <t>ASHIQ HUSSAIN</t>
  </si>
  <si>
    <t>M NAZIR</t>
  </si>
  <si>
    <t>03088154871</t>
  </si>
  <si>
    <t>03437326687</t>
  </si>
  <si>
    <t>03051606800</t>
  </si>
  <si>
    <t>03443869173</t>
  </si>
  <si>
    <t>03126400300</t>
  </si>
  <si>
    <t>03036724119</t>
  </si>
  <si>
    <t>03060778050</t>
  </si>
  <si>
    <t>03446652103</t>
  </si>
  <si>
    <t>03017411651</t>
  </si>
  <si>
    <t>03056974291</t>
  </si>
  <si>
    <t>03467914737</t>
  </si>
  <si>
    <t>03166306766</t>
  </si>
  <si>
    <t>03004398447</t>
  </si>
  <si>
    <t>03136914257</t>
  </si>
  <si>
    <t>03367762891</t>
  </si>
  <si>
    <t>03007739088</t>
  </si>
  <si>
    <t>03017991364</t>
  </si>
  <si>
    <t>03087400300</t>
  </si>
  <si>
    <t>03348052470</t>
  </si>
  <si>
    <t>03017947071</t>
  </si>
  <si>
    <t>03045064859</t>
  </si>
  <si>
    <t>03037550197</t>
  </si>
  <si>
    <t>03012158136</t>
  </si>
  <si>
    <t>03017823079</t>
  </si>
  <si>
    <t>03015161136</t>
  </si>
  <si>
    <t>03366365309</t>
  </si>
  <si>
    <t>03069102891</t>
  </si>
  <si>
    <t>03015727237</t>
  </si>
  <si>
    <t>03040050140</t>
  </si>
  <si>
    <t>03066857431</t>
  </si>
  <si>
    <t>03029835118</t>
  </si>
  <si>
    <t>03457304329</t>
  </si>
  <si>
    <t>03078141856</t>
  </si>
  <si>
    <t>03127828185</t>
  </si>
  <si>
    <t>03074824387</t>
  </si>
  <si>
    <t>03067855771</t>
  </si>
  <si>
    <t>03116020680</t>
  </si>
  <si>
    <t>03457471315</t>
  </si>
  <si>
    <t>03047707235</t>
  </si>
  <si>
    <t>1889/20-15-19</t>
  </si>
  <si>
    <t>2458/23-05-19</t>
  </si>
  <si>
    <t>844/17+05-19</t>
  </si>
  <si>
    <t>2595/21-05-19</t>
  </si>
  <si>
    <t>2710/18-05-19</t>
  </si>
  <si>
    <t>1842/17-05-19</t>
  </si>
  <si>
    <t>1831/17-05-19</t>
  </si>
  <si>
    <t>1818/16-05-19</t>
  </si>
  <si>
    <t>2712/18-05-19</t>
  </si>
  <si>
    <t>1897/20-05-19</t>
  </si>
  <si>
    <t>1896/20-05-19</t>
  </si>
  <si>
    <t>2455/03-05-19</t>
  </si>
  <si>
    <t>2839/18-05-19</t>
  </si>
  <si>
    <t>2591/21-05-19</t>
  </si>
  <si>
    <t>2826/18-05-19</t>
  </si>
  <si>
    <t>2729/18-05-19</t>
  </si>
  <si>
    <t>1839/17-05-19</t>
  </si>
  <si>
    <t>2883/20-05-19</t>
  </si>
  <si>
    <t>2596/21-05-19</t>
  </si>
  <si>
    <t>1872/20-05-19</t>
  </si>
  <si>
    <t>1840/17-05-19</t>
  </si>
  <si>
    <t>1879/20-05-19</t>
  </si>
  <si>
    <t>1830/17-05-19</t>
  </si>
  <si>
    <t>1832/17-05-19</t>
  </si>
  <si>
    <t>2665/21-05-19</t>
  </si>
  <si>
    <t>2709/18-05-19</t>
  </si>
  <si>
    <t>2716/18-05-19</t>
  </si>
  <si>
    <t>1892/20-05-19</t>
  </si>
  <si>
    <t>2681/22-05-19</t>
  </si>
  <si>
    <t>2463/23-05-19</t>
  </si>
  <si>
    <t>1898/20-05-19</t>
  </si>
  <si>
    <t>2711/18-05-19</t>
  </si>
  <si>
    <t>2673/22-05-19</t>
  </si>
  <si>
    <t>5092/08-08-19</t>
  </si>
  <si>
    <t>5069/05-08-19</t>
  </si>
  <si>
    <t>5202/22-08-19</t>
  </si>
  <si>
    <t>5252/03-09-19</t>
  </si>
  <si>
    <t>6064/07-10-19</t>
  </si>
  <si>
    <t>5218/26-08-19</t>
  </si>
  <si>
    <t>6062/07-10-19</t>
  </si>
  <si>
    <t>6063/07-10-19</t>
  </si>
  <si>
    <t>2487/29-07-19</t>
  </si>
  <si>
    <t>2486/29-07-19</t>
  </si>
  <si>
    <t>3046/07-08-19</t>
  </si>
  <si>
    <t>5208/23-08-19</t>
  </si>
  <si>
    <t>5168/29-08-19</t>
  </si>
  <si>
    <t>5162/24-08-19</t>
  </si>
  <si>
    <t>358/6-8-190</t>
  </si>
  <si>
    <t>5041/31-07-19</t>
  </si>
  <si>
    <t>5281/11-09-19</t>
  </si>
  <si>
    <t>5150/22-8-19</t>
  </si>
  <si>
    <t>5070/05-08-19</t>
  </si>
  <si>
    <t>6061/07-10-19</t>
  </si>
  <si>
    <t>6012/26-09-19</t>
  </si>
  <si>
    <t>5239/30-08-19</t>
  </si>
  <si>
    <t>FA</t>
  </si>
  <si>
    <t>M HANZLAH</t>
  </si>
  <si>
    <t>HABIBULLAH</t>
  </si>
  <si>
    <t>MANZOOR HUSSAIN</t>
  </si>
  <si>
    <t>HAMZA ASHRAF</t>
  </si>
  <si>
    <t>M NUMAM</t>
  </si>
  <si>
    <t>M SHOAIB AKHTR</t>
  </si>
  <si>
    <t>HAMZA ASHFAQ</t>
  </si>
  <si>
    <t>ASHFAQ AHMAD</t>
  </si>
  <si>
    <t>M SHERAZ NAEEM</t>
  </si>
  <si>
    <t>M GHIAS</t>
  </si>
  <si>
    <t>AWAIS SHOKAT</t>
  </si>
  <si>
    <t>M BUKSH</t>
  </si>
  <si>
    <t>M UMAR FAROOQ</t>
  </si>
  <si>
    <t>M GULFAM</t>
  </si>
  <si>
    <t>AZHAR  IQBAL</t>
  </si>
  <si>
    <t>ABDUL GHAFFAR</t>
  </si>
  <si>
    <t>MOBEEN AHMAD</t>
  </si>
  <si>
    <t>HASSAN NASEEM</t>
  </si>
  <si>
    <t xml:space="preserve">M SALMAN </t>
  </si>
  <si>
    <t>IHTISHAM AFZAL</t>
  </si>
  <si>
    <t>MUZAMMIL ASHRAF</t>
  </si>
  <si>
    <t>M SAJJAD RASHEED</t>
  </si>
  <si>
    <t>ADNAN ALI</t>
  </si>
  <si>
    <t>AMIR RAZZAQ</t>
  </si>
  <si>
    <t>M KHURAM SALEEM</t>
  </si>
  <si>
    <t>M SAJID</t>
  </si>
  <si>
    <t>DANISH RASHEED</t>
  </si>
  <si>
    <t>M MOHSIN AKHTAR</t>
  </si>
  <si>
    <t>M WAHEED</t>
  </si>
  <si>
    <t>FAISAL</t>
  </si>
  <si>
    <t>AMMAR</t>
  </si>
  <si>
    <t>ABRAR BABAR</t>
  </si>
  <si>
    <t>HUZAIFA HAIDER BAIG</t>
  </si>
  <si>
    <t>M ANSAR</t>
  </si>
  <si>
    <t>M AMJAD</t>
  </si>
  <si>
    <t>KHUZAIMA ABDIL ISLAM</t>
  </si>
  <si>
    <t>USMAN</t>
  </si>
  <si>
    <t>DILAWAR</t>
  </si>
  <si>
    <t>M SHAHRAZ SHARIF</t>
  </si>
  <si>
    <t>SHAHZAD AHMAD</t>
  </si>
  <si>
    <t>MUBASHAR IMRAN</t>
  </si>
  <si>
    <t>ALI SHAMRAIZ</t>
  </si>
  <si>
    <t>NOMAN TAHIR</t>
  </si>
  <si>
    <t>SAIFULLAH AYOUB</t>
  </si>
  <si>
    <t>AMIR SHEHZAD</t>
  </si>
  <si>
    <t>M SHIRAZ</t>
  </si>
  <si>
    <t>NAEEM UL HASSAN</t>
  </si>
  <si>
    <t>M SALMAN</t>
  </si>
  <si>
    <t>SHOKAT ALI</t>
  </si>
  <si>
    <t>SHAIKH M ATHAR</t>
  </si>
  <si>
    <t>ZAFAR IQBAL</t>
  </si>
  <si>
    <t>M ALLAH RAKHA</t>
  </si>
  <si>
    <t>ABDUL RAUF</t>
  </si>
  <si>
    <t>M NASEEM</t>
  </si>
  <si>
    <t>SAJJIAD ALI</t>
  </si>
  <si>
    <t xml:space="preserve">M RAZZAQ </t>
  </si>
  <si>
    <t>M JAFAR HUSSAIN</t>
  </si>
  <si>
    <t>AKHTAR ALI</t>
  </si>
  <si>
    <t>ABDUL MAJEED</t>
  </si>
  <si>
    <t>BHAG DIN</t>
  </si>
  <si>
    <t>M AKBAR</t>
  </si>
  <si>
    <t>MIRZA GHULAM HAIDER BAIG</t>
  </si>
  <si>
    <t>M IBRAHIM</t>
  </si>
  <si>
    <t>ABDUL ISLAM</t>
  </si>
  <si>
    <t>M SHARIF</t>
  </si>
  <si>
    <t>ARSHAD MEHMOOD</t>
  </si>
  <si>
    <t>M AYOUB</t>
  </si>
  <si>
    <t>ASGHAR</t>
  </si>
  <si>
    <t>M YAQOOB</t>
  </si>
  <si>
    <t>03057799114</t>
  </si>
  <si>
    <t>03067833055</t>
  </si>
  <si>
    <t>03056562948</t>
  </si>
  <si>
    <t>03455832639</t>
  </si>
  <si>
    <t>03076694142</t>
  </si>
  <si>
    <t>03061607041</t>
  </si>
  <si>
    <t>03017825743</t>
  </si>
  <si>
    <t>03047355028</t>
  </si>
  <si>
    <t>03337651057</t>
  </si>
  <si>
    <t>03086062255</t>
  </si>
  <si>
    <t>03017819253</t>
  </si>
  <si>
    <t>03006897749</t>
  </si>
  <si>
    <t>03078150160</t>
  </si>
  <si>
    <t>03093132889</t>
  </si>
  <si>
    <t>03052630397</t>
  </si>
  <si>
    <t>03027315944</t>
  </si>
  <si>
    <t>03327225139</t>
  </si>
  <si>
    <t>03057662008</t>
  </si>
  <si>
    <t>03034966974</t>
  </si>
  <si>
    <t>03083549810</t>
  </si>
  <si>
    <t>03007510457</t>
  </si>
  <si>
    <t>03015338350</t>
  </si>
  <si>
    <t>03467193970</t>
  </si>
  <si>
    <t>03037834168</t>
  </si>
  <si>
    <t>03337656148</t>
  </si>
  <si>
    <t>03041533753</t>
  </si>
  <si>
    <t>03006829166</t>
  </si>
  <si>
    <t>03067748003</t>
  </si>
  <si>
    <t>03070070104</t>
  </si>
  <si>
    <t>03036773073</t>
  </si>
  <si>
    <t>03046974545</t>
  </si>
  <si>
    <t>03006372522</t>
  </si>
  <si>
    <t>03236266134</t>
  </si>
  <si>
    <t>03056969317</t>
  </si>
  <si>
    <t>03030709037</t>
  </si>
  <si>
    <t>03017831846</t>
  </si>
  <si>
    <t>03347735235</t>
  </si>
  <si>
    <t>03051000140</t>
  </si>
  <si>
    <t>03002936917</t>
  </si>
  <si>
    <t>03060360785</t>
  </si>
  <si>
    <t>03009410392</t>
  </si>
  <si>
    <t>03088402900</t>
  </si>
  <si>
    <t>03017492094</t>
  </si>
  <si>
    <t>5000+3000</t>
  </si>
  <si>
    <t>2588/21-05-19</t>
  </si>
  <si>
    <t>2715/18-05-19</t>
  </si>
  <si>
    <t>2572/20-05-19</t>
  </si>
  <si>
    <t>1843/17-05-19</t>
  </si>
  <si>
    <t>2580/20-05-19</t>
  </si>
  <si>
    <t>2805/17-05-19</t>
  </si>
  <si>
    <t>2574/20-05-19</t>
  </si>
  <si>
    <t>2823/18-05-19</t>
  </si>
  <si>
    <t>2662/21-05-19</t>
  </si>
  <si>
    <t>2682/22-05-19</t>
  </si>
  <si>
    <t>1874/20-05-19</t>
  </si>
  <si>
    <t>1834/17-05-19</t>
  </si>
  <si>
    <t>2571/20-05-19</t>
  </si>
  <si>
    <t>2733/18-05-19</t>
  </si>
  <si>
    <t>2865/16-05-19</t>
  </si>
  <si>
    <t>2565/20-05-19</t>
  </si>
  <si>
    <t>5299/20-09-19</t>
  </si>
  <si>
    <t>1891/20-05-19</t>
  </si>
  <si>
    <t>2683/22-05-19</t>
  </si>
  <si>
    <t>2559/20-05-19</t>
  </si>
  <si>
    <t>2684/22-05-19</t>
  </si>
  <si>
    <t>2560/20-05-19</t>
  </si>
  <si>
    <t>1846/5226/17-5-19/28-05-19</t>
  </si>
  <si>
    <t>2414/26-05-19</t>
  </si>
  <si>
    <t>2586/21-05-19</t>
  </si>
  <si>
    <t>1817/16-05-19</t>
  </si>
  <si>
    <t>6060/07-10-19</t>
  </si>
  <si>
    <t>5233/29-08-19</t>
  </si>
  <si>
    <t>AREEB UR REHMAN</t>
  </si>
  <si>
    <t>M USMAN FAROOQI</t>
  </si>
  <si>
    <t>ABU ZER SAED</t>
  </si>
  <si>
    <t>M QAMAR</t>
  </si>
  <si>
    <t>AWAIS TAHIR</t>
  </si>
  <si>
    <t>ABU SUFYAN</t>
  </si>
  <si>
    <t>MIRZA M USMAN</t>
  </si>
  <si>
    <t>WAQAS HUSSAIN TUMASSAM</t>
  </si>
  <si>
    <t>TALHA AHTISHAM</t>
  </si>
  <si>
    <t>TALHA</t>
  </si>
  <si>
    <t>ARSLAN AMIR</t>
  </si>
  <si>
    <t>ABDUL MOAIZ</t>
  </si>
  <si>
    <t>WASIF HUSSAIN</t>
  </si>
  <si>
    <t>HAMID SOHAIL</t>
  </si>
  <si>
    <t>ARSLAN SAEED</t>
  </si>
  <si>
    <t>WAHEED AKRAM</t>
  </si>
  <si>
    <t>SIBT E HUSSAIN</t>
  </si>
  <si>
    <t>M RIZWAN</t>
  </si>
  <si>
    <t>M SHAHZAIB</t>
  </si>
  <si>
    <t>HANAN ALI</t>
  </si>
  <si>
    <t>TALHA WAHID</t>
  </si>
  <si>
    <t>SHOAIB IRSHAD</t>
  </si>
  <si>
    <t>ABDUL WASIQ</t>
  </si>
  <si>
    <t>M TYYAB</t>
  </si>
  <si>
    <t>ANSAR ABBASS</t>
  </si>
  <si>
    <t>ZEESHAN</t>
  </si>
  <si>
    <t>TOUSEEF AHMAD</t>
  </si>
  <si>
    <t>NAVEED ASHRAF</t>
  </si>
  <si>
    <t>TALHA ASHRAF</t>
  </si>
  <si>
    <t>WASEEM ARSHAD</t>
  </si>
  <si>
    <t>HAYDER MUSHTAQ</t>
  </si>
  <si>
    <t>TALHA SHOAIB HASHMI</t>
  </si>
  <si>
    <t>ARSLAN RAMZAN</t>
  </si>
  <si>
    <t>SYED FAHEEM ABBAS</t>
  </si>
  <si>
    <t>SYED HAMMAD UL HASSAN</t>
  </si>
  <si>
    <t>NAVEED UL REHMAN</t>
  </si>
  <si>
    <t>ATTA ULLAH FAROOQI</t>
  </si>
  <si>
    <t>SAEED IQBAL</t>
  </si>
  <si>
    <t>PAYOUB KHAN</t>
  </si>
  <si>
    <t>TAHIR YOUSAF</t>
  </si>
  <si>
    <t>JAMSHAID AHMAD</t>
  </si>
  <si>
    <t>AMIR SHAHZAD</t>
  </si>
  <si>
    <t xml:space="preserve">NIAZ AHMAD </t>
  </si>
  <si>
    <t>M SOHAIL</t>
  </si>
  <si>
    <t>AHMAD SHOAIB</t>
  </si>
  <si>
    <t>AZMAT SAEED</t>
  </si>
  <si>
    <t>GHULAM MUSTAFA</t>
  </si>
  <si>
    <t>RUSTAM KHAN</t>
  </si>
  <si>
    <t>M TARIQ</t>
  </si>
  <si>
    <t>PERVAIZ AKHTER</t>
  </si>
  <si>
    <t>ABDUL WAHID</t>
  </si>
  <si>
    <t>MUHAMMAD IRSHAD</t>
  </si>
  <si>
    <t>AFZAL</t>
  </si>
  <si>
    <t>RAMZAN</t>
  </si>
  <si>
    <t>AMEEN</t>
  </si>
  <si>
    <t>ARSHAD</t>
  </si>
  <si>
    <t>IMRAN ALI</t>
  </si>
  <si>
    <t>NAEEM TARIQ</t>
  </si>
  <si>
    <t>SHAH HUSSAIN</t>
  </si>
  <si>
    <t>03337651902</t>
  </si>
  <si>
    <t>03059170996</t>
  </si>
  <si>
    <t>03069765106</t>
  </si>
  <si>
    <t>03228895158</t>
  </si>
  <si>
    <t>03017838373</t>
  </si>
  <si>
    <t>03217374015</t>
  </si>
  <si>
    <t>03183345140</t>
  </si>
  <si>
    <t>03008395315</t>
  </si>
  <si>
    <t>03007198229</t>
  </si>
  <si>
    <t>03038823419</t>
  </si>
  <si>
    <t>03054370944</t>
  </si>
  <si>
    <t>03078695623</t>
  </si>
  <si>
    <t>03076975443</t>
  </si>
  <si>
    <t>03077001070</t>
  </si>
  <si>
    <t>03327722073</t>
  </si>
  <si>
    <t>03027421063</t>
  </si>
  <si>
    <t>03037045680</t>
  </si>
  <si>
    <t>03087836853</t>
  </si>
  <si>
    <t>03069225324</t>
  </si>
  <si>
    <t>03084233124</t>
  </si>
  <si>
    <t>03226220165</t>
  </si>
  <si>
    <t>03437610212</t>
  </si>
  <si>
    <t>03413880275</t>
  </si>
  <si>
    <t>03086887087</t>
  </si>
  <si>
    <t>03156794747</t>
  </si>
  <si>
    <t>03017575115</t>
  </si>
  <si>
    <t>03414502109</t>
  </si>
  <si>
    <t>03056884549</t>
  </si>
  <si>
    <t>03464816472</t>
  </si>
  <si>
    <t>03055131442</t>
  </si>
  <si>
    <t>03037375047</t>
  </si>
  <si>
    <t>03009166708</t>
  </si>
  <si>
    <t>03055323142</t>
  </si>
  <si>
    <t>0341195229</t>
  </si>
  <si>
    <t>03039197995</t>
  </si>
  <si>
    <t>03047852533</t>
  </si>
  <si>
    <t>03099800103</t>
  </si>
  <si>
    <t>03012040137</t>
  </si>
  <si>
    <t>03004103631</t>
  </si>
  <si>
    <t>03037274702</t>
  </si>
  <si>
    <t>03017451105</t>
  </si>
  <si>
    <t>03097252442</t>
  </si>
  <si>
    <t>03007625787</t>
  </si>
  <si>
    <t>03030210451</t>
  </si>
  <si>
    <t>2964/15-05-19</t>
  </si>
  <si>
    <t>2597/21-05-19</t>
  </si>
  <si>
    <t>2598/21-05-19</t>
  </si>
  <si>
    <t>5060/01-08-19</t>
  </si>
  <si>
    <t>2808/17-05-19</t>
  </si>
  <si>
    <t>1849/17-05-19</t>
  </si>
  <si>
    <t>1894/20-05-19</t>
  </si>
  <si>
    <t>2803/17-05-19</t>
  </si>
  <si>
    <t>5157/22-08-19</t>
  </si>
  <si>
    <t>1827/17-05-19</t>
  </si>
  <si>
    <t>1893/20-05-19</t>
  </si>
  <si>
    <t>2721/18-05-19</t>
  </si>
  <si>
    <t>2828/18-05-19</t>
  </si>
  <si>
    <t>2802/17-05-19</t>
  </si>
  <si>
    <t>2573/20-05-19</t>
  </si>
  <si>
    <t>2820/18-05-19</t>
  </si>
  <si>
    <t>2722/18-05-19</t>
  </si>
  <si>
    <t>2748/29-07-19</t>
  </si>
  <si>
    <t>2747/29-07-19</t>
  </si>
  <si>
    <t>1899/20-05-19</t>
  </si>
  <si>
    <t>2847/18-05-19</t>
  </si>
  <si>
    <t>2850/18-05-19</t>
  </si>
  <si>
    <t>1829/17-05-19</t>
  </si>
  <si>
    <t>1895/20-05-19</t>
  </si>
  <si>
    <t>2667/21-05-19</t>
  </si>
  <si>
    <t>2848/18-05-19</t>
  </si>
  <si>
    <t>5091/08-08-19</t>
  </si>
  <si>
    <t>2410/23-05-19</t>
  </si>
  <si>
    <t>2460/23-05-19</t>
  </si>
  <si>
    <t>2825/18-05-19</t>
  </si>
  <si>
    <t>2719/18-05-19</t>
  </si>
  <si>
    <t>2720/18-05-19</t>
  </si>
  <si>
    <t>1828/17-05-19</t>
  </si>
  <si>
    <t>5054/01-08-19</t>
  </si>
  <si>
    <t>2479/27-07-19</t>
  </si>
  <si>
    <t>6006/24-09-19</t>
  </si>
  <si>
    <t>5076/06-08-19</t>
  </si>
  <si>
    <t>5180/21-09-19</t>
  </si>
  <si>
    <t>5276/06-09-19</t>
  </si>
  <si>
    <t>5265/04-09-19</t>
  </si>
  <si>
    <t>5289/18-0919</t>
  </si>
  <si>
    <t>5083/06-08-19</t>
  </si>
  <si>
    <t>5129/06-08-19</t>
  </si>
  <si>
    <t>5199/28-09-19</t>
  </si>
  <si>
    <t>2475/27-07-19</t>
  </si>
  <si>
    <t>5207/23-08-19</t>
  </si>
  <si>
    <t>5043/01-08-19</t>
  </si>
  <si>
    <t>2744/29-07-19</t>
  </si>
  <si>
    <t>6023/02-10-19</t>
  </si>
  <si>
    <t>5191/21-09-19</t>
  </si>
  <si>
    <t>2497/29-07-19</t>
  </si>
  <si>
    <t>5212/24-08-19</t>
  </si>
  <si>
    <t>2478/27-07-19</t>
  </si>
  <si>
    <t>6009/25-09-19</t>
  </si>
  <si>
    <t>2474/27-07-19</t>
  </si>
  <si>
    <t>5164/26-08-19</t>
  </si>
  <si>
    <t>5145/22-08-19</t>
  </si>
  <si>
    <t>5261/04-09-19</t>
  </si>
  <si>
    <t>5173/21-09-19</t>
  </si>
  <si>
    <t>2494/29-07-19</t>
  </si>
  <si>
    <t>2743/29-07-19</t>
  </si>
  <si>
    <t>ICS4</t>
  </si>
  <si>
    <t>YASAR ARFAT</t>
  </si>
  <si>
    <t>M HAMZA AHMAD</t>
  </si>
  <si>
    <t>UMAIR AFZAL</t>
  </si>
  <si>
    <t>M SHAHID</t>
  </si>
  <si>
    <t>M ZIKRYA</t>
  </si>
  <si>
    <t>ABUBAKAR</t>
  </si>
  <si>
    <t>M KAMRAN</t>
  </si>
  <si>
    <t>HASNAT ASHRAF</t>
  </si>
  <si>
    <t>BABAR MAJEED</t>
  </si>
  <si>
    <t>AHSAN LATIF</t>
  </si>
  <si>
    <t>AWAIS LATIF</t>
  </si>
  <si>
    <t>REHMAN ALI</t>
  </si>
  <si>
    <t>M NAZEER</t>
  </si>
  <si>
    <t>M ADIL</t>
  </si>
  <si>
    <t>YAWAR SAEED</t>
  </si>
  <si>
    <t>REHAN AHMAD</t>
  </si>
  <si>
    <t>M RAHID</t>
  </si>
  <si>
    <t>M MUZAMAL</t>
  </si>
  <si>
    <t>ABDULLAH</t>
  </si>
  <si>
    <t>ZEESHAN KHALID</t>
  </si>
  <si>
    <t>M RAZA SHAH</t>
  </si>
  <si>
    <t>SOHAIL</t>
  </si>
  <si>
    <t>UMAIR GHULAM NABI</t>
  </si>
  <si>
    <t>SALMAN AHMAD</t>
  </si>
  <si>
    <t>M ZULAFQAR</t>
  </si>
  <si>
    <t>SHAKEEL AKHTAR</t>
  </si>
  <si>
    <t>ANWAR NASIR</t>
  </si>
  <si>
    <t>ABDULSATTAR</t>
  </si>
  <si>
    <t>NASRULLAH</t>
  </si>
  <si>
    <t>ABDUL LATIF</t>
  </si>
  <si>
    <t>ABBAS ALI</t>
  </si>
  <si>
    <t>SAJJAD AHMAD</t>
  </si>
  <si>
    <t>ASLAM ALI SAEED</t>
  </si>
  <si>
    <t>IFTIKHAR AHMAD</t>
  </si>
  <si>
    <t xml:space="preserve">M ZAFFAR </t>
  </si>
  <si>
    <t>ANWAR ALI</t>
  </si>
  <si>
    <t>KHALID MEHMOOD</t>
  </si>
  <si>
    <t>ZULQARNAIN</t>
  </si>
  <si>
    <t>GHULAM NABI</t>
  </si>
  <si>
    <t>FUQAN AHMAD</t>
  </si>
  <si>
    <t>03017820118</t>
  </si>
  <si>
    <t>03247065976</t>
  </si>
  <si>
    <t>03403776102</t>
  </si>
  <si>
    <t>03056935590</t>
  </si>
  <si>
    <t>03037372200</t>
  </si>
  <si>
    <t>03176637034</t>
  </si>
  <si>
    <t>03087380714</t>
  </si>
  <si>
    <t>03017765874</t>
  </si>
  <si>
    <t>03457311588</t>
  </si>
  <si>
    <t>03472824786</t>
  </si>
  <si>
    <t>03047669932</t>
  </si>
  <si>
    <t>03068619042</t>
  </si>
  <si>
    <t>03041361150</t>
  </si>
  <si>
    <t>03002973416</t>
  </si>
  <si>
    <t>03012433529</t>
  </si>
  <si>
    <t>03097431106</t>
  </si>
  <si>
    <t>03036563664</t>
  </si>
  <si>
    <t>03450369276</t>
  </si>
  <si>
    <t>03456691398</t>
  </si>
  <si>
    <t>03076976837</t>
  </si>
  <si>
    <t>03008811226</t>
  </si>
  <si>
    <t>03067750213</t>
  </si>
  <si>
    <t>03471162067</t>
  </si>
  <si>
    <t>03447076988</t>
  </si>
  <si>
    <t>03052179927</t>
  </si>
  <si>
    <t>03041664334</t>
  </si>
  <si>
    <t>03066760690</t>
  </si>
  <si>
    <t>03042219768</t>
  </si>
  <si>
    <t>1810/16-05-19</t>
  </si>
  <si>
    <t>2700/25-05-19</t>
  </si>
  <si>
    <t>1803/16-05-19</t>
  </si>
  <si>
    <t>2566/20-05-09</t>
  </si>
  <si>
    <t>5182/21-09-19</t>
  </si>
  <si>
    <t>2724/18-05-19</t>
  </si>
  <si>
    <t>1841/18-05-19</t>
  </si>
  <si>
    <t>2843/18-05-19</t>
  </si>
  <si>
    <t>2731/18-05-19</t>
  </si>
  <si>
    <t>2842/18-05-19</t>
  </si>
  <si>
    <t>2652/21-05-19</t>
  </si>
  <si>
    <t>2570/20-05-19</t>
  </si>
  <si>
    <t>2569/21-05-19</t>
  </si>
  <si>
    <t>2589/21-05-19</t>
  </si>
  <si>
    <t>2567/25-05-19</t>
  </si>
  <si>
    <t>2464/25-05-19</t>
  </si>
  <si>
    <t>2714/18-05-19</t>
  </si>
  <si>
    <t>2725/18-05-19</t>
  </si>
  <si>
    <t>2654/21-05-19</t>
  </si>
  <si>
    <t>5285/12-09-19</t>
  </si>
  <si>
    <t>2568/20-05-19</t>
  </si>
  <si>
    <t>2816/18-05-19</t>
  </si>
  <si>
    <t>2874/17-05-19</t>
  </si>
  <si>
    <t>5203/22-08-19</t>
  </si>
  <si>
    <t>5292/20-09-19</t>
  </si>
  <si>
    <t>5256/03-09-09</t>
  </si>
  <si>
    <t>6053/07-10-19</t>
  </si>
  <si>
    <t>6054/07-10-19</t>
  </si>
  <si>
    <t>5259/03-09-19</t>
  </si>
  <si>
    <t>5090/08-08-19</t>
  </si>
  <si>
    <t>2493/29-07-19</t>
  </si>
  <si>
    <t>2555/03-09-19</t>
  </si>
  <si>
    <t>5209/23-08-19</t>
  </si>
  <si>
    <t>5195/21-09-19</t>
  </si>
  <si>
    <t>SR.NO</t>
  </si>
  <si>
    <t>MUSSARAT SAEED</t>
  </si>
  <si>
    <t>SAIRA FAYYAZ</t>
  </si>
  <si>
    <t>RIDA YAMEEN</t>
  </si>
  <si>
    <t>SANA JAVED</t>
  </si>
  <si>
    <t>SANA ZULFIQAR</t>
  </si>
  <si>
    <t>AQSA NOUREEN</t>
  </si>
  <si>
    <t>URWA-TUL-WOSQA</t>
  </si>
  <si>
    <t>NAYAB FATIMA</t>
  </si>
  <si>
    <t>AIMAN FATIMA</t>
  </si>
  <si>
    <t>NIMRA JABBAR</t>
  </si>
  <si>
    <t>MALIKA KHAN</t>
  </si>
  <si>
    <t>SADAF BIBI</t>
  </si>
  <si>
    <t>ASIA BIBI</t>
  </si>
  <si>
    <t>MAH NOOR</t>
  </si>
  <si>
    <t>SIMRA MUNIR</t>
  </si>
  <si>
    <t>IZWA INAM</t>
  </si>
  <si>
    <t>AQSA BASHIR</t>
  </si>
  <si>
    <t xml:space="preserve">IQRA HUSSAIN </t>
  </si>
  <si>
    <t>HINA HUSSAIN</t>
  </si>
  <si>
    <t>MEHWISH RAMZAN</t>
  </si>
  <si>
    <t>SHAZIA BIBI</t>
  </si>
  <si>
    <t>HAFIZA AYESHA TAQWEEM</t>
  </si>
  <si>
    <t xml:space="preserve">ZUNAIRA SALAM </t>
  </si>
  <si>
    <t>ANOSHA LAIBA JAVAID</t>
  </si>
  <si>
    <t>RIMSHA BATOOL</t>
  </si>
  <si>
    <t>RUBAB ASLAM</t>
  </si>
  <si>
    <t>ASIFA BATOOL</t>
  </si>
  <si>
    <t>ZAINAB GHAFFAR</t>
  </si>
  <si>
    <t>MUQADDAS NOUREEN</t>
  </si>
  <si>
    <t>RIMSHA KANWAL</t>
  </si>
  <si>
    <t>MALEEHA AKMAL</t>
  </si>
  <si>
    <t>WAJEEHA AZAM</t>
  </si>
  <si>
    <t>SAMRA FAROOQ</t>
  </si>
  <si>
    <t>KIRAN FATIMA</t>
  </si>
  <si>
    <t>HAFSA YAQOOB</t>
  </si>
  <si>
    <t>LAIBA KIRAN</t>
  </si>
  <si>
    <t>SHAMEEN AKHTER</t>
  </si>
  <si>
    <t>RIMSHA ASLAM</t>
  </si>
  <si>
    <t>KAINAT BIBI</t>
  </si>
  <si>
    <t>AREEBA RASOOL</t>
  </si>
  <si>
    <t>ALEEZA TAHIR</t>
  </si>
  <si>
    <t>ARBISH KHALID</t>
  </si>
  <si>
    <t>KIRAN HASSAN</t>
  </si>
  <si>
    <t>SADIA KHALID</t>
  </si>
  <si>
    <t>TAYYBA</t>
  </si>
  <si>
    <t>SHAHZADI KIRAN</t>
  </si>
  <si>
    <t>RAMEESHA GHULAM NABI</t>
  </si>
  <si>
    <t>MAIDA</t>
  </si>
  <si>
    <t>MUBEEN MAQSOOD</t>
  </si>
  <si>
    <t>ASIFA RASOOL</t>
  </si>
  <si>
    <t>MARYAM NASRULLAH</t>
  </si>
  <si>
    <t>MARYAM MANZOOR</t>
  </si>
  <si>
    <t>IQRA HABEEB</t>
  </si>
  <si>
    <t>FAYYAZ AHMAD</t>
  </si>
  <si>
    <t>M UMEEN TARIQ</t>
  </si>
  <si>
    <t>M.JAVED</t>
  </si>
  <si>
    <t>M ZIKRIA</t>
  </si>
  <si>
    <t>SHABBIR HAIDER</t>
  </si>
  <si>
    <t>SHAHZADA ASIM</t>
  </si>
  <si>
    <t>ABDUL JABBAR</t>
  </si>
  <si>
    <t>MABRAR HUSSAIN</t>
  </si>
  <si>
    <t>ALLAH DITTAH</t>
  </si>
  <si>
    <t>QAMAR SAEED</t>
  </si>
  <si>
    <t>MUNIR AHMAD</t>
  </si>
  <si>
    <t>INAM ULLAH FAROOQI</t>
  </si>
  <si>
    <t>BASHIR AHMAD</t>
  </si>
  <si>
    <t>GHULAM HUSSAIN</t>
  </si>
  <si>
    <t>BAKHTAWAR</t>
  </si>
  <si>
    <t>ABDUL SALAM</t>
  </si>
  <si>
    <t>JAVAID IQBAL</t>
  </si>
  <si>
    <t>IBRAR HUSSAIN</t>
  </si>
  <si>
    <t>SHAHID SALEEM</t>
  </si>
  <si>
    <t>FAQEER  MUHAMMAD</t>
  </si>
  <si>
    <t xml:space="preserve">SYED NASRULLAH </t>
  </si>
  <si>
    <t xml:space="preserve">M AKLAM </t>
  </si>
  <si>
    <t>M AZAM</t>
  </si>
  <si>
    <t>ARSHAD FAROOQ</t>
  </si>
  <si>
    <t>NAZAR MOHI U DIN</t>
  </si>
  <si>
    <t>M SHAKEEL</t>
  </si>
  <si>
    <t>TAHIR YUONIS</t>
  </si>
  <si>
    <t>KHALID ABBASS</t>
  </si>
  <si>
    <t>ALI HUSSIAN</t>
  </si>
  <si>
    <t>KHALID HUSSAIN</t>
  </si>
  <si>
    <t>M NASRULLAH</t>
  </si>
  <si>
    <t>M MURTAZA</t>
  </si>
  <si>
    <t>MAQSOOD</t>
  </si>
  <si>
    <t>M NUSRULLAH</t>
  </si>
  <si>
    <t>HUBIBIU UR REHMAN</t>
  </si>
  <si>
    <t>03477261304</t>
  </si>
  <si>
    <t>03008395225</t>
  </si>
  <si>
    <t>03018730490</t>
  </si>
  <si>
    <t>03335557121</t>
  </si>
  <si>
    <t>03006899852</t>
  </si>
  <si>
    <t>03007877837</t>
  </si>
  <si>
    <t>03012835344</t>
  </si>
  <si>
    <t>03068215594</t>
  </si>
  <si>
    <t>03007327710</t>
  </si>
  <si>
    <t>03477385937</t>
  </si>
  <si>
    <t>03035744331</t>
  </si>
  <si>
    <t>03074208518</t>
  </si>
  <si>
    <t>03017576871</t>
  </si>
  <si>
    <t>03346202362</t>
  </si>
  <si>
    <t>03007325668</t>
  </si>
  <si>
    <t>03003966175</t>
  </si>
  <si>
    <t>03074881816</t>
  </si>
  <si>
    <t>03047036016</t>
  </si>
  <si>
    <t>03027350296</t>
  </si>
  <si>
    <t>03007739866</t>
  </si>
  <si>
    <t>03027760526</t>
  </si>
  <si>
    <t>03065891232</t>
  </si>
  <si>
    <t>03014056212</t>
  </si>
  <si>
    <t>03078163434</t>
  </si>
  <si>
    <t>03007026656</t>
  </si>
  <si>
    <t>03047700845</t>
  </si>
  <si>
    <t>03427277817</t>
  </si>
  <si>
    <t>03087354552</t>
  </si>
  <si>
    <t>03017644773</t>
  </si>
  <si>
    <t>03077893526</t>
  </si>
  <si>
    <t>03347733432</t>
  </si>
  <si>
    <t>03036797581</t>
  </si>
  <si>
    <t>03217358758</t>
  </si>
  <si>
    <t>03002245114</t>
  </si>
  <si>
    <t>03026550918</t>
  </si>
  <si>
    <t>03464817337</t>
  </si>
  <si>
    <t>03017609169</t>
  </si>
  <si>
    <t>03012011446</t>
  </si>
  <si>
    <t>03078738764</t>
  </si>
  <si>
    <t>03027363500</t>
  </si>
  <si>
    <t>03006894507</t>
  </si>
  <si>
    <t>03017604608</t>
  </si>
  <si>
    <t>03436906395</t>
  </si>
  <si>
    <t>03077455116</t>
  </si>
  <si>
    <t>03457389997</t>
  </si>
  <si>
    <t>03006391143</t>
  </si>
  <si>
    <t>03038829035</t>
  </si>
  <si>
    <t>03157601700</t>
  </si>
  <si>
    <t>2953/11-05-19</t>
  </si>
  <si>
    <t>2767/20-05-19</t>
  </si>
  <si>
    <t>2742/29-07-19</t>
  </si>
  <si>
    <t>5028/31-07-19</t>
  </si>
  <si>
    <t>5175/21-09-19</t>
  </si>
  <si>
    <t>5291/20-09-19</t>
  </si>
  <si>
    <t>2969/16-05-19</t>
  </si>
  <si>
    <t>2765/20-05-19</t>
  </si>
  <si>
    <t>2788/21-05-19</t>
  </si>
  <si>
    <t>2795/21-05-19</t>
  </si>
  <si>
    <t>6034/04-10-19</t>
  </si>
  <si>
    <t>2983/16-05-19</t>
  </si>
  <si>
    <t>2901/16-05-19</t>
  </si>
  <si>
    <t>0149/15-07-19</t>
  </si>
  <si>
    <t>5296/20-09-19</t>
  </si>
  <si>
    <t>2777/20-05-19</t>
  </si>
  <si>
    <t>5151/22-08-19</t>
  </si>
  <si>
    <t>2758/18-05-19</t>
  </si>
  <si>
    <t>2954/14-05-19</t>
  </si>
  <si>
    <t>2930/18-05-19</t>
  </si>
  <si>
    <t>2980/16-05-19</t>
  </si>
  <si>
    <t>2761/20-05-19</t>
  </si>
  <si>
    <t>5290/19-09-19</t>
  </si>
  <si>
    <t>2985/16-05-19</t>
  </si>
  <si>
    <t>2911/17-05-19</t>
  </si>
  <si>
    <t>2922/18-05-19</t>
  </si>
  <si>
    <t>2916/17-05-19</t>
  </si>
  <si>
    <t>2971/16-05-19</t>
  </si>
  <si>
    <t>6021/02-10-19</t>
  </si>
  <si>
    <t>2988/16-05-19</t>
  </si>
  <si>
    <t>2893/17-05-19</t>
  </si>
  <si>
    <t>2976/16-05-19</t>
  </si>
  <si>
    <t>2770/20-05-19</t>
  </si>
  <si>
    <t>2973/16-05-19</t>
  </si>
  <si>
    <t>2799/21-05-19</t>
  </si>
  <si>
    <t>2974/16-05-19</t>
  </si>
  <si>
    <t>2863/16-05-19</t>
  </si>
  <si>
    <t>2927/18-05-19</t>
  </si>
  <si>
    <t>2968/16-05-19</t>
  </si>
  <si>
    <t>2984/16-05-19</t>
  </si>
  <si>
    <t>2970/16-05-19</t>
  </si>
  <si>
    <t>2749/30-07-19</t>
  </si>
  <si>
    <t>2471/16-07-19</t>
  </si>
  <si>
    <t>5066/05-08-19</t>
  </si>
  <si>
    <t>6062/02-08-19</t>
  </si>
  <si>
    <t>5050/01-08-19</t>
  </si>
  <si>
    <t>6042/05-10-19</t>
  </si>
  <si>
    <t>2736/20-07-19</t>
  </si>
  <si>
    <t>5052/01-08-19</t>
  </si>
  <si>
    <t>5270/04-09-19</t>
  </si>
  <si>
    <t>5131/06-08-19</t>
  </si>
  <si>
    <t>6037/04-10-19</t>
  </si>
  <si>
    <t>5104/31-07-19</t>
  </si>
  <si>
    <t>5003/30-07-19</t>
  </si>
  <si>
    <t>5065/05-08-19</t>
  </si>
  <si>
    <t>6014/27-09-19</t>
  </si>
  <si>
    <t>5074/005-08-19</t>
  </si>
  <si>
    <t>5002/30-07-19</t>
  </si>
  <si>
    <t>5009/30-07-19</t>
  </si>
  <si>
    <t>5112/01-08-19</t>
  </si>
  <si>
    <t>5056/01-08-19</t>
  </si>
  <si>
    <t>156/22-07-19</t>
  </si>
  <si>
    <t>5004/30-07-19</t>
  </si>
  <si>
    <t>5210/23-08-19</t>
  </si>
  <si>
    <t>5111/01-08-19</t>
  </si>
  <si>
    <t>5017/31-07-19</t>
  </si>
  <si>
    <t>2481/29-07-19</t>
  </si>
  <si>
    <t>5102/30-02-19</t>
  </si>
  <si>
    <t>6024/03-10-19</t>
  </si>
  <si>
    <t>6022/02-10-19</t>
  </si>
  <si>
    <t>6044/05-10-19</t>
  </si>
  <si>
    <t>5295/20-09-19</t>
  </si>
  <si>
    <t>5287/16-09-19</t>
  </si>
  <si>
    <t>SHABANA HAYAT</t>
  </si>
  <si>
    <t>MISHAL JAVAID</t>
  </si>
  <si>
    <t>AMBER MEHTAB</t>
  </si>
  <si>
    <t>QASIMA IBAL</t>
  </si>
  <si>
    <t>KAINAT KANWAL</t>
  </si>
  <si>
    <t>SAMRA MUNIR</t>
  </si>
  <si>
    <t>MARYAM SAEED</t>
  </si>
  <si>
    <t>ESHA MARYAM</t>
  </si>
  <si>
    <t>FARAH TALIB</t>
  </si>
  <si>
    <t>SANA GHAFAR</t>
  </si>
  <si>
    <t>ALINA BIBI</t>
  </si>
  <si>
    <t>MASHAL IJAZ</t>
  </si>
  <si>
    <t>SHAISTA BIBI</t>
  </si>
  <si>
    <t>HALEEMA SHAN</t>
  </si>
  <si>
    <t>ATIKA KHALIQ</t>
  </si>
  <si>
    <t>SABA BIBI</t>
  </si>
  <si>
    <t>IQRA ASHRAF</t>
  </si>
  <si>
    <t>TANZEEL FIAZ</t>
  </si>
  <si>
    <t>ANAM IJAZ</t>
  </si>
  <si>
    <t>KAINAT BATOOL</t>
  </si>
  <si>
    <t>MISBAH SATTAR</t>
  </si>
  <si>
    <t>NADIA KIRAN</t>
  </si>
  <si>
    <t>MARYAM ISLAM</t>
  </si>
  <si>
    <t>SANA AKHTAR</t>
  </si>
  <si>
    <t>MISBAH</t>
  </si>
  <si>
    <t>NAZIA IQBAL</t>
  </si>
  <si>
    <t>SHAKILA</t>
  </si>
  <si>
    <t>AIMAN KAHALID</t>
  </si>
  <si>
    <t>AROOJ FATIMA</t>
  </si>
  <si>
    <t>UMM E REHMAN</t>
  </si>
  <si>
    <t>TAYABA ILYAS</t>
  </si>
  <si>
    <t>SANA SHABBIR</t>
  </si>
  <si>
    <t>KINZA JAVAED</t>
  </si>
  <si>
    <t>AQSA AMJAD</t>
  </si>
  <si>
    <t>HUZAIRA FATIMA</t>
  </si>
  <si>
    <t>MOBIA PERVEEN</t>
  </si>
  <si>
    <t>NADI BIBI</t>
  </si>
  <si>
    <t>IRAM JAMSHAID</t>
  </si>
  <si>
    <t>UMM E ABEERA</t>
  </si>
  <si>
    <t>RIMSHA MUNEER</t>
  </si>
  <si>
    <t>RIMSHA JAVAID</t>
  </si>
  <si>
    <t>FARAH MUSTAFA</t>
  </si>
  <si>
    <t>SITRA KHALID</t>
  </si>
  <si>
    <t>MISHA NAZ</t>
  </si>
  <si>
    <t>LAIBA SHAHID</t>
  </si>
  <si>
    <t>RABIA ASLAM</t>
  </si>
  <si>
    <t>SANA IQBAL</t>
  </si>
  <si>
    <t>ZUNAIRA REHMAN</t>
  </si>
  <si>
    <t>MARYAM ANWAR</t>
  </si>
  <si>
    <t>MARIA KHUBAB</t>
  </si>
  <si>
    <t>ZILL E HUMA</t>
  </si>
  <si>
    <t>AYESHA SIDDIQA</t>
  </si>
  <si>
    <t>AQSA AKHTER</t>
  </si>
  <si>
    <t>MOQADDAS PARVEEN</t>
  </si>
  <si>
    <t>RUKHSAR AMEER</t>
  </si>
  <si>
    <t>RAMSHA YOUNIS</t>
  </si>
  <si>
    <t>FARAH LATIF</t>
  </si>
  <si>
    <t>MARIA KIRAN</t>
  </si>
  <si>
    <t>HURMEEN AZIZ</t>
  </si>
  <si>
    <t>M HAYYAT</t>
  </si>
  <si>
    <t>JAVAID HUSSAIN</t>
  </si>
  <si>
    <t>NIMAT ALI</t>
  </si>
  <si>
    <t>M RASHID</t>
  </si>
  <si>
    <t>TALIB HUSSAIN</t>
  </si>
  <si>
    <t>ALLAH BUX</t>
  </si>
  <si>
    <t>M IJAZ</t>
  </si>
  <si>
    <t>ABDUL KHALIQ URF KHALD</t>
  </si>
  <si>
    <t>FALAK SHAIR</t>
  </si>
  <si>
    <t>FIAZ BASHIR</t>
  </si>
  <si>
    <t>SHOKIT ALI</t>
  </si>
  <si>
    <t>M SULEMAN</t>
  </si>
  <si>
    <t>M ILYAS</t>
  </si>
  <si>
    <t>JAVED IQBAL</t>
  </si>
  <si>
    <t>AMJAD ALI</t>
  </si>
  <si>
    <t xml:space="preserve">JAMSHAID </t>
  </si>
  <si>
    <t>MUNEER AHMAD</t>
  </si>
  <si>
    <t>M JAVAID IQBAL</t>
  </si>
  <si>
    <t>ZULFQAR</t>
  </si>
  <si>
    <t>SHAHID IQBAL</t>
  </si>
  <si>
    <t>M KHUBAIB</t>
  </si>
  <si>
    <t>ABSUL SATTAR</t>
  </si>
  <si>
    <t>AKHTAR HUSSAIN</t>
  </si>
  <si>
    <t>MALIK FIAZ</t>
  </si>
  <si>
    <t>M AMEER</t>
  </si>
  <si>
    <t>MUHAMMAD LATIF</t>
  </si>
  <si>
    <t>ABDUL AZIZ</t>
  </si>
  <si>
    <t>03017665177</t>
  </si>
  <si>
    <t>03422451202</t>
  </si>
  <si>
    <t>03075874625</t>
  </si>
  <si>
    <t>03027734408</t>
  </si>
  <si>
    <t>03401968141</t>
  </si>
  <si>
    <t>03067351152</t>
  </si>
  <si>
    <t>03023734623</t>
  </si>
  <si>
    <t>03002210640</t>
  </si>
  <si>
    <t>03464816758</t>
  </si>
  <si>
    <t>03017537612</t>
  </si>
  <si>
    <t>03087782459</t>
  </si>
  <si>
    <t>03068847149</t>
  </si>
  <si>
    <t>03421888293</t>
  </si>
  <si>
    <t>03017602579</t>
  </si>
  <si>
    <t>03047417320</t>
  </si>
  <si>
    <t>03088158795</t>
  </si>
  <si>
    <t>03007306362</t>
  </si>
  <si>
    <t>03006889334</t>
  </si>
  <si>
    <t>03007357245</t>
  </si>
  <si>
    <t>03407137880</t>
  </si>
  <si>
    <t>03442898770</t>
  </si>
  <si>
    <t>03006346762</t>
  </si>
  <si>
    <t>03008533026</t>
  </si>
  <si>
    <t>03444741072</t>
  </si>
  <si>
    <t>03002485160</t>
  </si>
  <si>
    <t>03015214188</t>
  </si>
  <si>
    <t>03076318335</t>
  </si>
  <si>
    <t>03012896147</t>
  </si>
  <si>
    <t>03430521440</t>
  </si>
  <si>
    <t>03047828724</t>
  </si>
  <si>
    <t>03325343908</t>
  </si>
  <si>
    <t>03061856334</t>
  </si>
  <si>
    <t>03026506864</t>
  </si>
  <si>
    <t>03077311715</t>
  </si>
  <si>
    <t>03413719108</t>
  </si>
  <si>
    <t>03003616794</t>
  </si>
  <si>
    <t>03037397604</t>
  </si>
  <si>
    <t>03064097573</t>
  </si>
  <si>
    <t>03036787920</t>
  </si>
  <si>
    <t>03017314652</t>
  </si>
  <si>
    <t>03014909270</t>
  </si>
  <si>
    <t>03017205530</t>
  </si>
  <si>
    <t>03056975722</t>
  </si>
  <si>
    <t>03003516399</t>
  </si>
  <si>
    <t>03037399373</t>
  </si>
  <si>
    <t>03072783223</t>
  </si>
  <si>
    <t>03037373186</t>
  </si>
  <si>
    <t>03060774712</t>
  </si>
  <si>
    <t>03023927141</t>
  </si>
  <si>
    <t>03003738114</t>
  </si>
  <si>
    <t>2981/16-05-19</t>
  </si>
  <si>
    <t>2956/14-05-19</t>
  </si>
  <si>
    <t>5222/28-08-19</t>
  </si>
  <si>
    <t>2855/16-05-19</t>
  </si>
  <si>
    <t>5001/30-07-19</t>
  </si>
  <si>
    <t>2959/14-05-19</t>
  </si>
  <si>
    <t>2841/18-05-19</t>
  </si>
  <si>
    <t>2774/20-05-19</t>
  </si>
  <si>
    <t>2979/16-05-19</t>
  </si>
  <si>
    <t>2902/16-05-19</t>
  </si>
  <si>
    <t>2780/20-05-19</t>
  </si>
  <si>
    <t>2904/17-05-19</t>
  </si>
  <si>
    <t>2794/21-05-19</t>
  </si>
  <si>
    <t>2868/17-05-19</t>
  </si>
  <si>
    <t>2851/16-05-19</t>
  </si>
  <si>
    <t>2982/16-05-19</t>
  </si>
  <si>
    <t>2854/16-05-19</t>
  </si>
  <si>
    <t>2769/20-05-19</t>
  </si>
  <si>
    <t>2862/16-05-19</t>
  </si>
  <si>
    <t>2909/17-05-19</t>
  </si>
  <si>
    <t>2581/20-05-19</t>
  </si>
  <si>
    <t>M3</t>
  </si>
  <si>
    <t>AREEBA KHALIL</t>
  </si>
  <si>
    <t>MALAIKA TANVEER</t>
  </si>
  <si>
    <t>SHABANA KOUSAR</t>
  </si>
  <si>
    <t>ASIA HABIB</t>
  </si>
  <si>
    <t>SADIA ISHAQ</t>
  </si>
  <si>
    <t>UMAIRA AKHTAR</t>
  </si>
  <si>
    <t>IMTISAL NOUREEN</t>
  </si>
  <si>
    <t>MAMOMNA AKHTAR</t>
  </si>
  <si>
    <t>ZOYA RAMZAN</t>
  </si>
  <si>
    <t>AQSA FIDA</t>
  </si>
  <si>
    <t>GULZAIB</t>
  </si>
  <si>
    <t>AYESHA KOUSAR</t>
  </si>
  <si>
    <t>SABA ARSHAD</t>
  </si>
  <si>
    <t>AYESHA HAFEEZ</t>
  </si>
  <si>
    <t>AREEBA SHAHID</t>
  </si>
  <si>
    <t>MAHA RIAZ</t>
  </si>
  <si>
    <t>MEHRAB YOUNAS</t>
  </si>
  <si>
    <t>HAFSA BIBI</t>
  </si>
  <si>
    <t>FARYAL AMJAD</t>
  </si>
  <si>
    <t>MISBAH PARVEEN</t>
  </si>
  <si>
    <t>SABA RSHEED</t>
  </si>
  <si>
    <t>SHAMAILA</t>
  </si>
  <si>
    <t>NISHA MIJAHID</t>
  </si>
  <si>
    <t>SHAMMA ISLAM</t>
  </si>
  <si>
    <t>TAYYBA MALIK</t>
  </si>
  <si>
    <t>MAHJABEEN</t>
  </si>
  <si>
    <t>SAMRA ARSHAD</t>
  </si>
  <si>
    <t>ISHBA SHAFAQAT</t>
  </si>
  <si>
    <t>MISBAH KHALIL</t>
  </si>
  <si>
    <t>NIMRA KOUSAR</t>
  </si>
  <si>
    <t>ZUNAIRA KANWAL</t>
  </si>
  <si>
    <t>MARIA ANDLEEB</t>
  </si>
  <si>
    <t>MUNAZA JABEEN</t>
  </si>
  <si>
    <t>HAMNA ZAFAR</t>
  </si>
  <si>
    <t>MAIMOONA RASHEED</t>
  </si>
  <si>
    <t>TAYYABA ASHRAF</t>
  </si>
  <si>
    <t>ATIKA ASIF</t>
  </si>
  <si>
    <t>ZUNIRA KANWAL</t>
  </si>
  <si>
    <t>M TANVEER WARIS</t>
  </si>
  <si>
    <t>KHURSHEED AFTAB</t>
  </si>
  <si>
    <t>TAYYAB KHAN</t>
  </si>
  <si>
    <t>M BAKHASH</t>
  </si>
  <si>
    <t>M MUMTAZ</t>
  </si>
  <si>
    <t>M RASHAD</t>
  </si>
  <si>
    <t>HAFEEZ ULLAH</t>
  </si>
  <si>
    <t xml:space="preserve">M SHAHID </t>
  </si>
  <si>
    <t>M ATEEQ UR REHMAN</t>
  </si>
  <si>
    <t>ARSHAD ALI</t>
  </si>
  <si>
    <t>RASHEED</t>
  </si>
  <si>
    <t>ISLAM SAEED</t>
  </si>
  <si>
    <t>ABDULMANAN</t>
  </si>
  <si>
    <t>GHULAM QADIR</t>
  </si>
  <si>
    <t>MURTAZA</t>
  </si>
  <si>
    <t>FAZAL HASSAIN</t>
  </si>
  <si>
    <t>ZAFAR ASLAM</t>
  </si>
  <si>
    <t>ASHRAF</t>
  </si>
  <si>
    <t>M ASIF</t>
  </si>
  <si>
    <t>03086825208</t>
  </si>
  <si>
    <t>03415770411</t>
  </si>
  <si>
    <t>03035689671</t>
  </si>
  <si>
    <t>03027828169</t>
  </si>
  <si>
    <t>03089006100</t>
  </si>
  <si>
    <t>03337659162</t>
  </si>
  <si>
    <t>03078835788</t>
  </si>
  <si>
    <t>03017445630</t>
  </si>
  <si>
    <t>03045427093</t>
  </si>
  <si>
    <t>03042019060</t>
  </si>
  <si>
    <t>03066578270</t>
  </si>
  <si>
    <t>03067735699</t>
  </si>
  <si>
    <t>03467958094</t>
  </si>
  <si>
    <t>03346799913</t>
  </si>
  <si>
    <t>03074826616</t>
  </si>
  <si>
    <t>03076256862</t>
  </si>
  <si>
    <t>03017599373</t>
  </si>
  <si>
    <t>03063826088</t>
  </si>
  <si>
    <t>03086824570</t>
  </si>
  <si>
    <t>03077627506</t>
  </si>
  <si>
    <t>03077688135</t>
  </si>
  <si>
    <t>03066162533</t>
  </si>
  <si>
    <t>03457147368</t>
  </si>
  <si>
    <t>03012895880</t>
  </si>
  <si>
    <t>03457391365</t>
  </si>
  <si>
    <t>03035016037</t>
  </si>
  <si>
    <t>03058211138</t>
  </si>
  <si>
    <t>03081492150</t>
  </si>
  <si>
    <t>03057581653</t>
  </si>
  <si>
    <t>03055433746</t>
  </si>
  <si>
    <t>03027802449</t>
  </si>
  <si>
    <t>03338029420</t>
  </si>
  <si>
    <t>03002050537</t>
  </si>
  <si>
    <t>03072940318</t>
  </si>
  <si>
    <t>03086680813</t>
  </si>
  <si>
    <t>M4</t>
  </si>
  <si>
    <t>LAIBA RIAZ</t>
  </si>
  <si>
    <t>FAZEELA TARIQ</t>
  </si>
  <si>
    <t>ARZOO SHAKAR</t>
  </si>
  <si>
    <t>UNEEZA KSHAF</t>
  </si>
  <si>
    <t>MARIA NAZ</t>
  </si>
  <si>
    <t>RABIA NASIR</t>
  </si>
  <si>
    <t>SADF SFDAR</t>
  </si>
  <si>
    <t>HINA AMJAD</t>
  </si>
  <si>
    <t>AIQRA AMJAD</t>
  </si>
  <si>
    <t>BALQES HAKIM</t>
  </si>
  <si>
    <t>KASHIFA AJMAL</t>
  </si>
  <si>
    <t>AQSA MUSHTAQ</t>
  </si>
  <si>
    <t>HAFSA IMRAN</t>
  </si>
  <si>
    <t>AQSA JAMEEL</t>
  </si>
  <si>
    <t>AMNA SHARIF</t>
  </si>
  <si>
    <t>HANIA ASHIQ</t>
  </si>
  <si>
    <t>KASHF NOOR</t>
  </si>
  <si>
    <t>SAIRA IQBAL</t>
  </si>
  <si>
    <t>SHAIMAN RIAZ</t>
  </si>
  <si>
    <t>SHAKAR ALI</t>
  </si>
  <si>
    <t>KHURSHEED AHMAD</t>
  </si>
  <si>
    <t>NASIR ALI</t>
  </si>
  <si>
    <t>SAFDAR ALI</t>
  </si>
  <si>
    <t>HAKIM ALI</t>
  </si>
  <si>
    <t xml:space="preserve">M AJMAL </t>
  </si>
  <si>
    <t>M IMRAN HABIB</t>
  </si>
  <si>
    <t>ASHIQ ALI</t>
  </si>
  <si>
    <t>M ABID TAHIR</t>
  </si>
  <si>
    <t>2951/11-05-19</t>
  </si>
  <si>
    <t>2895/17-05-19</t>
  </si>
  <si>
    <t>2987/16-05-19</t>
  </si>
  <si>
    <t>5049/01-08-19</t>
  </si>
  <si>
    <t>3000+1000</t>
  </si>
  <si>
    <t>1801/2779/16/05-19</t>
  </si>
  <si>
    <t>5228/28-08-19</t>
  </si>
  <si>
    <t>2975/16-05-19</t>
  </si>
  <si>
    <t>1868/18-05-19</t>
  </si>
  <si>
    <t>2990/16-05-19</t>
  </si>
  <si>
    <t>2967/16-05-19</t>
  </si>
  <si>
    <t>2870/17-05-19</t>
  </si>
  <si>
    <t>2871/17-05-19</t>
  </si>
  <si>
    <t>2955/14-05-19</t>
  </si>
  <si>
    <t>2957/14-05-19</t>
  </si>
  <si>
    <t>5099/22-08-19</t>
  </si>
  <si>
    <t>2931/18-05-19</t>
  </si>
  <si>
    <t>5216/24-08-19</t>
  </si>
  <si>
    <t>2994/16-05-19</t>
  </si>
  <si>
    <t>2963/15-05-19</t>
  </si>
  <si>
    <t>2960/14-05-19</t>
  </si>
  <si>
    <t>2869/17-05-19</t>
  </si>
  <si>
    <t>2790/21-05-19</t>
  </si>
  <si>
    <t>2899/17-05-19</t>
  </si>
  <si>
    <t>2962/15-05-19</t>
  </si>
  <si>
    <t>2958/14-05-19</t>
  </si>
  <si>
    <t>5167/28-8-19</t>
  </si>
  <si>
    <t>5080/06-08-19</t>
  </si>
  <si>
    <t>5282/12-05-19</t>
  </si>
  <si>
    <t>5231/28-08-19</t>
  </si>
  <si>
    <t>5008/30-07-19</t>
  </si>
  <si>
    <t>6018/30-09-19</t>
  </si>
  <si>
    <t>5025/31-07-19</t>
  </si>
  <si>
    <t>2484/29-07-19</t>
  </si>
  <si>
    <t>5026/31-07-19</t>
  </si>
  <si>
    <t>5093/09-08-19</t>
  </si>
  <si>
    <t>6635/01-10-19</t>
  </si>
  <si>
    <t>5128/06-08-19</t>
  </si>
  <si>
    <t>6066/07-10-19</t>
  </si>
  <si>
    <t>5122/06-08-19</t>
  </si>
  <si>
    <t>5059/01-08-19</t>
  </si>
  <si>
    <t>5046/05-08-19</t>
  </si>
  <si>
    <t>5158/23-08-19</t>
  </si>
  <si>
    <t>5040/31-07-19</t>
  </si>
  <si>
    <t>5249/02-09-19</t>
  </si>
  <si>
    <t>5204/22-08-19</t>
  </si>
  <si>
    <t>6032/03-10-19</t>
  </si>
  <si>
    <t>5294/20-09-19</t>
  </si>
  <si>
    <t>6020/02-10-19</t>
  </si>
  <si>
    <t>5278/06-09-19</t>
  </si>
  <si>
    <t>5024/31-07-19</t>
  </si>
  <si>
    <t>5098/22-08-19</t>
  </si>
  <si>
    <t>5106/01-08-19</t>
  </si>
  <si>
    <t>5030/31-07-19</t>
  </si>
  <si>
    <t>5046/01-08-19</t>
  </si>
  <si>
    <t>5238/30-08-19</t>
  </si>
  <si>
    <t>5293/20-09-19</t>
  </si>
  <si>
    <t>5178/21-09-19</t>
  </si>
  <si>
    <t>5114/02-08-19</t>
  </si>
  <si>
    <t>5279/07-09-19</t>
  </si>
  <si>
    <t>5006/30-07-19</t>
  </si>
  <si>
    <t>5013/30-07-19</t>
  </si>
  <si>
    <t>5007/30-07-19</t>
  </si>
  <si>
    <t>2735/19-07-19</t>
  </si>
  <si>
    <t>2996/16-5-19</t>
  </si>
  <si>
    <t>5015/30-07-19</t>
  </si>
  <si>
    <t>2908/17-05-19</t>
  </si>
  <si>
    <t>2993/16-05-19</t>
  </si>
  <si>
    <t>2950/18-05-19</t>
  </si>
  <si>
    <t>5124/02-08-19</t>
  </si>
  <si>
    <t>2853/16-05-19</t>
  </si>
  <si>
    <t>2928/18-05-19</t>
  </si>
  <si>
    <t>2907/17-05-19</t>
  </si>
  <si>
    <t>2289/20-05-19</t>
  </si>
  <si>
    <t>2759/20-5-19</t>
  </si>
  <si>
    <t>2913/17-05-19</t>
  </si>
  <si>
    <t>2946/18-05-19</t>
  </si>
  <si>
    <t>6015/27-09-19</t>
  </si>
  <si>
    <t>6016/27-09-19</t>
  </si>
  <si>
    <t>2986/16-05-19</t>
  </si>
  <si>
    <t>2852/16-05-19</t>
  </si>
  <si>
    <t>2875/17-05-19</t>
  </si>
  <si>
    <t>2989/16-05-19</t>
  </si>
  <si>
    <t>2775/20-05-19</t>
  </si>
  <si>
    <t>2961/14-05-19</t>
  </si>
  <si>
    <t>2937/18-05-19</t>
  </si>
  <si>
    <t>2857/16-05-19</t>
  </si>
  <si>
    <t>2929/10-05-19</t>
  </si>
  <si>
    <t>2995/16-05-19</t>
  </si>
  <si>
    <t>6057/07-10-19</t>
  </si>
  <si>
    <t>5153/22-08-19</t>
  </si>
  <si>
    <t>5034/31-07-19</t>
  </si>
  <si>
    <t>2873/17-05-19</t>
  </si>
  <si>
    <t>1867/18-05-19</t>
  </si>
  <si>
    <t>5138/10-08-19</t>
  </si>
  <si>
    <t>5126/05-08-19</t>
  </si>
  <si>
    <t>5156/22-08-19</t>
  </si>
  <si>
    <t>5021/31-07-19</t>
  </si>
  <si>
    <t>2473/27-07-19</t>
  </si>
  <si>
    <t>2750/30-07-19</t>
  </si>
  <si>
    <t>5169/29-08-19</t>
  </si>
  <si>
    <t>5140/20-08-19</t>
  </si>
  <si>
    <t>5127/05-08-19</t>
  </si>
  <si>
    <t>5075/06-08-19</t>
  </si>
  <si>
    <t>5023/31-07-19</t>
  </si>
  <si>
    <t>5188/21-09-19</t>
  </si>
  <si>
    <t>2470/16-07-19</t>
  </si>
  <si>
    <t>6065/07-1019</t>
  </si>
  <si>
    <t>5020/31-07-19</t>
  </si>
  <si>
    <t>6068/08-10-19</t>
  </si>
  <si>
    <t>5053/01-08-19</t>
  </si>
  <si>
    <t>5123/02-08-19</t>
  </si>
  <si>
    <t>5089/08-08-19</t>
  </si>
  <si>
    <t>6026/03-10-19</t>
  </si>
  <si>
    <t>6027/03-10-19</t>
  </si>
  <si>
    <t>6043/05-10-19</t>
  </si>
  <si>
    <t>03427013116</t>
  </si>
  <si>
    <t>03076182758</t>
  </si>
  <si>
    <t>03467813252</t>
  </si>
  <si>
    <t>03026919150</t>
  </si>
  <si>
    <t>03013300884</t>
  </si>
  <si>
    <t>03082115107</t>
  </si>
  <si>
    <t>03075372139</t>
  </si>
  <si>
    <t>03036725163</t>
  </si>
  <si>
    <t>03004120801</t>
  </si>
  <si>
    <t>03057478311</t>
  </si>
  <si>
    <t>03002868836</t>
  </si>
  <si>
    <t>03003614776</t>
  </si>
  <si>
    <t>03347836706</t>
  </si>
  <si>
    <t>03085730778</t>
  </si>
  <si>
    <t>03346495958</t>
  </si>
  <si>
    <t>03023765105</t>
  </si>
  <si>
    <t>2784/21-05-19</t>
  </si>
  <si>
    <t>5097/22-08-19</t>
  </si>
  <si>
    <t>2926/18-05-19</t>
  </si>
  <si>
    <t>2860/16-05-19</t>
  </si>
  <si>
    <t>1862/16-05-19</t>
  </si>
  <si>
    <t>2936/18-05-19</t>
  </si>
  <si>
    <t>2935/18-05-19</t>
  </si>
  <si>
    <t>2760/20-05-19</t>
  </si>
  <si>
    <t>2793/21-05-19</t>
  </si>
  <si>
    <t>2966/16-05-19</t>
  </si>
  <si>
    <t>2943/18-05-19</t>
  </si>
  <si>
    <t>2932/18-05-19</t>
  </si>
  <si>
    <t>5155/22-08-19</t>
  </si>
  <si>
    <t>5115/02-08-19</t>
  </si>
  <si>
    <t>5029/31-07-19</t>
  </si>
  <si>
    <t>5159/23-08-19</t>
  </si>
  <si>
    <t>5117/02-08-19</t>
  </si>
  <si>
    <t>5116/02-08-19</t>
  </si>
  <si>
    <t>5018/31-07-19</t>
  </si>
  <si>
    <t>5073/05-08-19</t>
  </si>
  <si>
    <t>6004/24-09-19</t>
  </si>
  <si>
    <t>5177/21-09-19</t>
  </si>
  <si>
    <t>5176/21-09-19</t>
  </si>
  <si>
    <t>AROOJ SHAKIR</t>
  </si>
  <si>
    <t>BUSHRA ZAFAR</t>
  </si>
  <si>
    <t>DILSHAD BIBI</t>
  </si>
  <si>
    <t>QUR TUL AIN FATIMA</t>
  </si>
  <si>
    <t>HUDA ASHRAF</t>
  </si>
  <si>
    <t>SHAZIA QAMAR</t>
  </si>
  <si>
    <t>SABA YAQOOB</t>
  </si>
  <si>
    <t>SANIA YOUNAS</t>
  </si>
  <si>
    <t>SEEBAL FATIMA</t>
  </si>
  <si>
    <t>JAVERIA BANO</t>
  </si>
  <si>
    <t>AMINA RIAZ</t>
  </si>
  <si>
    <t>AQSA PERVEEN</t>
  </si>
  <si>
    <t>SANIA SAEED</t>
  </si>
  <si>
    <t>IQRA ALLAH DITTA</t>
  </si>
  <si>
    <t>AQSA MUSTAFA</t>
  </si>
  <si>
    <t>AIZA ISHFAQ</t>
  </si>
  <si>
    <t>HIRA KHALEEQ</t>
  </si>
  <si>
    <t>FAREEHA BASHIR</t>
  </si>
  <si>
    <t>SHUMAILA RAZZAQ</t>
  </si>
  <si>
    <t>SANIA MUMTAZ</t>
  </si>
  <si>
    <t>FARYAL NOOR</t>
  </si>
  <si>
    <t>ZAIBUNNISA</t>
  </si>
  <si>
    <t>SANA KANWAL</t>
  </si>
  <si>
    <t>SHUMAILA KIRAN</t>
  </si>
  <si>
    <t>SHAHZADIA ASIM ALEEM</t>
  </si>
  <si>
    <t>SAJJID ALI</t>
  </si>
  <si>
    <t>ISHFAQ AHMAD</t>
  </si>
  <si>
    <t>M BASHIR</t>
  </si>
  <si>
    <t>ALLAH BUKKSH</t>
  </si>
  <si>
    <t>ABDUL HAQ</t>
  </si>
  <si>
    <t>MUMTAZ HUSSAIN</t>
  </si>
  <si>
    <t>SHAKIR ALI</t>
  </si>
  <si>
    <t>ZAFAR HUSSAIN</t>
  </si>
  <si>
    <t>ARIF HUSSAIN</t>
  </si>
  <si>
    <t>M GULZAR</t>
  </si>
  <si>
    <t>RUQIA ANWAR</t>
  </si>
  <si>
    <t>FARMAN ALI</t>
  </si>
  <si>
    <t>DILDAR AHMAD</t>
  </si>
  <si>
    <t>03036545971</t>
  </si>
  <si>
    <t>03077976680</t>
  </si>
  <si>
    <t>03002029634</t>
  </si>
  <si>
    <t>03088655237</t>
  </si>
  <si>
    <t>03007368503</t>
  </si>
  <si>
    <t>03075295022</t>
  </si>
  <si>
    <t>03347838800</t>
  </si>
  <si>
    <t>03049842332</t>
  </si>
  <si>
    <t>03463677930</t>
  </si>
  <si>
    <t>03027758224</t>
  </si>
  <si>
    <t>03427225121</t>
  </si>
  <si>
    <t>03067468101</t>
  </si>
  <si>
    <t>03089259985</t>
  </si>
  <si>
    <t>03067896493</t>
  </si>
  <si>
    <t>03053615839</t>
  </si>
  <si>
    <t>03136285407</t>
  </si>
  <si>
    <t>03069592252</t>
  </si>
  <si>
    <t>03007305228</t>
  </si>
  <si>
    <t>03025116935</t>
  </si>
  <si>
    <t>03006350518</t>
  </si>
  <si>
    <t>03086297159</t>
  </si>
  <si>
    <t>03088298881</t>
  </si>
  <si>
    <t>03327123591</t>
  </si>
  <si>
    <t>03018376327</t>
  </si>
  <si>
    <t>2859/16-05-19</t>
  </si>
  <si>
    <t>2878/17-05-19</t>
  </si>
  <si>
    <t>2998/16-05-19</t>
  </si>
  <si>
    <t>2764/20-05-19</t>
  </si>
  <si>
    <t>2905/17-0-5-19</t>
  </si>
  <si>
    <t>2880/17-05-19</t>
  </si>
  <si>
    <t>2791/21-05-19</t>
  </si>
  <si>
    <t>2787/21-05-19</t>
  </si>
  <si>
    <t>2883/17-05-19</t>
  </si>
  <si>
    <t>2882/17-05-19</t>
  </si>
  <si>
    <t>2999/16-05-19</t>
  </si>
  <si>
    <t>2939/18-05-19</t>
  </si>
  <si>
    <t>2888/17-05-19</t>
  </si>
  <si>
    <t>2940/18-05-19</t>
  </si>
  <si>
    <t>2879/17-05-19</t>
  </si>
  <si>
    <t>2903-16-05-19</t>
  </si>
  <si>
    <t>2772/20-05-19</t>
  </si>
  <si>
    <t>2754/18-05-19</t>
  </si>
  <si>
    <t>2753/18-05-19</t>
  </si>
  <si>
    <t>5166/28-05-19</t>
  </si>
  <si>
    <t>2881/17-05-19</t>
  </si>
  <si>
    <t>2796/16-05-19</t>
  </si>
  <si>
    <t>2997/16-05-19</t>
  </si>
  <si>
    <t>2786/21-05-19</t>
  </si>
  <si>
    <t>2992/16-05-19</t>
  </si>
  <si>
    <t>2872/17-05-19</t>
  </si>
  <si>
    <t>5197/23-09-19</t>
  </si>
  <si>
    <t>2500/30-07-19</t>
  </si>
  <si>
    <t>5072/05-208-19</t>
  </si>
  <si>
    <t>5263/04-09-19</t>
  </si>
  <si>
    <t>5223/28-08-19</t>
  </si>
  <si>
    <t>5014/30-07-19</t>
  </si>
  <si>
    <t>5063/02-08-19</t>
  </si>
  <si>
    <t>5220/28-08-19</t>
  </si>
  <si>
    <t>5048/01-08-19</t>
  </si>
  <si>
    <t>5027/31-07-19</t>
  </si>
  <si>
    <t>2482/29-07-19</t>
  </si>
  <si>
    <t>5121/02-08-19</t>
  </si>
  <si>
    <t>2483/29-07-19</t>
  </si>
  <si>
    <t>5012/30-07-19</t>
  </si>
  <si>
    <t>5051/01-08-19</t>
  </si>
  <si>
    <t>5262/04-09-19</t>
  </si>
  <si>
    <t>5170/29-08-19</t>
  </si>
  <si>
    <t>6045/05-10-19</t>
  </si>
  <si>
    <t>2485/29-07-19</t>
  </si>
  <si>
    <t>5031/31-07-19</t>
  </si>
  <si>
    <t>5119/02-08-19</t>
  </si>
  <si>
    <t>5068/05-08-19</t>
  </si>
  <si>
    <t>5297/20-09-19</t>
  </si>
  <si>
    <t>MARYAM ASGHAR</t>
  </si>
  <si>
    <t>ALEEZA KHALID</t>
  </si>
  <si>
    <t>ATTIA UBAIDULLAH</t>
  </si>
  <si>
    <t>IZZA SAADAT</t>
  </si>
  <si>
    <t>AMNA  AKRAM</t>
  </si>
  <si>
    <t>MARYAM ARSHAD</t>
  </si>
  <si>
    <t>MISBAH SHAKOOR</t>
  </si>
  <si>
    <t>NISHA</t>
  </si>
  <si>
    <t>JAWERIA NAEEM</t>
  </si>
  <si>
    <t>IQRA IQBAL</t>
  </si>
  <si>
    <t>MALAIKA KASHIF</t>
  </si>
  <si>
    <t>RIMSHA ZAFAR</t>
  </si>
  <si>
    <t>ASMA NASRULLAH</t>
  </si>
  <si>
    <t>ATIKA AROOJ</t>
  </si>
  <si>
    <t>AYESHA AJMAL</t>
  </si>
  <si>
    <t>MANEM MINALLAH</t>
  </si>
  <si>
    <t>SILAH BIB</t>
  </si>
  <si>
    <t>AYESHA USMAN</t>
  </si>
  <si>
    <t>ASIFA BIBI</t>
  </si>
  <si>
    <t>AIMAN SAJJAD</t>
  </si>
  <si>
    <t>IQRA SALEEM</t>
  </si>
  <si>
    <t>SIDRAH BATOOL</t>
  </si>
  <si>
    <t>AYESHA MUKHTIAR</t>
  </si>
  <si>
    <t>AMINA ABDULLAH</t>
  </si>
  <si>
    <t>KHALIDA BIBI</t>
  </si>
  <si>
    <t>AYESHA PERVEEN</t>
  </si>
  <si>
    <t>MAHEEN SHABIR</t>
  </si>
  <si>
    <t>HUMAIRA GHAFOOR</t>
  </si>
  <si>
    <t>WASEEHA MUNIR</t>
  </si>
  <si>
    <t>SUMAIRA YOUNAS</t>
  </si>
  <si>
    <t>SABA NOSHEEN</t>
  </si>
  <si>
    <t>ZAINAB BIBI</t>
  </si>
  <si>
    <t>HAFZA AMEER</t>
  </si>
  <si>
    <t>IQRA NAZ</t>
  </si>
  <si>
    <t>MEHWISH HAMEED</t>
  </si>
  <si>
    <t>AYESHA YAQOOB</t>
  </si>
  <si>
    <t xml:space="preserve"> IRSA SABIR</t>
  </si>
  <si>
    <t>AQSA IDREES</t>
  </si>
  <si>
    <t>RIFFAT MUNIR</t>
  </si>
  <si>
    <t>MUQADDAS MUBEEN</t>
  </si>
  <si>
    <t>RIMSHA SARFRAZ</t>
  </si>
  <si>
    <t>UZMA QADEER</t>
  </si>
  <si>
    <t>SABA ASLAM</t>
  </si>
  <si>
    <t>SHAZMA NOREEN</t>
  </si>
  <si>
    <t>JAVERIA ALI</t>
  </si>
  <si>
    <t>ZUNAIRA NADEEM</t>
  </si>
  <si>
    <t>FATIMA MAQSOOD</t>
  </si>
  <si>
    <t>AREEJ  HAYAT</t>
  </si>
  <si>
    <t>ASMA RIAZ</t>
  </si>
  <si>
    <t>AMINA BIBI</t>
  </si>
  <si>
    <t xml:space="preserve">RABIA </t>
  </si>
  <si>
    <t>SANA AKRAM</t>
  </si>
  <si>
    <t>TEHREEM PERVAIZ</t>
  </si>
  <si>
    <t>TUBA IJAZ</t>
  </si>
  <si>
    <t>IQRA ZULFIQAR</t>
  </si>
  <si>
    <t>NOOR JAVAID</t>
  </si>
  <si>
    <t>ANIQA ARSHAD</t>
  </si>
  <si>
    <t>ZAINAB SATTAR</t>
  </si>
  <si>
    <t>SABA GHAFOOR</t>
  </si>
  <si>
    <t>SAIRA SIDDIQUE</t>
  </si>
  <si>
    <t>NABIA AMIR</t>
  </si>
  <si>
    <t>SHAMIM YASEEN</t>
  </si>
  <si>
    <t>MEHREEN ALEEM</t>
  </si>
  <si>
    <t>NOOR FATIMA</t>
  </si>
  <si>
    <t>ASIA KOUSAR</t>
  </si>
  <si>
    <t>SHEMAIM YOUSAF</t>
  </si>
  <si>
    <t>KIRAN SHAHZADI</t>
  </si>
  <si>
    <t>AQSA RAZZAQ</t>
  </si>
  <si>
    <t>HUMAIRA KANWAL</t>
  </si>
  <si>
    <t>KAINAT AMEEN</t>
  </si>
  <si>
    <t>KHALID SALEEM</t>
  </si>
  <si>
    <t>UBAIDULLAH</t>
  </si>
  <si>
    <t>M SAADAT</t>
  </si>
  <si>
    <t xml:space="preserve">M TASLEEM </t>
  </si>
  <si>
    <t>M NAEEM</t>
  </si>
  <si>
    <t>KASHIF ALI.</t>
  </si>
  <si>
    <t>ZAFAR ULLAH</t>
  </si>
  <si>
    <t>MUSSARAT JAVAID</t>
  </si>
  <si>
    <t>ZULFIQAR ALI HAYDER</t>
  </si>
  <si>
    <t>ABDUL USMAN</t>
  </si>
  <si>
    <t>M ASGHAR ALI</t>
  </si>
  <si>
    <t>SAJJAD HAYDER</t>
  </si>
  <si>
    <t>WADI HUSSAIN</t>
  </si>
  <si>
    <t>MUKHTIAR ALI</t>
  </si>
  <si>
    <t>M SHABIR</t>
  </si>
  <si>
    <t>M MUNIR</t>
  </si>
  <si>
    <t xml:space="preserve">M YOUNAS </t>
  </si>
  <si>
    <t>M YAHYA</t>
  </si>
  <si>
    <t>SABIR HUSSAIN</t>
  </si>
  <si>
    <t>GHULAM YASEEN</t>
  </si>
  <si>
    <t>AHMAD ALI</t>
  </si>
  <si>
    <t xml:space="preserve">MUNIR AHMAD </t>
  </si>
  <si>
    <t>M MOBEEN</t>
  </si>
  <si>
    <t xml:space="preserve"> </t>
  </si>
  <si>
    <t>M QADEER</t>
  </si>
  <si>
    <t xml:space="preserve">M MANSHA </t>
  </si>
  <si>
    <t xml:space="preserve">M ALI </t>
  </si>
  <si>
    <t xml:space="preserve">M HAYAT </t>
  </si>
  <si>
    <t>H RIAZ HUSSAIN</t>
  </si>
  <si>
    <t>FARZAND ALI</t>
  </si>
  <si>
    <t xml:space="preserve">AMIR ALI </t>
  </si>
  <si>
    <t xml:space="preserve">M AKRAM </t>
  </si>
  <si>
    <t>PERVAIZ AKHTAR</t>
  </si>
  <si>
    <t>RANA ZULFIQAR</t>
  </si>
  <si>
    <t>JAVAID GHAFFAR</t>
  </si>
  <si>
    <t xml:space="preserve">M YASEEN </t>
  </si>
  <si>
    <t>ABDUL ALEEM</t>
  </si>
  <si>
    <t>SHAKH M  ATHAR</t>
  </si>
  <si>
    <t>M AMIN</t>
  </si>
  <si>
    <t>03052313294</t>
  </si>
  <si>
    <t>03068651079</t>
  </si>
  <si>
    <t>03047731210</t>
  </si>
  <si>
    <t>03027603037</t>
  </si>
  <si>
    <t>03466919245</t>
  </si>
  <si>
    <t>03076454680</t>
  </si>
  <si>
    <t>03061134139</t>
  </si>
  <si>
    <t>03015052030</t>
  </si>
  <si>
    <t>03086995696</t>
  </si>
  <si>
    <t>03056572176</t>
  </si>
  <si>
    <t>03039326030</t>
  </si>
  <si>
    <t>03337658030</t>
  </si>
  <si>
    <t>03335329996</t>
  </si>
  <si>
    <t>03066327990</t>
  </si>
  <si>
    <t>03017575240</t>
  </si>
  <si>
    <t>03077451979</t>
  </si>
  <si>
    <t>03056574683</t>
  </si>
  <si>
    <t>03346813144</t>
  </si>
  <si>
    <t>03475740155</t>
  </si>
  <si>
    <t>03037869808</t>
  </si>
  <si>
    <t>03004163039</t>
  </si>
  <si>
    <t>03440168125</t>
  </si>
  <si>
    <t>03017855200</t>
  </si>
  <si>
    <t>03047312249</t>
  </si>
  <si>
    <t>03018786922</t>
  </si>
  <si>
    <t>03003626432</t>
  </si>
  <si>
    <t>03217356476</t>
  </si>
  <si>
    <t>03012080597</t>
  </si>
  <si>
    <t>03013118578</t>
  </si>
  <si>
    <t>03236446430</t>
  </si>
  <si>
    <t>03030868625</t>
  </si>
  <si>
    <t>03447035172</t>
  </si>
  <si>
    <t>03437355306</t>
  </si>
  <si>
    <t>03023739660</t>
  </si>
  <si>
    <t>03047998030</t>
  </si>
  <si>
    <t>03434320474</t>
  </si>
  <si>
    <t>03017482748</t>
  </si>
  <si>
    <t>030279495533</t>
  </si>
  <si>
    <t>03027321518</t>
  </si>
  <si>
    <t>03027380849</t>
  </si>
  <si>
    <t>03486572903</t>
  </si>
  <si>
    <t>03003996186</t>
  </si>
  <si>
    <t>03097011336</t>
  </si>
  <si>
    <t>03336178468</t>
  </si>
  <si>
    <t>03047834363</t>
  </si>
  <si>
    <t>03017823437</t>
  </si>
  <si>
    <t>03043032681</t>
  </si>
  <si>
    <t>03040705509</t>
  </si>
  <si>
    <t>03017372983</t>
  </si>
  <si>
    <t>03227535437</t>
  </si>
  <si>
    <t>03086626169</t>
  </si>
  <si>
    <t>03071872139</t>
  </si>
  <si>
    <t>03077371753</t>
  </si>
  <si>
    <t>03455832322</t>
  </si>
  <si>
    <t>03037242525</t>
  </si>
  <si>
    <t>03008534529</t>
  </si>
  <si>
    <t>03016586531</t>
  </si>
  <si>
    <t>03048877935</t>
  </si>
  <si>
    <t>03023791572</t>
  </si>
  <si>
    <t>03047373028</t>
  </si>
  <si>
    <t>03047760363</t>
  </si>
  <si>
    <t>03346023468</t>
  </si>
  <si>
    <t>03057852796</t>
  </si>
  <si>
    <t>2751/18-05-19</t>
  </si>
  <si>
    <t>5163/26-08-19</t>
  </si>
  <si>
    <t>2944/18-05-19</t>
  </si>
  <si>
    <t>2466/27-05-19</t>
  </si>
  <si>
    <t>2924/18-05-19</t>
  </si>
  <si>
    <t>2925/18-05-19</t>
  </si>
  <si>
    <t>2889/17-05-19</t>
  </si>
  <si>
    <t>2885/17-05-19</t>
  </si>
  <si>
    <t>2900/17-05-19</t>
  </si>
  <si>
    <t>2461/23-05-19</t>
  </si>
  <si>
    <t>2756/18-05-19</t>
  </si>
  <si>
    <t>2741/29-07-19</t>
  </si>
  <si>
    <t>2755/18-05-19</t>
  </si>
  <si>
    <t>2897/17-05-19</t>
  </si>
  <si>
    <t>2781/20-05-19</t>
  </si>
  <si>
    <t>2894/17-05-19</t>
  </si>
  <si>
    <t>2965/15-05-19</t>
  </si>
  <si>
    <t>2912/17-05-19</t>
  </si>
  <si>
    <t>2923/18-05-19</t>
  </si>
  <si>
    <t>2910/17-05-19</t>
  </si>
  <si>
    <t>2896/17-05-19</t>
  </si>
  <si>
    <t>5088/07-08-19</t>
  </si>
  <si>
    <t>2773/20-05-19</t>
  </si>
  <si>
    <t>2861/16-05-19</t>
  </si>
  <si>
    <t>5005/30-07-19</t>
  </si>
  <si>
    <t>2914/17-05-19</t>
  </si>
  <si>
    <t>2890/17-05-19</t>
  </si>
  <si>
    <t>2906/17-05-19</t>
  </si>
  <si>
    <t>5136/10-08-19</t>
  </si>
  <si>
    <t>2454/22-05-19</t>
  </si>
  <si>
    <t>1871/20-05-19</t>
  </si>
  <si>
    <t>2776/2005-19</t>
  </si>
  <si>
    <t>2892/17-05-19</t>
  </si>
  <si>
    <t>2915/17-05-19</t>
  </si>
  <si>
    <t>2456/23-05-19</t>
  </si>
  <si>
    <t>2757/18-05-19</t>
  </si>
  <si>
    <t>2978/16-05-19</t>
  </si>
  <si>
    <t>2762/20-05-19</t>
  </si>
  <si>
    <t>2877/18-05-19</t>
  </si>
  <si>
    <t>2768/20-05-19</t>
  </si>
  <si>
    <t>2752/18-05-19</t>
  </si>
  <si>
    <t>2942/18-05-19</t>
  </si>
  <si>
    <t>2867/17-05-19</t>
  </si>
  <si>
    <t>2763/20-05-19</t>
  </si>
  <si>
    <t>2856/16-05-19</t>
  </si>
  <si>
    <t>2991/16-05-19</t>
  </si>
  <si>
    <t>5271/04-09-19</t>
  </si>
  <si>
    <t>2949/18-05-19</t>
  </si>
  <si>
    <t>2782/20-05-19</t>
  </si>
  <si>
    <t>2884/17-05-19</t>
  </si>
  <si>
    <t>5221/28-08-19</t>
  </si>
  <si>
    <t>2887/17-05-19</t>
  </si>
  <si>
    <t>2977/16-05-19</t>
  </si>
  <si>
    <t>5272/04-09-19</t>
  </si>
  <si>
    <t>2886/17-05-19</t>
  </si>
  <si>
    <t>2891/17-05-19</t>
  </si>
  <si>
    <t>2797/21-05-19</t>
  </si>
  <si>
    <t>5245/31-08-19</t>
  </si>
  <si>
    <t>3000/16-05-19</t>
  </si>
  <si>
    <t>5035/31-07-19</t>
  </si>
  <si>
    <t>5269/04-09-19</t>
  </si>
  <si>
    <t>6036/04-10-19</t>
  </si>
  <si>
    <t>5039/31-07-19</t>
  </si>
  <si>
    <t>5055/01-08-19</t>
  </si>
  <si>
    <t>5142/22-08-19</t>
  </si>
  <si>
    <t>5120/02-08-19</t>
  </si>
  <si>
    <t>2480/29-07-19</t>
  </si>
  <si>
    <t>5284/12-05-19</t>
  </si>
  <si>
    <t>5274/05-09-19</t>
  </si>
  <si>
    <t>5042/31-07-19</t>
  </si>
  <si>
    <t>6011/26-09-19</t>
  </si>
  <si>
    <t>6047/05-10-19</t>
  </si>
  <si>
    <t>5101/30-07-19</t>
  </si>
  <si>
    <t>5275/06-09-19</t>
  </si>
  <si>
    <t>5137/10-08-19</t>
  </si>
  <si>
    <t>5219/27-08-19</t>
  </si>
  <si>
    <t>5047/01-08-19</t>
  </si>
  <si>
    <t>5105/01-08-19</t>
  </si>
  <si>
    <t>5133/06-08-19</t>
  </si>
  <si>
    <t>5107/01-08-19</t>
  </si>
  <si>
    <t>6049/05-10-19</t>
  </si>
  <si>
    <t>6056/07-10-19</t>
  </si>
  <si>
    <t>2738/20-07-19</t>
  </si>
  <si>
    <t>5286/13-09-19</t>
  </si>
  <si>
    <t>5022/31-07-19</t>
  </si>
  <si>
    <t>5235/30-08-19</t>
  </si>
  <si>
    <t>5077/06-08-19</t>
  </si>
  <si>
    <t>5246/02-09-19</t>
  </si>
  <si>
    <t>5160/23-08-19</t>
  </si>
  <si>
    <t>5019/31-07-19</t>
  </si>
  <si>
    <t>5250/03-09-19</t>
  </si>
  <si>
    <t>6040/05-10-19</t>
  </si>
  <si>
    <t>5141/21-08-19</t>
  </si>
  <si>
    <t>5096/22-08-19</t>
  </si>
  <si>
    <t>5118/02-08-19</t>
  </si>
  <si>
    <t>5061/01-08-19</t>
  </si>
  <si>
    <t>5067/05-08-19</t>
  </si>
  <si>
    <t>5273-05-09-19</t>
  </si>
  <si>
    <t>5108/01-08-19</t>
  </si>
  <si>
    <t>2451/20-05-19</t>
  </si>
  <si>
    <t>5110/01-08-19</t>
  </si>
  <si>
    <t>5109/01-08-19</t>
  </si>
  <si>
    <t>5201/22-08-19</t>
  </si>
  <si>
    <t>5044/01-08-19</t>
  </si>
  <si>
    <t>5236/30-08-19</t>
  </si>
  <si>
    <t>6069/08-10-19</t>
  </si>
  <si>
    <t>6051/05-10-19</t>
  </si>
  <si>
    <t>6029/03-10-19</t>
  </si>
  <si>
    <t>6067/07-10-19</t>
  </si>
  <si>
    <t>6028/03-10-19</t>
  </si>
  <si>
    <t>6030/03-10-19</t>
  </si>
  <si>
    <t>5078/06-08-19</t>
  </si>
  <si>
    <t>6041/05-10-19</t>
  </si>
  <si>
    <t>5200/03-10-19</t>
  </si>
  <si>
    <t>M.Waseem Akram</t>
  </si>
  <si>
    <t>M.Amir Iqbal</t>
  </si>
  <si>
    <t>6th Installment</t>
  </si>
  <si>
    <t>7th Installment</t>
  </si>
  <si>
    <t>8th Installment</t>
  </si>
  <si>
    <t>subjects</t>
  </si>
  <si>
    <t>Registrion fee</t>
  </si>
  <si>
    <t>Paid Amont</t>
  </si>
  <si>
    <t xml:space="preserve"> College Admission Fee</t>
  </si>
  <si>
    <t>4TH Years Semester</t>
  </si>
  <si>
    <t xml:space="preserve"> College Admission Fee Paid</t>
  </si>
  <si>
    <t>Admission fee</t>
  </si>
  <si>
    <t>registrion</t>
  </si>
  <si>
    <t>ok</t>
  </si>
  <si>
    <t>Muzzamil Shah</t>
  </si>
  <si>
    <t>20141/2-9-25</t>
  </si>
  <si>
    <t>Bscs</t>
  </si>
  <si>
    <t>Cell NO</t>
  </si>
  <si>
    <t>03357810156/03033164244</t>
  </si>
  <si>
    <t>Aalia Shahid</t>
  </si>
  <si>
    <t>M Shahid</t>
  </si>
  <si>
    <t>Bs</t>
  </si>
  <si>
    <t>English</t>
  </si>
  <si>
    <t>20248/9-9-25</t>
  </si>
  <si>
    <t>Esha Mursaleen</t>
  </si>
  <si>
    <t>M Mursaleen</t>
  </si>
  <si>
    <t>20243/9-9-25</t>
  </si>
  <si>
    <t>Hira Sajjad</t>
  </si>
  <si>
    <t>ADA</t>
  </si>
  <si>
    <t>20450/22-9-25</t>
  </si>
  <si>
    <t>M Shehram</t>
  </si>
  <si>
    <t>Ejaz Ahmad</t>
  </si>
  <si>
    <t>20174/4-9-25</t>
  </si>
  <si>
    <t>Uni RegFee</t>
  </si>
  <si>
    <t>M Iqbal</t>
  </si>
  <si>
    <t>bs</t>
  </si>
  <si>
    <t>Cs</t>
  </si>
  <si>
    <t>Dur-e-Tehreem</t>
  </si>
  <si>
    <t>Shokat Ali</t>
  </si>
  <si>
    <t>cs</t>
  </si>
  <si>
    <t>20465/22-9-25</t>
  </si>
  <si>
    <t>Abdull Rehman</t>
  </si>
  <si>
    <t>20462/22-9-25</t>
  </si>
  <si>
    <t>03267973372/03126645853</t>
  </si>
  <si>
    <t>Ghamza E Gull</t>
  </si>
  <si>
    <t>M Bilal Ahmad</t>
  </si>
  <si>
    <t>03006381430/03136519191</t>
  </si>
  <si>
    <t>20320/30-9-25</t>
  </si>
  <si>
    <t>Laiba Rasheed</t>
  </si>
  <si>
    <t>03182452106/03027828744</t>
  </si>
  <si>
    <t>20328/1-10-25</t>
  </si>
  <si>
    <t>20350/2-10-25</t>
  </si>
  <si>
    <t>Areeba Abbas</t>
  </si>
  <si>
    <t>M Abbas</t>
  </si>
  <si>
    <t>20349/2-10-25</t>
  </si>
  <si>
    <t>M Hussain</t>
  </si>
  <si>
    <t>M Younis</t>
  </si>
  <si>
    <t>Yasmeen Arshad</t>
  </si>
  <si>
    <t>M Arshad</t>
  </si>
  <si>
    <t>03434341102/03055729752</t>
  </si>
  <si>
    <t>21405/7-10-25</t>
  </si>
  <si>
    <t>Afsah Zahid</t>
  </si>
  <si>
    <t>Zahid Aziz</t>
  </si>
  <si>
    <t>21481/11-10-25</t>
  </si>
  <si>
    <t>Alishba Asmat</t>
  </si>
  <si>
    <t>Bagh Ali</t>
  </si>
  <si>
    <t>21485/13-10-25</t>
  </si>
  <si>
    <t>Umaima Iqbal</t>
  </si>
  <si>
    <t>Abdull Hameed</t>
  </si>
  <si>
    <t>0332713996/03067556993/03135800667</t>
  </si>
  <si>
    <t>21490/13-10-25</t>
  </si>
  <si>
    <t>Muhammad Muzammil Hussain</t>
  </si>
  <si>
    <t>21502/14-10-25</t>
  </si>
  <si>
    <t>Rahat Ul Ain</t>
  </si>
  <si>
    <t>Shakeel Ahmad</t>
  </si>
  <si>
    <t>Abdull Khaliq</t>
  </si>
  <si>
    <t>21517/16-10-25</t>
  </si>
  <si>
    <t>21519/16-10-25</t>
  </si>
  <si>
    <t>Amara Atique</t>
  </si>
  <si>
    <t>Atique Ullah Khan</t>
  </si>
  <si>
    <t>03009050594/03012984298</t>
  </si>
  <si>
    <t>Hina Hafeez</t>
  </si>
  <si>
    <t>M Hafeez</t>
  </si>
  <si>
    <t>CS</t>
  </si>
  <si>
    <t>BS</t>
  </si>
  <si>
    <t>03191742003/03006918831</t>
  </si>
  <si>
    <t>Aleena Seikh</t>
  </si>
  <si>
    <t>03037863986/03038187709</t>
  </si>
  <si>
    <t>21539/18-10-25</t>
  </si>
  <si>
    <t>21538/18-10-25</t>
  </si>
  <si>
    <t>uni fee college fee k ander hy</t>
  </si>
  <si>
    <t>03066388532/03326875768</t>
  </si>
  <si>
    <t>Maryam Liaqat</t>
  </si>
  <si>
    <t>03017514083/03287322795</t>
  </si>
  <si>
    <t>21583/21-10-25</t>
  </si>
  <si>
    <t>Hadia Mushtaq</t>
  </si>
  <si>
    <t>Mushtaq Ahmad</t>
  </si>
  <si>
    <t>3070577301/03044493419</t>
  </si>
  <si>
    <t>21637/24-10-25</t>
  </si>
  <si>
    <t>Ubaid Ur Rehman</t>
  </si>
  <si>
    <t>21624/25-10-25</t>
  </si>
  <si>
    <t xml:space="preserve">Nimra Asif </t>
  </si>
  <si>
    <t>Asif ALI</t>
  </si>
  <si>
    <t>21689/28-10-25</t>
  </si>
  <si>
    <t>Syead Tooba Rehman</t>
  </si>
  <si>
    <t>Hafiza WajeehUr REHMAN</t>
  </si>
  <si>
    <t>21694/29-10-25</t>
  </si>
  <si>
    <t>Samra Amjad Ali</t>
  </si>
  <si>
    <t>03017821766/03015355453</t>
  </si>
  <si>
    <t xml:space="preserve">Rabia Ambreen </t>
  </si>
  <si>
    <t>Shabbir Ahmad</t>
  </si>
  <si>
    <t>03074190607/03467010607</t>
  </si>
  <si>
    <t>21705/01-11-25</t>
  </si>
  <si>
    <t>Amna Iqbal</t>
  </si>
  <si>
    <t>03002701460/03044520870</t>
  </si>
  <si>
    <t>21765/7-11-25</t>
  </si>
  <si>
    <t>16000 Reg +adm fee</t>
  </si>
  <si>
    <t xml:space="preserve">Samreen Fatima </t>
  </si>
  <si>
    <t>Seikh Muhammad Aslam</t>
  </si>
  <si>
    <t>Zoology</t>
  </si>
  <si>
    <t>03027845099/03189415199</t>
  </si>
  <si>
    <t>21773/8-11-25</t>
  </si>
  <si>
    <t>21774/8-11-25</t>
  </si>
  <si>
    <t>Anshra Nasir</t>
  </si>
  <si>
    <t>03084923432/03196519935</t>
  </si>
  <si>
    <t>21795/10-11-25</t>
  </si>
  <si>
    <t>26818/11-11-25</t>
  </si>
  <si>
    <t>Khadija Mushtaq</t>
  </si>
  <si>
    <t>M Mushtaq</t>
  </si>
  <si>
    <t>26866/17-11-25</t>
  </si>
  <si>
    <t>Iqra Ilyas</t>
  </si>
  <si>
    <t>M Ilyas</t>
  </si>
  <si>
    <t>Ayesha Liaqat</t>
  </si>
  <si>
    <t>Amna Batool</t>
  </si>
  <si>
    <t>Abdull Hayee</t>
  </si>
  <si>
    <t>03008391183/03017114903</t>
  </si>
  <si>
    <t>26889/19-11-25</t>
  </si>
  <si>
    <t>Iram Maryam</t>
  </si>
  <si>
    <t>Amjad Ali</t>
  </si>
  <si>
    <t>16000 adm fee b sath</t>
  </si>
  <si>
    <t>22302/1-12-25</t>
  </si>
  <si>
    <t>22365/8-12-25</t>
  </si>
  <si>
    <t>22735/15-12-25</t>
  </si>
  <si>
    <t>Abdull Razzaq</t>
  </si>
  <si>
    <t>33653/5-1-26</t>
  </si>
  <si>
    <t>03081376114/03042081168</t>
  </si>
  <si>
    <t>Saher Yaseen</t>
  </si>
  <si>
    <t>M yaseen</t>
  </si>
  <si>
    <t>M  Waiz Tariq</t>
  </si>
  <si>
    <t>Tariq Saleem</t>
  </si>
  <si>
    <t>03138408401/03026053559</t>
  </si>
  <si>
    <t>23147/24-1-26</t>
  </si>
  <si>
    <t>23163/26-1-26</t>
  </si>
  <si>
    <t>20507/27-1-26</t>
  </si>
  <si>
    <t>Samra Sarwar</t>
  </si>
  <si>
    <t>Ghulam Sawar</t>
  </si>
  <si>
    <t xml:space="preserve">Sania Anwar </t>
  </si>
  <si>
    <t>M Anwar</t>
  </si>
  <si>
    <t>03043322458/03190201072</t>
  </si>
  <si>
    <t>Anam Noor</t>
  </si>
  <si>
    <t>M Ashiq</t>
  </si>
  <si>
    <t>03006583553/03006583553</t>
  </si>
  <si>
    <t>23088/09-2-26</t>
  </si>
  <si>
    <t>23223/31-1-26</t>
  </si>
  <si>
    <t>Sania Raheem</t>
  </si>
  <si>
    <t>Abdull Raheem</t>
  </si>
  <si>
    <t>23294/2-2-26</t>
  </si>
  <si>
    <t>Warda Nayyab</t>
  </si>
  <si>
    <t>Allah Baksh</t>
  </si>
  <si>
    <t>7000+9000</t>
  </si>
  <si>
    <t>20516/27-1-26</t>
  </si>
  <si>
    <t>26463/12-2-26</t>
  </si>
  <si>
    <t>Aniqa Zahid</t>
  </si>
  <si>
    <t>Zahid Javed</t>
  </si>
  <si>
    <t>26466/13-2-26</t>
  </si>
  <si>
    <t>26467/13-2-26</t>
  </si>
  <si>
    <t>03182370130/03008398986</t>
  </si>
  <si>
    <t>03269693107/03327127158</t>
  </si>
  <si>
    <t>03037350061/03027514060</t>
  </si>
  <si>
    <t xml:space="preserve">Ifra Khalid </t>
  </si>
  <si>
    <t>M khalid</t>
  </si>
  <si>
    <t>Math</t>
  </si>
  <si>
    <t>26499/21-2-26</t>
  </si>
  <si>
    <t>Maria Zafar</t>
  </si>
  <si>
    <t>Rana Zafar Iqbal</t>
  </si>
  <si>
    <t>03068773182/03176301101</t>
  </si>
  <si>
    <t>24714/26-2-26</t>
  </si>
  <si>
    <t>Fiza Zafar</t>
  </si>
  <si>
    <t>24713/26-2-26</t>
  </si>
  <si>
    <t>Halima Sadia</t>
  </si>
  <si>
    <t>Ayman Javed</t>
  </si>
  <si>
    <t>Ayesha Rafique</t>
  </si>
  <si>
    <t>Iqra Imran</t>
  </si>
  <si>
    <t>Maryam Wakeel</t>
  </si>
  <si>
    <t xml:space="preserve">Urwa Javed </t>
  </si>
  <si>
    <t>M javed</t>
  </si>
  <si>
    <t xml:space="preserve">M kashif </t>
  </si>
  <si>
    <t>Ghulam Mohy din</t>
  </si>
  <si>
    <t>Ayesha Akram</t>
  </si>
  <si>
    <t>M Akram</t>
  </si>
  <si>
    <t xml:space="preserve">Saira Bano </t>
  </si>
  <si>
    <t>24774/6-3-26</t>
  </si>
  <si>
    <t>Hassan Abdul Rehman</t>
  </si>
  <si>
    <t>24783/9-3-26</t>
  </si>
  <si>
    <t>24775/7-3-26</t>
  </si>
  <si>
    <t>Khansa Iqbal</t>
  </si>
  <si>
    <t>03008703677/03026740900</t>
  </si>
  <si>
    <t>32861/8-4-25</t>
  </si>
  <si>
    <t>03022530277/03235495091</t>
  </si>
  <si>
    <t>03249141130/03075071870</t>
  </si>
  <si>
    <t>03017609587/03026048971</t>
  </si>
  <si>
    <t>03007305228/03287346086</t>
  </si>
  <si>
    <t>M Saddique Shah</t>
  </si>
  <si>
    <t>1135/23-3-26</t>
  </si>
  <si>
    <t>1134/23-3-26</t>
  </si>
  <si>
    <t>1133/23-3-26</t>
  </si>
  <si>
    <t>21702/1-11-25/1132/23-3-26</t>
  </si>
  <si>
    <t>21505/14-10-25/1136/23-3-26</t>
  </si>
  <si>
    <t>1130/19-3-26</t>
  </si>
  <si>
    <t>1132/23-3-26</t>
  </si>
  <si>
    <t>20244/9-9-25/1129/23-3-26</t>
  </si>
  <si>
    <t>33770/23-3-26</t>
  </si>
  <si>
    <t>33768/23-3-26</t>
  </si>
  <si>
    <t>33767/19-3-26</t>
  </si>
  <si>
    <t>21502/14-10-25/1128/19-3-26</t>
  </si>
  <si>
    <t>23084/9-2-26/1137/23-3-26</t>
  </si>
  <si>
    <t>20174/4-9-25/20174/4-9-26</t>
  </si>
  <si>
    <t>26494/19-3-26</t>
  </si>
  <si>
    <t>22374/9-12-26/1140/23-3-26</t>
  </si>
  <si>
    <t>23-3-26</t>
  </si>
  <si>
    <t>1142/24-3-26</t>
  </si>
  <si>
    <t>26494/19-2-26/1138/23-3-26</t>
  </si>
  <si>
    <t>1144/24-3-26</t>
  </si>
  <si>
    <t>Naila Razam</t>
  </si>
  <si>
    <t>03017465696/03077311440</t>
  </si>
  <si>
    <t>33778/27-3-26</t>
  </si>
  <si>
    <t>1151/27-3-26</t>
  </si>
  <si>
    <t>1150/26-3-26</t>
  </si>
  <si>
    <t>Nisha Fatima</t>
  </si>
  <si>
    <t>1148/26-3-26</t>
  </si>
  <si>
    <t>1147/26-3-26</t>
  </si>
  <si>
    <t>21795/10-11-25/1146/25-3-26</t>
  </si>
  <si>
    <t>1145/24-3-26</t>
  </si>
  <si>
    <t>1141/24-3-26</t>
  </si>
  <si>
    <t>33771/24-3-26</t>
  </si>
  <si>
    <t>33772/24-3-26</t>
  </si>
  <si>
    <t>33774/26-3-26</t>
  </si>
  <si>
    <t>33775/26-3-26</t>
  </si>
  <si>
    <t xml:space="preserve">Romaisa Maryam </t>
  </si>
  <si>
    <t>M Saddique</t>
  </si>
  <si>
    <t>Areeba Naeem</t>
  </si>
  <si>
    <t>M Naeem</t>
  </si>
  <si>
    <t>03176301099/03049149426</t>
  </si>
  <si>
    <t>33786/30-3-26</t>
  </si>
  <si>
    <t>33785/30-3-26</t>
  </si>
  <si>
    <t>33784/30-3-26</t>
  </si>
  <si>
    <t>33783/28-3-26</t>
  </si>
  <si>
    <t>33781/28-3-26</t>
  </si>
  <si>
    <t>1159/30-3-26</t>
  </si>
  <si>
    <t>20465/22-9-25/1158/30-3-26</t>
  </si>
  <si>
    <t>1157/30-3-26</t>
  </si>
  <si>
    <t>1156/28-3-26</t>
  </si>
  <si>
    <t>1150/27-3-26</t>
  </si>
  <si>
    <t>03059778717/03146947148</t>
  </si>
  <si>
    <t>33799/03-04-26</t>
  </si>
  <si>
    <t>33799/3-4-26</t>
  </si>
  <si>
    <t>25902/4-4-26</t>
  </si>
  <si>
    <t>33797/3-4-26</t>
  </si>
  <si>
    <t>Hira Sajid</t>
  </si>
  <si>
    <t>M Sajid</t>
  </si>
  <si>
    <t>03027404971/03136285389</t>
  </si>
  <si>
    <t>25906/7-4-26</t>
  </si>
  <si>
    <t>601/28-3-26</t>
  </si>
  <si>
    <t>25905/6-4-26</t>
  </si>
  <si>
    <t>605/9-4-26</t>
  </si>
  <si>
    <t>25919/9-4-26</t>
  </si>
  <si>
    <t>693/14-4-26</t>
  </si>
  <si>
    <t>692/14-4-26</t>
  </si>
  <si>
    <t>690/14-4-26</t>
  </si>
  <si>
    <t>709/14-4-26</t>
  </si>
  <si>
    <t>682/14-4-26</t>
  </si>
  <si>
    <t>721/15-4-26</t>
  </si>
  <si>
    <t>Misbah Noureen</t>
  </si>
  <si>
    <t>6000+9000</t>
  </si>
  <si>
    <t>644/13-4-26</t>
  </si>
  <si>
    <t>640/13-4-26</t>
  </si>
  <si>
    <t>633/13-4-26</t>
  </si>
  <si>
    <t>611/13-4-26</t>
  </si>
  <si>
    <t>610/13-4-26</t>
  </si>
  <si>
    <t>607/11-4-26</t>
  </si>
  <si>
    <t>722/15-4-26</t>
  </si>
  <si>
    <t>25998/14-4-26</t>
  </si>
  <si>
    <t>7000+3000+6000</t>
  </si>
  <si>
    <t>25960/13-9-26</t>
  </si>
  <si>
    <t>7369/22-4-26</t>
  </si>
  <si>
    <t>7368/21-4-26</t>
  </si>
  <si>
    <t>7367/21-4-26</t>
  </si>
  <si>
    <t>7365/21-4-26</t>
  </si>
  <si>
    <t>7364/21-4-26</t>
  </si>
  <si>
    <t>7363/21-4-26</t>
  </si>
  <si>
    <t>7362/20-4-26</t>
  </si>
  <si>
    <t>7350/17-4-26</t>
  </si>
  <si>
    <t>7332/16-4-26</t>
  </si>
  <si>
    <t>6712/21-4-26</t>
  </si>
  <si>
    <t>6713/21-4-26</t>
  </si>
  <si>
    <t>Afifa Mohsin</t>
  </si>
  <si>
    <t>Ata Ul Mohsin</t>
  </si>
  <si>
    <t>M Nawaz</t>
  </si>
  <si>
    <t>749/17-4-26</t>
  </si>
  <si>
    <t>M Ramzan</t>
  </si>
  <si>
    <t>03437310416/03198295121</t>
  </si>
  <si>
    <t>6743/5-5-26</t>
  </si>
  <si>
    <t xml:space="preserve">M Ahmad </t>
  </si>
  <si>
    <t>eng</t>
  </si>
  <si>
    <t>6713/23-3-26</t>
  </si>
  <si>
    <t>Zakia</t>
  </si>
  <si>
    <t>745/17-4-26/757/1-5-26</t>
  </si>
  <si>
    <t>6774/7-5-26</t>
  </si>
  <si>
    <t>6765/6-5-26</t>
  </si>
  <si>
    <t>6764/6-5-26</t>
  </si>
  <si>
    <t>21512/16-10-25/6763/6-5-26</t>
  </si>
  <si>
    <t>6763/6-5-26</t>
  </si>
  <si>
    <t>Inroolment Foram</t>
  </si>
  <si>
    <t>inrolment</t>
  </si>
  <si>
    <t>7100+9000</t>
  </si>
  <si>
    <t>33517/14-5-26</t>
  </si>
  <si>
    <t>33541/14-5-26</t>
  </si>
  <si>
    <t>33540/14-5-26</t>
  </si>
  <si>
    <t>33516/13-5-26</t>
  </si>
  <si>
    <t>33534/14-5-26</t>
  </si>
  <si>
    <t>33532/14-5-26</t>
  </si>
  <si>
    <t>33529/14-5-26</t>
  </si>
  <si>
    <t>33527/14-5-26</t>
  </si>
  <si>
    <t>33510/13-5-26</t>
  </si>
  <si>
    <t>33509/13-5-26</t>
  </si>
  <si>
    <t>33503/13-5-26</t>
  </si>
  <si>
    <t>33587/15-5-26</t>
  </si>
  <si>
    <t>33586/15-5-26</t>
  </si>
  <si>
    <t>33578/15-5-26</t>
  </si>
  <si>
    <t>33564/14-5-26</t>
  </si>
  <si>
    <t>33567/15-5-26</t>
  </si>
  <si>
    <t>27663/18-5-26</t>
  </si>
  <si>
    <t>27647/16-5-26</t>
  </si>
  <si>
    <t>8000+9000</t>
  </si>
  <si>
    <t>6738/4-5-26/27636/16-5-26</t>
  </si>
  <si>
    <t>27635/16-5-26</t>
  </si>
  <si>
    <t>27817/25-5-26</t>
  </si>
  <si>
    <t>27838/3-6-26</t>
  </si>
  <si>
    <t>27857/3-6-26</t>
  </si>
  <si>
    <t>27839/3-6-26</t>
  </si>
  <si>
    <t>27833/3-6-26</t>
  </si>
  <si>
    <t>27832/3-6-26</t>
  </si>
  <si>
    <t>27867/4-6-26</t>
  </si>
  <si>
    <t>27866/4-6-26</t>
  </si>
  <si>
    <t>26262/5-6-26</t>
  </si>
  <si>
    <t>26260/5-6-26</t>
  </si>
  <si>
    <t>26256/4-6-26</t>
  </si>
  <si>
    <t>26254/4-6-26</t>
  </si>
  <si>
    <t>25198/9-6-26</t>
  </si>
  <si>
    <t>25198/9-6-25</t>
  </si>
  <si>
    <t>25195/9-6-26</t>
  </si>
  <si>
    <t>25134/9-8-26</t>
  </si>
  <si>
    <t>25126/9-6-26</t>
  </si>
  <si>
    <t>25123/9-6-26</t>
  </si>
  <si>
    <t>25121/9-6-26</t>
  </si>
  <si>
    <t>25106/8-6-26</t>
  </si>
  <si>
    <t>25102/8-6-26</t>
  </si>
  <si>
    <t>27404/9-6-26</t>
  </si>
  <si>
    <t>27416/9-6-26</t>
  </si>
  <si>
    <t>27420/10-6-26</t>
  </si>
  <si>
    <t>27429/10-6-26</t>
  </si>
  <si>
    <t>27431/10-6-26</t>
  </si>
  <si>
    <t>27446/11-6-26</t>
  </si>
  <si>
    <t>26287/8-6-26</t>
  </si>
  <si>
    <t>26270/8-6-26</t>
  </si>
  <si>
    <t>27570/22-6-26</t>
  </si>
  <si>
    <t>27589/29-6-26</t>
  </si>
  <si>
    <t>24470/7-7-26</t>
  </si>
  <si>
    <t>24457/6-7-26</t>
  </si>
  <si>
    <t>24453/6-7-26</t>
  </si>
  <si>
    <t>24441/3-7-26</t>
  </si>
  <si>
    <t>24311/20-7-26</t>
  </si>
  <si>
    <t>Abdull Rehman Amjad Ali</t>
  </si>
  <si>
    <t>24313/20-7-26</t>
  </si>
  <si>
    <t>24316/20-7-26</t>
  </si>
  <si>
    <t>24332/22-7-26</t>
  </si>
  <si>
    <t>24331/21-7-26</t>
  </si>
  <si>
    <t>24343/3-8-26</t>
  </si>
  <si>
    <t>27484/31-7-26</t>
  </si>
  <si>
    <t>27483/30-7-26</t>
  </si>
  <si>
    <t>27482/30-7-26</t>
  </si>
  <si>
    <t>27481/29-7-26</t>
  </si>
  <si>
    <t>27480/29-7-26</t>
  </si>
  <si>
    <t>27479/29-7-26</t>
  </si>
  <si>
    <t>27477/29-7-26</t>
  </si>
  <si>
    <t>24361/4-8-26</t>
  </si>
  <si>
    <t>25152/9-8-26</t>
  </si>
  <si>
    <t>24360/4-8-26</t>
  </si>
  <si>
    <t>24358/4-8-26</t>
  </si>
  <si>
    <t>24357/4-8-26</t>
  </si>
  <si>
    <t>24355/4-8-26</t>
  </si>
  <si>
    <t>24351/4-8-26</t>
  </si>
  <si>
    <t>24348/4-8-26</t>
  </si>
  <si>
    <t>26347/6-9-26</t>
  </si>
  <si>
    <t>26343/6-8-26</t>
  </si>
  <si>
    <t>26339/6-8-26</t>
  </si>
  <si>
    <t>26335/6-8-26</t>
  </si>
  <si>
    <t>26333/6-8-26</t>
  </si>
  <si>
    <t>26332/6-8-26</t>
  </si>
  <si>
    <t>26330/6-8-26</t>
  </si>
  <si>
    <t>26324/6-8-26</t>
  </si>
  <si>
    <t>26312/6-8-26</t>
  </si>
  <si>
    <t>26310/6-8-26</t>
  </si>
  <si>
    <t>26309/6-8-26</t>
  </si>
  <si>
    <t>26301/6-8-26</t>
  </si>
  <si>
    <t>25985/14-4-26</t>
  </si>
  <si>
    <t>24406/15-6-26</t>
  </si>
  <si>
    <t>29-7-26</t>
  </si>
  <si>
    <t>26371/10-8-26</t>
  </si>
  <si>
    <t>26370/10-8-26</t>
  </si>
  <si>
    <t>26369/10-8-26</t>
  </si>
  <si>
    <t>26367/10-8-26</t>
  </si>
  <si>
    <t>26400/12-08-26</t>
  </si>
  <si>
    <t>27727/18-9-26</t>
  </si>
  <si>
    <t>27729/18-9-26</t>
  </si>
  <si>
    <t>27725/18-9-26</t>
  </si>
  <si>
    <t>26391/12-8-26</t>
  </si>
  <si>
    <t>27733/19-9-26</t>
  </si>
  <si>
    <t>M Rafique</t>
  </si>
  <si>
    <t>M Wakeel</t>
  </si>
  <si>
    <t>27734/21-9-26</t>
  </si>
  <si>
    <t>1401/19-9-26</t>
  </si>
  <si>
    <t>1402/19-9-26</t>
  </si>
  <si>
    <t>1403/21-9-26</t>
  </si>
  <si>
    <t>1065/21-9-26</t>
  </si>
  <si>
    <t>1404/21-9-26</t>
  </si>
  <si>
    <t>27742/+21-9-26</t>
  </si>
  <si>
    <t>27742/21-9-26</t>
  </si>
  <si>
    <t>27739/21-9-26</t>
  </si>
  <si>
    <t>27735/19-9-26</t>
  </si>
  <si>
    <t>1406/21-9-26</t>
  </si>
  <si>
    <t>1405/21-9-26</t>
  </si>
  <si>
    <t>M Arif</t>
  </si>
  <si>
    <t>27744/21-9-26</t>
  </si>
  <si>
    <t>27745/21-9-26</t>
  </si>
  <si>
    <t>27753/22-9-26</t>
  </si>
  <si>
    <t>27750/22-9-26</t>
  </si>
  <si>
    <t>1075/11-9-26</t>
  </si>
  <si>
    <t>27760/23-9-26</t>
  </si>
  <si>
    <t>1098/7-10-26</t>
  </si>
  <si>
    <t>1412/7-10-26</t>
  </si>
  <si>
    <t>1408/3-10-26</t>
  </si>
  <si>
    <t>2006/8-10-26</t>
  </si>
  <si>
    <t>903/8-10-26</t>
  </si>
  <si>
    <t>904/8-10-26</t>
  </si>
  <si>
    <t>905/8-10-26</t>
  </si>
  <si>
    <t>906/8-10-26</t>
  </si>
  <si>
    <t>908/8-10-26</t>
  </si>
  <si>
    <t>909/8-10-26</t>
  </si>
  <si>
    <t>923/14-10-26</t>
  </si>
  <si>
    <t>927/15-10-26</t>
  </si>
  <si>
    <t>1427/15-10-26</t>
  </si>
  <si>
    <t>1421/15-10-26</t>
  </si>
  <si>
    <t>1428/15-10-26</t>
  </si>
  <si>
    <t>932/16-10-26</t>
  </si>
  <si>
    <t>1431/16-10-26</t>
  </si>
  <si>
    <t>33778/28-3-26</t>
  </si>
  <si>
    <t>940/17-10-26</t>
  </si>
  <si>
    <t>1441/17-10-26</t>
  </si>
  <si>
    <t>1438/17-10-26</t>
  </si>
  <si>
    <t>1435/17-10-26</t>
  </si>
  <si>
    <t>1470/20-10-26</t>
  </si>
  <si>
    <t>1486/20-10-26</t>
  </si>
  <si>
    <t>1480/20-10-26</t>
  </si>
  <si>
    <t>974/21-10-26</t>
  </si>
  <si>
    <t>949/19-10-26</t>
  </si>
  <si>
    <t>1454/19-10-26</t>
  </si>
  <si>
    <t>503/22-10-26</t>
  </si>
  <si>
    <t>978/22-10-26</t>
  </si>
  <si>
    <t>977/21-10-26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</si>
</sst>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 wrapText="1" readingOrder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14" fontId="0" fillId="9" borderId="1" xfId="0" applyNumberFormat="1" applyFill="1" applyBorder="1" applyAlignment="1">
      <alignment vertical="top" wrapText="1"/>
    </xf>
    <xf numFmtId="0" fontId="0" fillId="12" borderId="1" xfId="0" applyFont="1" applyFill="1" applyBorder="1" applyAlignment="1">
      <alignment vertical="top" wrapText="1"/>
    </xf>
    <xf numFmtId="0" fontId="0" fillId="1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9" borderId="1" xfId="0" applyFont="1" applyFill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/>
    <xf numFmtId="49" fontId="0" fillId="0" borderId="0" xfId="0" applyNumberFormat="1"/>
    <xf numFmtId="0" fontId="0" fillId="0" borderId="6" xfId="0" applyFill="1" applyBorder="1"/>
    <xf numFmtId="49" fontId="0" fillId="2" borderId="1" xfId="0" applyNumberFormat="1" applyFill="1" applyBorder="1" applyAlignment="1">
      <alignment vertical="top" wrapText="1"/>
    </xf>
    <xf numFmtId="0" fontId="0" fillId="0" borderId="1" xfId="0" applyFill="1" applyBorder="1"/>
    <xf numFmtId="0" fontId="4" fillId="10" borderId="1" xfId="0" applyFont="1" applyFill="1" applyBorder="1" applyAlignment="1">
      <alignment vertical="top" wrapText="1"/>
    </xf>
    <xf numFmtId="0" fontId="0" fillId="11" borderId="0" xfId="0" applyFont="1" applyFill="1"/>
    <xf numFmtId="0" fontId="0" fillId="11" borderId="1" xfId="0" applyFont="1" applyFill="1" applyBorder="1" applyAlignment="1">
      <alignment vertical="top" wrapText="1"/>
    </xf>
    <xf numFmtId="0" fontId="0" fillId="0" borderId="2" xfId="0" applyBorder="1"/>
    <xf numFmtId="49" fontId="0" fillId="0" borderId="2" xfId="0" applyNumberFormat="1" applyBorder="1"/>
    <xf numFmtId="0" fontId="5" fillId="0" borderId="6" xfId="0" applyFont="1" applyFill="1" applyBorder="1"/>
    <xf numFmtId="0" fontId="0" fillId="2" borderId="1" xfId="0" applyFill="1" applyBorder="1"/>
    <xf numFmtId="0" fontId="0" fillId="14" borderId="1" xfId="0" applyFill="1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6" fillId="14" borderId="1" xfId="0" applyFont="1" applyFill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9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7" fillId="10" borderId="7" xfId="0" applyFont="1" applyFill="1" applyBorder="1" applyAlignment="1">
      <alignment vertical="top" wrapText="1"/>
    </xf>
    <xf numFmtId="0" fontId="8" fillId="14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14" fontId="0" fillId="0" borderId="0" xfId="0" applyNumberFormat="1" applyAlignment="1">
      <alignment wrapText="1"/>
    </xf>
    <xf numFmtId="0" fontId="9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6" fillId="10" borderId="7" xfId="0" applyFont="1" applyFill="1" applyBorder="1" applyAlignment="1">
      <alignment vertical="top" wrapText="1"/>
    </xf>
    <xf numFmtId="0" fontId="6" fillId="14" borderId="7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10" borderId="9" xfId="0" applyFont="1" applyFill="1" applyBorder="1" applyAlignment="1">
      <alignment vertical="top" wrapText="1"/>
    </xf>
    <xf numFmtId="0" fontId="6" fillId="14" borderId="9" xfId="0" applyFont="1" applyFill="1" applyBorder="1" applyAlignment="1">
      <alignment wrapText="1"/>
    </xf>
    <xf numFmtId="0" fontId="6" fillId="14" borderId="11" xfId="0" applyFont="1" applyFill="1" applyBorder="1" applyAlignment="1">
      <alignment wrapText="1"/>
    </xf>
    <xf numFmtId="0" fontId="6" fillId="14" borderId="12" xfId="0" applyFont="1" applyFill="1" applyBorder="1" applyAlignment="1">
      <alignment wrapText="1"/>
    </xf>
    <xf numFmtId="0" fontId="7" fillId="10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wrapText="1"/>
    </xf>
    <xf numFmtId="0" fontId="8" fillId="14" borderId="2" xfId="0" applyFont="1" applyFill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3" xfId="0" applyFont="1" applyBorder="1" applyAlignment="1">
      <alignment wrapText="1"/>
    </xf>
    <xf numFmtId="0" fontId="0" fillId="0" borderId="3" xfId="0" applyBorder="1" applyAlignment="1">
      <alignment wrapText="1"/>
    </xf>
    <xf numFmtId="0" fontId="8" fillId="14" borderId="0" xfId="0" applyFont="1" applyFill="1" applyBorder="1" applyAlignment="1">
      <alignment wrapText="1"/>
    </xf>
    <xf numFmtId="0" fontId="6" fillId="14" borderId="0" xfId="0" applyFont="1" applyFill="1" applyBorder="1" applyAlignment="1">
      <alignment wrapText="1"/>
    </xf>
    <xf numFmtId="14" fontId="0" fillId="0" borderId="0" xfId="0" applyNumberFormat="1" applyBorder="1" applyAlignment="1">
      <alignment wrapText="1"/>
    </xf>
    <xf numFmtId="0" fontId="3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wrapText="1"/>
    </xf>
    <xf numFmtId="0" fontId="0" fillId="0" borderId="0" xfId="0" applyBorder="1" applyAlignment="1">
      <alignment horizontal="center" wrapText="1"/>
    </xf>
    <xf numFmtId="0" fontId="6" fillId="0" borderId="0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7"/>
  <sheetViews>
    <sheetView tabSelected="1" topLeftCell="AE27" zoomScale="60" zoomScaleNormal="60" workbookViewId="0">
      <selection activeCell="AF33" sqref="AF33"/>
    </sheetView>
  </sheetViews>
  <sheetFormatPr defaultColWidth="9.140625" defaultRowHeight="23.25" x14ac:dyDescent="0.35"/>
  <cols>
    <col min="1" max="1" width="5.7109375" style="20" hidden="1" customWidth="1"/>
    <col min="2" max="2" width="6.28515625" style="100" customWidth="1"/>
    <col min="3" max="3" width="29.42578125" style="67" customWidth="1"/>
    <col min="4" max="4" width="32.28515625" style="67" customWidth="1"/>
    <col min="5" max="5" width="7.7109375" style="67" hidden="1" customWidth="1"/>
    <col min="6" max="6" width="17" style="67" customWidth="1"/>
    <col min="7" max="7" width="40.7109375" style="67" customWidth="1"/>
    <col min="8" max="8" width="27.42578125" style="67" customWidth="1"/>
    <col min="9" max="9" width="19.7109375" style="67" customWidth="1"/>
    <col min="10" max="10" width="36.7109375" style="67" hidden="1" customWidth="1"/>
    <col min="11" max="11" width="50" style="67" hidden="1" customWidth="1"/>
    <col min="12" max="12" width="16" style="67" hidden="1" customWidth="1"/>
    <col min="13" max="13" width="24.28515625" style="67" hidden="1" customWidth="1"/>
    <col min="14" max="14" width="14.85546875" style="67" hidden="1" customWidth="1"/>
    <col min="15" max="15" width="24.7109375" style="67" hidden="1" customWidth="1"/>
    <col min="16" max="16" width="21.28515625" style="67" hidden="1" customWidth="1"/>
    <col min="17" max="22" width="14.85546875" style="67" hidden="1" customWidth="1"/>
    <col min="23" max="23" width="4.5703125" style="67" hidden="1" customWidth="1"/>
    <col min="24" max="24" width="5" style="67" hidden="1" customWidth="1"/>
    <col min="25" max="25" width="12.42578125" style="67" hidden="1" customWidth="1"/>
    <col min="26" max="26" width="17.42578125" style="67" hidden="1" customWidth="1"/>
    <col min="27" max="27" width="14.85546875" style="67" hidden="1" customWidth="1"/>
    <col min="28" max="28" width="15.28515625" style="67" customWidth="1"/>
    <col min="29" max="29" width="12" style="67" customWidth="1"/>
    <col min="30" max="30" width="28.42578125" style="67" customWidth="1"/>
    <col min="31" max="31" width="11.5703125" style="67" customWidth="1"/>
    <col min="32" max="32" width="24.5703125" style="67" customWidth="1"/>
    <col min="33" max="33" width="14.85546875" style="67" customWidth="1"/>
    <col min="34" max="34" width="23.42578125" style="67" customWidth="1"/>
    <col min="35" max="35" width="14.85546875" style="67" customWidth="1"/>
    <col min="36" max="36" width="20.5703125" style="67" customWidth="1"/>
    <col min="37" max="45" width="14.85546875" style="67" customWidth="1"/>
    <col min="46" max="46" width="15.28515625" style="84" customWidth="1"/>
    <col min="47" max="47" width="12.42578125" style="67" customWidth="1"/>
    <col min="48" max="48" width="12.28515625" style="58" hidden="1" customWidth="1"/>
    <col min="49" max="49" width="13.42578125" style="20" hidden="1" customWidth="1"/>
    <col min="50" max="16384" width="9.140625" style="39"/>
  </cols>
  <sheetData>
    <row r="1" spans="1:50" hidden="1" x14ac:dyDescent="0.35">
      <c r="A1" s="57"/>
      <c r="B1" s="98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74"/>
      <c r="AV1" s="125"/>
    </row>
    <row r="2" spans="1:50" s="56" customFormat="1" ht="46.5" hidden="1" customHeight="1" x14ac:dyDescent="0.35">
      <c r="B2" s="99"/>
      <c r="C2" s="58"/>
      <c r="D2" s="58"/>
      <c r="E2" s="58"/>
      <c r="F2" s="58"/>
      <c r="G2" s="58" t="s">
        <v>4232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67"/>
      <c r="AV2" s="58"/>
      <c r="AW2" s="20"/>
    </row>
    <row r="3" spans="1:50" s="20" customFormat="1" ht="53.25" customHeight="1" x14ac:dyDescent="0.35">
      <c r="B3" s="100"/>
      <c r="C3" s="86" t="s">
        <v>1</v>
      </c>
      <c r="D3" s="86" t="s">
        <v>2</v>
      </c>
      <c r="E3" s="86" t="s">
        <v>1800</v>
      </c>
      <c r="F3" s="86" t="s">
        <v>4228</v>
      </c>
      <c r="G3" s="86" t="s">
        <v>4240</v>
      </c>
      <c r="H3" s="60" t="s">
        <v>4231</v>
      </c>
      <c r="I3" s="60"/>
      <c r="J3" s="60"/>
      <c r="K3" s="60"/>
      <c r="L3" s="60" t="s">
        <v>4229</v>
      </c>
      <c r="M3" s="60"/>
      <c r="N3" s="60"/>
      <c r="O3" s="60" t="s">
        <v>4233</v>
      </c>
      <c r="P3" s="60"/>
      <c r="Q3" s="60"/>
      <c r="R3" s="60" t="s">
        <v>4</v>
      </c>
      <c r="S3" s="61" t="s">
        <v>196</v>
      </c>
      <c r="T3" s="61" t="s">
        <v>195</v>
      </c>
      <c r="U3" s="61" t="s">
        <v>193</v>
      </c>
      <c r="V3" s="62" t="s">
        <v>197</v>
      </c>
      <c r="W3" s="63" t="s">
        <v>198</v>
      </c>
      <c r="X3" s="63" t="s">
        <v>195</v>
      </c>
      <c r="Y3" s="60" t="s">
        <v>4234</v>
      </c>
      <c r="Z3" s="63"/>
      <c r="AA3" s="60" t="s">
        <v>4231</v>
      </c>
      <c r="AB3" s="64" t="s">
        <v>1801</v>
      </c>
      <c r="AC3" s="64" t="s">
        <v>1804</v>
      </c>
      <c r="AD3" s="64" t="s">
        <v>1802</v>
      </c>
      <c r="AE3" s="65" t="s">
        <v>1805</v>
      </c>
      <c r="AF3" s="66" t="s">
        <v>1802</v>
      </c>
      <c r="AG3" s="76" t="s">
        <v>1803</v>
      </c>
      <c r="AH3" s="77" t="s">
        <v>193</v>
      </c>
      <c r="AI3" s="78" t="s">
        <v>9</v>
      </c>
      <c r="AJ3" s="78" t="s">
        <v>193</v>
      </c>
      <c r="AK3" s="76" t="s">
        <v>10</v>
      </c>
      <c r="AL3" s="76" t="s">
        <v>193</v>
      </c>
      <c r="AM3" s="76" t="s">
        <v>4225</v>
      </c>
      <c r="AN3" s="76" t="s">
        <v>193</v>
      </c>
      <c r="AO3" s="76" t="s">
        <v>4226</v>
      </c>
      <c r="AP3" s="76" t="s">
        <v>193</v>
      </c>
      <c r="AQ3" s="76" t="s">
        <v>4227</v>
      </c>
      <c r="AR3" s="76" t="s">
        <v>193</v>
      </c>
      <c r="AS3" s="79" t="s">
        <v>201</v>
      </c>
      <c r="AT3" s="118" t="s">
        <v>200</v>
      </c>
      <c r="AU3" s="130" t="s">
        <v>197</v>
      </c>
      <c r="AV3" s="126" t="s">
        <v>4230</v>
      </c>
      <c r="AW3" s="117" t="s">
        <v>4545</v>
      </c>
      <c r="AX3" s="120"/>
    </row>
    <row r="4" spans="1:50" ht="39.950000000000003" customHeight="1" x14ac:dyDescent="0.35">
      <c r="A4" s="159">
        <v>2</v>
      </c>
      <c r="B4" s="161">
        <v>1</v>
      </c>
      <c r="C4" s="157" t="s">
        <v>4247</v>
      </c>
      <c r="D4" s="157" t="s">
        <v>4248</v>
      </c>
      <c r="E4" s="157" t="s">
        <v>4244</v>
      </c>
      <c r="F4" s="163" t="s">
        <v>4245</v>
      </c>
      <c r="G4" s="163">
        <v>3065865541</v>
      </c>
      <c r="H4" s="149">
        <v>9000</v>
      </c>
      <c r="I4" s="163" t="s">
        <v>4693</v>
      </c>
      <c r="J4" s="163" t="s">
        <v>4392</v>
      </c>
      <c r="K4" s="163" t="s">
        <v>4443</v>
      </c>
      <c r="L4" s="163"/>
      <c r="M4" s="163"/>
      <c r="N4" s="163"/>
      <c r="O4" s="163"/>
      <c r="P4" s="165"/>
      <c r="Y4" s="59"/>
      <c r="Z4" s="59"/>
      <c r="AA4" s="163"/>
      <c r="AB4" s="68">
        <v>30000</v>
      </c>
      <c r="AC4" s="68">
        <v>30000</v>
      </c>
      <c r="AD4" s="68" t="s">
        <v>4249</v>
      </c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119"/>
      <c r="AU4" s="131">
        <f t="shared" ref="AU4:AU19" si="0">AB4-AC4-AE4-AG4-AI4-AK4-AM4-AO4-AQ4-AS4+AT4</f>
        <v>0</v>
      </c>
      <c r="AV4" s="127">
        <f>AC4+AE4+AG4+AI4+AK4+AM4</f>
        <v>30000</v>
      </c>
      <c r="AW4" s="121"/>
    </row>
    <row r="5" spans="1:50" ht="39.75" customHeight="1" x14ac:dyDescent="0.35">
      <c r="A5" s="160"/>
      <c r="B5" s="162"/>
      <c r="C5" s="158"/>
      <c r="D5" s="158"/>
      <c r="E5" s="158"/>
      <c r="F5" s="164"/>
      <c r="G5" s="164"/>
      <c r="H5" s="150"/>
      <c r="I5" s="164"/>
      <c r="J5" s="164"/>
      <c r="K5" s="164"/>
      <c r="L5" s="164"/>
      <c r="M5" s="164"/>
      <c r="N5" s="164"/>
      <c r="O5" s="164"/>
      <c r="P5" s="166"/>
      <c r="Y5" s="70"/>
      <c r="Z5" s="70"/>
      <c r="AA5" s="164"/>
      <c r="AB5" s="67">
        <v>30000</v>
      </c>
      <c r="AC5" s="67">
        <v>30000</v>
      </c>
      <c r="AD5" s="67" t="s">
        <v>4576</v>
      </c>
      <c r="AU5" s="72">
        <f t="shared" si="0"/>
        <v>0</v>
      </c>
      <c r="AV5" s="127">
        <f t="shared" ref="AV5:AV60" si="1">AC5+AE5+AG5+AI5+AK5+AO4+AQ4</f>
        <v>30000</v>
      </c>
    </row>
    <row r="6" spans="1:50" ht="39.950000000000003" customHeight="1" x14ac:dyDescent="0.4">
      <c r="A6" s="159">
        <v>3</v>
      </c>
      <c r="B6" s="161">
        <v>2</v>
      </c>
      <c r="C6" s="157" t="s">
        <v>4250</v>
      </c>
      <c r="D6" s="157" t="s">
        <v>157</v>
      </c>
      <c r="E6" s="157" t="s">
        <v>4251</v>
      </c>
      <c r="F6" s="163" t="s">
        <v>4245</v>
      </c>
      <c r="G6" s="163" t="s">
        <v>4432</v>
      </c>
      <c r="H6" s="149">
        <v>9000</v>
      </c>
      <c r="I6" s="157" t="s">
        <v>4694</v>
      </c>
      <c r="J6" s="157" t="s">
        <v>4392</v>
      </c>
      <c r="K6" s="163" t="s">
        <v>4442</v>
      </c>
      <c r="L6" s="163"/>
      <c r="M6" s="163"/>
      <c r="N6" s="163"/>
      <c r="O6" s="163"/>
      <c r="P6" s="165"/>
      <c r="Y6" s="59"/>
      <c r="Z6" s="59"/>
      <c r="AA6" s="163"/>
      <c r="AB6" s="67">
        <v>30000</v>
      </c>
      <c r="AC6" s="67">
        <v>30000</v>
      </c>
      <c r="AD6" s="67" t="s">
        <v>4252</v>
      </c>
      <c r="AU6" s="72">
        <f t="shared" si="0"/>
        <v>0</v>
      </c>
      <c r="AV6" s="127">
        <f t="shared" si="1"/>
        <v>30000</v>
      </c>
      <c r="AW6" s="107"/>
    </row>
    <row r="7" spans="1:50" ht="39.75" customHeight="1" x14ac:dyDescent="0.35">
      <c r="A7" s="160"/>
      <c r="B7" s="162"/>
      <c r="C7" s="158"/>
      <c r="D7" s="158"/>
      <c r="E7" s="158"/>
      <c r="F7" s="164"/>
      <c r="G7" s="164"/>
      <c r="H7" s="150"/>
      <c r="I7" s="158"/>
      <c r="J7" s="158"/>
      <c r="K7" s="164"/>
      <c r="L7" s="164"/>
      <c r="M7" s="164"/>
      <c r="N7" s="164"/>
      <c r="O7" s="164"/>
      <c r="P7" s="166"/>
      <c r="Y7" s="70"/>
      <c r="Z7" s="70"/>
      <c r="AA7" s="164"/>
      <c r="AB7" s="67">
        <v>30000</v>
      </c>
      <c r="AC7" s="67">
        <v>9000</v>
      </c>
      <c r="AD7" s="67" t="s">
        <v>4575</v>
      </c>
      <c r="AE7" s="67">
        <v>21000</v>
      </c>
      <c r="AF7" s="67" t="s">
        <v>4607</v>
      </c>
      <c r="AU7" s="72">
        <f t="shared" si="0"/>
        <v>0</v>
      </c>
      <c r="AV7" s="127">
        <f t="shared" si="1"/>
        <v>30000</v>
      </c>
    </row>
    <row r="8" spans="1:50" ht="39.950000000000003" customHeight="1" x14ac:dyDescent="0.4">
      <c r="A8" s="159">
        <v>6</v>
      </c>
      <c r="B8" s="161">
        <v>4</v>
      </c>
      <c r="C8" s="157" t="s">
        <v>4260</v>
      </c>
      <c r="D8" s="157" t="s">
        <v>4261</v>
      </c>
      <c r="E8" s="157" t="s">
        <v>4258</v>
      </c>
      <c r="F8" s="163" t="s">
        <v>4262</v>
      </c>
      <c r="G8" s="163" t="s">
        <v>4266</v>
      </c>
      <c r="H8" s="149"/>
      <c r="I8" s="163"/>
      <c r="J8" s="163" t="s">
        <v>4392</v>
      </c>
      <c r="K8" s="163" t="s">
        <v>4482</v>
      </c>
      <c r="L8" s="163"/>
      <c r="M8" s="163"/>
      <c r="N8" s="163"/>
      <c r="O8" s="163"/>
      <c r="P8" s="165"/>
      <c r="Y8" s="157">
        <v>9000</v>
      </c>
      <c r="Z8" s="165">
        <v>9000</v>
      </c>
      <c r="AA8" s="163"/>
      <c r="AB8" s="67">
        <v>30000</v>
      </c>
      <c r="AC8" s="67">
        <v>10000</v>
      </c>
      <c r="AD8" s="67" t="s">
        <v>4263</v>
      </c>
      <c r="AE8" s="67">
        <v>9000</v>
      </c>
      <c r="AF8" s="67" t="s">
        <v>4614</v>
      </c>
      <c r="AG8" s="67">
        <v>6000</v>
      </c>
      <c r="AH8" s="67" t="s">
        <v>4646</v>
      </c>
      <c r="AI8" s="67">
        <v>5000</v>
      </c>
      <c r="AJ8" s="67" t="s">
        <v>4675</v>
      </c>
      <c r="AU8" s="72">
        <f t="shared" si="0"/>
        <v>0</v>
      </c>
      <c r="AV8" s="127">
        <f t="shared" si="1"/>
        <v>30000</v>
      </c>
      <c r="AW8" s="107"/>
    </row>
    <row r="9" spans="1:50" ht="39.950000000000003" customHeight="1" x14ac:dyDescent="0.35">
      <c r="A9" s="160"/>
      <c r="B9" s="162"/>
      <c r="C9" s="158"/>
      <c r="D9" s="158"/>
      <c r="E9" s="158"/>
      <c r="F9" s="164"/>
      <c r="G9" s="164"/>
      <c r="H9" s="150"/>
      <c r="I9" s="164"/>
      <c r="J9" s="164"/>
      <c r="K9" s="164"/>
      <c r="L9" s="164"/>
      <c r="M9" s="164"/>
      <c r="N9" s="164"/>
      <c r="O9" s="164"/>
      <c r="P9" s="166"/>
      <c r="Y9" s="158"/>
      <c r="Z9" s="166"/>
      <c r="AA9" s="164"/>
      <c r="AB9" s="67">
        <v>30000</v>
      </c>
      <c r="AC9" s="67">
        <v>5000</v>
      </c>
      <c r="AD9" s="67" t="s">
        <v>4675</v>
      </c>
      <c r="AU9" s="72">
        <f t="shared" si="0"/>
        <v>25000</v>
      </c>
      <c r="AV9" s="127">
        <f t="shared" si="1"/>
        <v>5000</v>
      </c>
    </row>
    <row r="10" spans="1:50" ht="39.950000000000003" customHeight="1" x14ac:dyDescent="0.4">
      <c r="A10" s="159">
        <v>8</v>
      </c>
      <c r="B10" s="161">
        <v>6</v>
      </c>
      <c r="C10" s="157" t="s">
        <v>4267</v>
      </c>
      <c r="D10" s="157" t="s">
        <v>4268</v>
      </c>
      <c r="E10" s="157" t="s">
        <v>4258</v>
      </c>
      <c r="F10" s="163" t="s">
        <v>4262</v>
      </c>
      <c r="G10" s="163" t="s">
        <v>4269</v>
      </c>
      <c r="H10" s="149"/>
      <c r="I10" s="163"/>
      <c r="J10" s="163" t="s">
        <v>4392</v>
      </c>
      <c r="K10" s="163" t="s">
        <v>4481</v>
      </c>
      <c r="L10" s="163"/>
      <c r="M10" s="163"/>
      <c r="N10" s="163"/>
      <c r="O10" s="163"/>
      <c r="P10" s="165"/>
      <c r="Y10" s="165"/>
      <c r="Z10" s="165"/>
      <c r="AA10" s="163"/>
      <c r="AB10" s="67">
        <v>30000</v>
      </c>
      <c r="AC10" s="67">
        <v>20000</v>
      </c>
      <c r="AD10" s="67" t="s">
        <v>4270</v>
      </c>
      <c r="AE10" s="67">
        <v>9000</v>
      </c>
      <c r="AF10" s="67" t="s">
        <v>4591</v>
      </c>
      <c r="AU10" s="72">
        <f t="shared" si="0"/>
        <v>1000</v>
      </c>
      <c r="AV10" s="127">
        <f t="shared" si="1"/>
        <v>29000</v>
      </c>
      <c r="AW10" s="107"/>
    </row>
    <row r="11" spans="1:50" ht="39.950000000000003" customHeight="1" x14ac:dyDescent="0.35">
      <c r="A11" s="160"/>
      <c r="B11" s="162"/>
      <c r="C11" s="158"/>
      <c r="D11" s="158"/>
      <c r="E11" s="158"/>
      <c r="F11" s="164"/>
      <c r="G11" s="164"/>
      <c r="H11" s="150"/>
      <c r="I11" s="164"/>
      <c r="J11" s="164"/>
      <c r="K11" s="164"/>
      <c r="L11" s="164"/>
      <c r="M11" s="164"/>
      <c r="N11" s="164"/>
      <c r="O11" s="164"/>
      <c r="P11" s="166"/>
      <c r="Y11" s="166"/>
      <c r="Z11" s="166"/>
      <c r="AA11" s="164"/>
      <c r="AB11" s="67">
        <v>30000</v>
      </c>
      <c r="AU11" s="72">
        <f t="shared" si="0"/>
        <v>30000</v>
      </c>
      <c r="AV11" s="127">
        <f t="shared" si="1"/>
        <v>0</v>
      </c>
    </row>
    <row r="12" spans="1:50" ht="39.950000000000003" customHeight="1" x14ac:dyDescent="0.4">
      <c r="A12" s="159">
        <v>11</v>
      </c>
      <c r="B12" s="161">
        <v>7</v>
      </c>
      <c r="C12" s="157" t="s">
        <v>4280</v>
      </c>
      <c r="D12" s="157" t="s">
        <v>4281</v>
      </c>
      <c r="E12" s="157" t="s">
        <v>4258</v>
      </c>
      <c r="F12" s="163" t="s">
        <v>4262</v>
      </c>
      <c r="G12" s="163" t="s">
        <v>4282</v>
      </c>
      <c r="H12" s="149"/>
      <c r="I12" s="163"/>
      <c r="J12" s="163" t="s">
        <v>4392</v>
      </c>
      <c r="K12" s="163" t="s">
        <v>4459</v>
      </c>
      <c r="L12" s="163"/>
      <c r="M12" s="163"/>
      <c r="N12" s="163"/>
      <c r="O12" s="163"/>
      <c r="P12" s="165"/>
      <c r="Y12" s="59"/>
      <c r="Z12" s="59"/>
      <c r="AA12" s="163"/>
      <c r="AB12" s="67">
        <v>30000</v>
      </c>
      <c r="AC12" s="67">
        <v>2000</v>
      </c>
      <c r="AD12" s="67" t="s">
        <v>4283</v>
      </c>
      <c r="AE12" s="67">
        <v>28000</v>
      </c>
      <c r="AF12" s="69" t="s">
        <v>4580</v>
      </c>
      <c r="AU12" s="72">
        <f t="shared" si="0"/>
        <v>0</v>
      </c>
      <c r="AV12" s="127">
        <f t="shared" si="1"/>
        <v>30000</v>
      </c>
      <c r="AW12" s="107"/>
    </row>
    <row r="13" spans="1:50" ht="39.75" customHeight="1" x14ac:dyDescent="0.35">
      <c r="A13" s="160"/>
      <c r="B13" s="162"/>
      <c r="C13" s="158"/>
      <c r="D13" s="158"/>
      <c r="E13" s="158"/>
      <c r="F13" s="164"/>
      <c r="G13" s="164"/>
      <c r="H13" s="150"/>
      <c r="I13" s="164"/>
      <c r="J13" s="164"/>
      <c r="K13" s="164"/>
      <c r="L13" s="164"/>
      <c r="M13" s="164"/>
      <c r="N13" s="164"/>
      <c r="O13" s="164"/>
      <c r="P13" s="166"/>
      <c r="Y13" s="70"/>
      <c r="Z13" s="70"/>
      <c r="AA13" s="164"/>
      <c r="AB13" s="67">
        <v>30000</v>
      </c>
      <c r="AC13" s="67">
        <v>5000</v>
      </c>
      <c r="AD13" s="67" t="s">
        <v>4611</v>
      </c>
      <c r="AE13" s="67">
        <v>6000</v>
      </c>
      <c r="AF13" s="67" t="s">
        <v>4625</v>
      </c>
      <c r="AU13" s="72">
        <f t="shared" si="0"/>
        <v>19000</v>
      </c>
      <c r="AV13" s="127">
        <f t="shared" si="1"/>
        <v>11000</v>
      </c>
    </row>
    <row r="14" spans="1:50" ht="39.950000000000003" customHeight="1" x14ac:dyDescent="0.35">
      <c r="A14" s="159">
        <v>22</v>
      </c>
      <c r="B14" s="161">
        <v>8</v>
      </c>
      <c r="C14" s="157" t="s">
        <v>4287</v>
      </c>
      <c r="D14" s="157" t="s">
        <v>4288</v>
      </c>
      <c r="E14" s="157" t="s">
        <v>4258</v>
      </c>
      <c r="F14" s="163" t="s">
        <v>4245</v>
      </c>
      <c r="G14" s="167">
        <v>3711757116</v>
      </c>
      <c r="H14" s="155"/>
      <c r="I14" s="163"/>
      <c r="J14" s="163" t="s">
        <v>4392</v>
      </c>
      <c r="K14" s="163" t="s">
        <v>4289</v>
      </c>
      <c r="L14" s="163"/>
      <c r="M14" s="94"/>
      <c r="N14" s="163"/>
      <c r="O14" s="163"/>
      <c r="P14" s="157"/>
      <c r="Q14" s="71"/>
      <c r="Y14" s="59"/>
      <c r="Z14" s="59"/>
      <c r="AA14" s="163"/>
      <c r="AB14" s="67">
        <v>30000</v>
      </c>
      <c r="AC14" s="67">
        <v>20000</v>
      </c>
      <c r="AD14" s="67" t="s">
        <v>4496</v>
      </c>
      <c r="AE14" s="67">
        <v>10000</v>
      </c>
      <c r="AF14" s="67" t="s">
        <v>4623</v>
      </c>
      <c r="AU14" s="72">
        <f t="shared" si="0"/>
        <v>0</v>
      </c>
      <c r="AV14" s="127">
        <f t="shared" si="1"/>
        <v>30000</v>
      </c>
      <c r="AW14" s="121"/>
    </row>
    <row r="15" spans="1:50" ht="39.950000000000003" customHeight="1" x14ac:dyDescent="0.35">
      <c r="A15" s="160"/>
      <c r="B15" s="162"/>
      <c r="C15" s="158"/>
      <c r="D15" s="158"/>
      <c r="E15" s="158"/>
      <c r="F15" s="164"/>
      <c r="G15" s="168"/>
      <c r="H15" s="156"/>
      <c r="I15" s="164"/>
      <c r="J15" s="164"/>
      <c r="K15" s="164"/>
      <c r="L15" s="164"/>
      <c r="M15" s="95"/>
      <c r="N15" s="164"/>
      <c r="O15" s="164"/>
      <c r="P15" s="158"/>
      <c r="Q15" s="71"/>
      <c r="Y15" s="70"/>
      <c r="Z15" s="70"/>
      <c r="AA15" s="164"/>
      <c r="AB15" s="67">
        <v>30000</v>
      </c>
      <c r="AU15" s="72">
        <f t="shared" si="0"/>
        <v>30000</v>
      </c>
      <c r="AV15" s="127">
        <f t="shared" si="1"/>
        <v>0</v>
      </c>
    </row>
    <row r="16" spans="1:50" ht="34.5" customHeight="1" x14ac:dyDescent="0.4">
      <c r="A16" s="159">
        <v>28</v>
      </c>
      <c r="B16" s="161">
        <v>9</v>
      </c>
      <c r="C16" s="157" t="s">
        <v>4296</v>
      </c>
      <c r="D16" s="157" t="s">
        <v>4297</v>
      </c>
      <c r="E16" s="157" t="s">
        <v>4244</v>
      </c>
      <c r="F16" s="163" t="s">
        <v>4259</v>
      </c>
      <c r="G16" s="163">
        <v>3004541624</v>
      </c>
      <c r="H16" s="149"/>
      <c r="I16" s="163"/>
      <c r="J16" s="163" t="s">
        <v>4392</v>
      </c>
      <c r="K16" s="163" t="s">
        <v>4440</v>
      </c>
      <c r="L16" s="163"/>
      <c r="M16" s="94"/>
      <c r="N16" s="163"/>
      <c r="O16" s="163"/>
      <c r="P16" s="165"/>
      <c r="Q16" s="71"/>
      <c r="Y16" s="59"/>
      <c r="Z16" s="59"/>
      <c r="AA16" s="163"/>
      <c r="AB16" s="67">
        <v>30000</v>
      </c>
      <c r="AC16" s="67">
        <v>9000</v>
      </c>
      <c r="AD16" s="67" t="s">
        <v>4558</v>
      </c>
      <c r="AU16" s="72">
        <f t="shared" si="0"/>
        <v>21000</v>
      </c>
      <c r="AV16" s="127">
        <f t="shared" si="1"/>
        <v>9000</v>
      </c>
      <c r="AW16" s="107" t="s">
        <v>4236</v>
      </c>
    </row>
    <row r="17" spans="1:49" ht="39.75" customHeight="1" x14ac:dyDescent="0.35">
      <c r="A17" s="160"/>
      <c r="B17" s="162"/>
      <c r="C17" s="158"/>
      <c r="D17" s="158"/>
      <c r="E17" s="158"/>
      <c r="F17" s="164"/>
      <c r="G17" s="164"/>
      <c r="H17" s="150"/>
      <c r="I17" s="164"/>
      <c r="J17" s="164"/>
      <c r="K17" s="164"/>
      <c r="L17" s="164"/>
      <c r="M17" s="95"/>
      <c r="N17" s="164"/>
      <c r="O17" s="164"/>
      <c r="P17" s="166"/>
      <c r="Q17" s="71"/>
      <c r="Y17" s="70">
        <v>10500</v>
      </c>
      <c r="Z17" s="70"/>
      <c r="AA17" s="164"/>
      <c r="AB17" s="67">
        <v>30000</v>
      </c>
      <c r="AU17" s="72">
        <f t="shared" si="0"/>
        <v>30000</v>
      </c>
      <c r="AV17" s="127">
        <f t="shared" si="1"/>
        <v>0</v>
      </c>
    </row>
    <row r="18" spans="1:49" ht="39.950000000000003" customHeight="1" x14ac:dyDescent="0.35">
      <c r="A18" s="159">
        <v>34</v>
      </c>
      <c r="B18" s="161">
        <v>10</v>
      </c>
      <c r="C18" s="157" t="s">
        <v>4301</v>
      </c>
      <c r="D18" s="157" t="s">
        <v>4302</v>
      </c>
      <c r="E18" s="157" t="s">
        <v>4251</v>
      </c>
      <c r="F18" s="163" t="s">
        <v>4245</v>
      </c>
      <c r="G18" s="163" t="s">
        <v>4303</v>
      </c>
      <c r="H18" s="149"/>
      <c r="I18" s="163"/>
      <c r="J18" s="163" t="s">
        <v>4392</v>
      </c>
      <c r="K18" s="163" t="s">
        <v>4543</v>
      </c>
      <c r="L18" s="163"/>
      <c r="M18" s="94"/>
      <c r="N18" s="163"/>
      <c r="O18" s="163"/>
      <c r="P18" s="157"/>
      <c r="Q18" s="70"/>
      <c r="R18" s="70"/>
      <c r="S18" s="70"/>
      <c r="T18" s="70"/>
      <c r="U18" s="70"/>
      <c r="V18" s="70"/>
      <c r="W18" s="70"/>
      <c r="X18" s="70"/>
      <c r="Y18" s="75"/>
      <c r="Z18" s="75"/>
      <c r="AA18" s="163"/>
      <c r="AB18" s="70">
        <v>30000</v>
      </c>
      <c r="AC18" s="70">
        <v>1000</v>
      </c>
      <c r="AD18" s="70" t="s">
        <v>4544</v>
      </c>
      <c r="AE18" s="70">
        <v>29000</v>
      </c>
      <c r="AF18" s="70" t="s">
        <v>4624</v>
      </c>
      <c r="AG18" s="75"/>
      <c r="AH18" s="75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124"/>
      <c r="AU18" s="72">
        <f t="shared" si="0"/>
        <v>0</v>
      </c>
      <c r="AV18" s="127">
        <f t="shared" si="1"/>
        <v>30000</v>
      </c>
      <c r="AW18" s="121"/>
    </row>
    <row r="19" spans="1:49" ht="39.75" customHeight="1" x14ac:dyDescent="0.35">
      <c r="A19" s="160"/>
      <c r="B19" s="162"/>
      <c r="C19" s="158"/>
      <c r="D19" s="158"/>
      <c r="E19" s="158"/>
      <c r="F19" s="164"/>
      <c r="G19" s="164"/>
      <c r="H19" s="150"/>
      <c r="I19" s="164"/>
      <c r="J19" s="164"/>
      <c r="K19" s="164"/>
      <c r="L19" s="164"/>
      <c r="M19" s="95"/>
      <c r="N19" s="164"/>
      <c r="O19" s="164"/>
      <c r="P19" s="158"/>
      <c r="Y19" s="70"/>
      <c r="Z19" s="70"/>
      <c r="AA19" s="164"/>
      <c r="AB19" s="67">
        <v>30000</v>
      </c>
      <c r="AU19" s="72">
        <f t="shared" si="0"/>
        <v>30000</v>
      </c>
      <c r="AV19" s="127">
        <f t="shared" si="1"/>
        <v>0</v>
      </c>
    </row>
    <row r="20" spans="1:49" ht="39.950000000000003" customHeight="1" x14ac:dyDescent="0.35">
      <c r="A20" s="159">
        <v>38</v>
      </c>
      <c r="B20" s="161">
        <v>11</v>
      </c>
      <c r="C20" s="157" t="s">
        <v>4315</v>
      </c>
      <c r="D20" s="157" t="s">
        <v>821</v>
      </c>
      <c r="E20" s="169" t="s">
        <v>4244</v>
      </c>
      <c r="F20" s="157" t="s">
        <v>4245</v>
      </c>
      <c r="G20" s="163" t="s">
        <v>4316</v>
      </c>
      <c r="H20" s="149"/>
      <c r="I20" s="163"/>
      <c r="J20" s="163" t="s">
        <v>4392</v>
      </c>
      <c r="K20" s="163" t="s">
        <v>4317</v>
      </c>
      <c r="L20" s="163"/>
      <c r="M20" s="91"/>
      <c r="N20" s="91"/>
      <c r="O20" s="163"/>
      <c r="P20" s="165"/>
      <c r="Y20" s="59"/>
      <c r="Z20" s="59"/>
      <c r="AA20" s="163"/>
      <c r="AB20" s="67">
        <v>27000</v>
      </c>
      <c r="AC20" s="67">
        <v>27000</v>
      </c>
      <c r="AD20" s="67" t="s">
        <v>4317</v>
      </c>
      <c r="AU20" s="72">
        <f>AB20-AC20-AE20-AG20-AI20-AK20-AM20-AO20-AQ20-AS20+AT20</f>
        <v>0</v>
      </c>
      <c r="AV20" s="127">
        <f t="shared" si="1"/>
        <v>27000</v>
      </c>
      <c r="AW20" s="121"/>
    </row>
    <row r="21" spans="1:49" ht="39.950000000000003" customHeight="1" x14ac:dyDescent="0.35">
      <c r="A21" s="160"/>
      <c r="B21" s="162"/>
      <c r="C21" s="158"/>
      <c r="D21" s="158"/>
      <c r="E21" s="169"/>
      <c r="F21" s="158"/>
      <c r="G21" s="164"/>
      <c r="H21" s="150"/>
      <c r="I21" s="164"/>
      <c r="J21" s="164"/>
      <c r="K21" s="164"/>
      <c r="L21" s="164"/>
      <c r="M21" s="91"/>
      <c r="N21" s="91"/>
      <c r="O21" s="164"/>
      <c r="P21" s="166"/>
      <c r="Y21" s="70"/>
      <c r="Z21" s="70"/>
      <c r="AA21" s="164"/>
      <c r="AB21" s="67">
        <v>27000</v>
      </c>
      <c r="AC21" s="67">
        <v>9000</v>
      </c>
      <c r="AE21" s="67">
        <v>18000</v>
      </c>
      <c r="AF21" s="67" t="s">
        <v>4661</v>
      </c>
      <c r="AU21" s="72">
        <f>AB21-AC21-AE21-AG21-AI21-AK21-AM21-AO21-AQ21-AS21+AT21</f>
        <v>0</v>
      </c>
      <c r="AV21" s="127">
        <f t="shared" si="1"/>
        <v>27000</v>
      </c>
    </row>
    <row r="22" spans="1:49" ht="39.950000000000003" customHeight="1" x14ac:dyDescent="0.35">
      <c r="A22" s="159">
        <v>79</v>
      </c>
      <c r="B22" s="161">
        <v>13</v>
      </c>
      <c r="C22" s="163" t="s">
        <v>4318</v>
      </c>
      <c r="D22" s="163" t="s">
        <v>4319</v>
      </c>
      <c r="E22" s="163" t="s">
        <v>4244</v>
      </c>
      <c r="F22" s="163" t="s">
        <v>4245</v>
      </c>
      <c r="G22" s="163" t="s">
        <v>4320</v>
      </c>
      <c r="H22" s="149"/>
      <c r="I22" s="163"/>
      <c r="J22" s="163" t="s">
        <v>4392</v>
      </c>
      <c r="K22" s="163" t="s">
        <v>4438</v>
      </c>
      <c r="L22" s="163"/>
      <c r="M22" s="163"/>
      <c r="N22" s="163"/>
      <c r="O22" s="163"/>
      <c r="P22" s="163"/>
      <c r="Y22" s="157">
        <v>9000</v>
      </c>
      <c r="Z22" s="157" t="s">
        <v>4663</v>
      </c>
      <c r="AB22" s="67">
        <v>30000</v>
      </c>
      <c r="AC22" s="67">
        <v>5000</v>
      </c>
      <c r="AD22" s="67" t="s">
        <v>4321</v>
      </c>
      <c r="AE22" s="67">
        <v>10000</v>
      </c>
      <c r="AF22" s="67" t="s">
        <v>4445</v>
      </c>
      <c r="AG22" s="67">
        <v>15000</v>
      </c>
      <c r="AH22" s="67" t="s">
        <v>4598</v>
      </c>
      <c r="AU22" s="72">
        <f t="shared" ref="AU22:AU63" si="2">AB22-AC22-AE22-AG22-AI22-AK22-AM22-AO22-AQ22-AS22+AT22</f>
        <v>0</v>
      </c>
      <c r="AV22" s="127">
        <f t="shared" si="1"/>
        <v>30000</v>
      </c>
      <c r="AW22" s="121"/>
    </row>
    <row r="23" spans="1:49" ht="39.75" customHeight="1" x14ac:dyDescent="0.35">
      <c r="A23" s="160"/>
      <c r="B23" s="162"/>
      <c r="C23" s="164"/>
      <c r="D23" s="164"/>
      <c r="E23" s="164"/>
      <c r="F23" s="164"/>
      <c r="G23" s="164"/>
      <c r="H23" s="150"/>
      <c r="I23" s="164"/>
      <c r="J23" s="164"/>
      <c r="K23" s="164"/>
      <c r="L23" s="164"/>
      <c r="M23" s="164"/>
      <c r="N23" s="164"/>
      <c r="O23" s="164"/>
      <c r="P23" s="164"/>
      <c r="Y23" s="158"/>
      <c r="Z23" s="158"/>
      <c r="AB23" s="67">
        <v>30000</v>
      </c>
      <c r="AU23" s="72">
        <f t="shared" si="2"/>
        <v>30000</v>
      </c>
      <c r="AV23" s="127">
        <f t="shared" si="1"/>
        <v>0</v>
      </c>
    </row>
    <row r="24" spans="1:49" ht="34.5" customHeight="1" x14ac:dyDescent="0.4">
      <c r="A24" s="159">
        <v>81</v>
      </c>
      <c r="B24" s="161">
        <v>14</v>
      </c>
      <c r="C24" s="163" t="s">
        <v>4324</v>
      </c>
      <c r="D24" s="163" t="s">
        <v>4325</v>
      </c>
      <c r="E24" s="163" t="s">
        <v>4244</v>
      </c>
      <c r="F24" s="163" t="s">
        <v>4262</v>
      </c>
      <c r="G24" s="163">
        <v>3156243321</v>
      </c>
      <c r="H24" s="149"/>
      <c r="I24" s="163"/>
      <c r="J24" s="163" t="s">
        <v>4392</v>
      </c>
      <c r="K24" s="163" t="s">
        <v>4326</v>
      </c>
      <c r="L24" s="163"/>
      <c r="M24" s="94"/>
      <c r="N24" s="163"/>
      <c r="O24" s="163"/>
      <c r="P24" s="163"/>
      <c r="Y24" s="165">
        <v>9000</v>
      </c>
      <c r="Z24" s="165" t="s">
        <v>4659</v>
      </c>
      <c r="AB24" s="67">
        <v>30000</v>
      </c>
      <c r="AC24" s="67">
        <v>7000</v>
      </c>
      <c r="AD24" s="67" t="s">
        <v>4468</v>
      </c>
      <c r="AE24" s="67">
        <v>10000</v>
      </c>
      <c r="AF24" s="67" t="s">
        <v>4527</v>
      </c>
      <c r="AG24" s="67">
        <v>9000</v>
      </c>
      <c r="AH24" s="67" t="s">
        <v>4615</v>
      </c>
      <c r="AU24" s="72">
        <f>AB24-AC24-AE24-AG24-AI24-AK24-AM24-AO24-AQ24-AS24+AT24</f>
        <v>4000</v>
      </c>
      <c r="AV24" s="127">
        <f t="shared" si="1"/>
        <v>26000</v>
      </c>
      <c r="AW24" s="107"/>
    </row>
    <row r="25" spans="1:49" ht="39.75" customHeight="1" x14ac:dyDescent="0.35">
      <c r="A25" s="160"/>
      <c r="B25" s="162"/>
      <c r="C25" s="164"/>
      <c r="D25" s="164"/>
      <c r="E25" s="164"/>
      <c r="F25" s="164"/>
      <c r="G25" s="164"/>
      <c r="H25" s="150"/>
      <c r="I25" s="164"/>
      <c r="J25" s="164"/>
      <c r="K25" s="164"/>
      <c r="L25" s="164"/>
      <c r="M25" s="95"/>
      <c r="N25" s="164"/>
      <c r="O25" s="164"/>
      <c r="P25" s="164"/>
      <c r="Y25" s="166"/>
      <c r="Z25" s="166"/>
      <c r="AB25" s="67">
        <v>30000</v>
      </c>
      <c r="AC25" s="67">
        <v>6000</v>
      </c>
      <c r="AD25" s="67" t="s">
        <v>4660</v>
      </c>
      <c r="AU25" s="72">
        <f t="shared" si="2"/>
        <v>24000</v>
      </c>
      <c r="AV25" s="127">
        <f t="shared" si="1"/>
        <v>6000</v>
      </c>
    </row>
    <row r="26" spans="1:49" ht="48" customHeight="1" x14ac:dyDescent="0.4">
      <c r="A26" s="159">
        <v>82</v>
      </c>
      <c r="B26" s="161">
        <v>15</v>
      </c>
      <c r="C26" s="170" t="s">
        <v>4327</v>
      </c>
      <c r="D26" s="170" t="s">
        <v>4328</v>
      </c>
      <c r="E26" s="157" t="s">
        <v>4244</v>
      </c>
      <c r="F26" s="163" t="s">
        <v>4306</v>
      </c>
      <c r="G26" s="163">
        <v>3006309580</v>
      </c>
      <c r="H26" s="149"/>
      <c r="I26" s="163"/>
      <c r="J26" s="163" t="s">
        <v>4392</v>
      </c>
      <c r="K26" s="163" t="s">
        <v>4465</v>
      </c>
      <c r="L26" s="163"/>
      <c r="M26" s="94"/>
      <c r="N26" s="163"/>
      <c r="O26" s="163"/>
      <c r="P26" s="165"/>
      <c r="Q26" s="71"/>
      <c r="Y26" s="59">
        <v>9000</v>
      </c>
      <c r="Z26" s="59" t="s">
        <v>4670</v>
      </c>
      <c r="AA26" s="163"/>
      <c r="AB26" s="67">
        <v>27000</v>
      </c>
      <c r="AC26" s="67">
        <v>5000</v>
      </c>
      <c r="AD26" s="67" t="s">
        <v>4329</v>
      </c>
      <c r="AE26" s="67">
        <v>10000</v>
      </c>
      <c r="AF26" s="67" t="s">
        <v>4537</v>
      </c>
      <c r="AU26" s="72">
        <f t="shared" si="2"/>
        <v>12000</v>
      </c>
      <c r="AV26" s="127">
        <f t="shared" si="1"/>
        <v>15000</v>
      </c>
      <c r="AW26" s="107"/>
    </row>
    <row r="27" spans="1:49" ht="39.950000000000003" customHeight="1" x14ac:dyDescent="0.35">
      <c r="A27" s="160"/>
      <c r="B27" s="162"/>
      <c r="C27" s="158"/>
      <c r="D27" s="158"/>
      <c r="E27" s="158"/>
      <c r="F27" s="164"/>
      <c r="G27" s="164"/>
      <c r="H27" s="150"/>
      <c r="I27" s="164"/>
      <c r="J27" s="164"/>
      <c r="K27" s="164"/>
      <c r="L27" s="164"/>
      <c r="M27" s="95"/>
      <c r="N27" s="164"/>
      <c r="O27" s="164"/>
      <c r="P27" s="166"/>
      <c r="Q27" s="71"/>
      <c r="Y27" s="70"/>
      <c r="Z27" s="70"/>
      <c r="AA27" s="164"/>
      <c r="AB27" s="67">
        <v>27000</v>
      </c>
      <c r="AU27" s="72">
        <f t="shared" si="2"/>
        <v>27000</v>
      </c>
      <c r="AV27" s="127">
        <f t="shared" si="1"/>
        <v>0</v>
      </c>
    </row>
    <row r="28" spans="1:49" ht="39.950000000000003" customHeight="1" x14ac:dyDescent="0.35">
      <c r="A28" s="159">
        <v>83</v>
      </c>
      <c r="B28" s="161">
        <v>16</v>
      </c>
      <c r="C28" s="163" t="s">
        <v>4330</v>
      </c>
      <c r="D28" s="163" t="s">
        <v>4605</v>
      </c>
      <c r="E28" s="163" t="s">
        <v>4244</v>
      </c>
      <c r="F28" s="163" t="s">
        <v>4245</v>
      </c>
      <c r="G28" s="163" t="s">
        <v>4331</v>
      </c>
      <c r="H28" s="149">
        <v>9000</v>
      </c>
      <c r="I28" s="163" t="s">
        <v>4674</v>
      </c>
      <c r="J28" s="163" t="s">
        <v>4392</v>
      </c>
      <c r="K28" s="163" t="s">
        <v>4439</v>
      </c>
      <c r="L28" s="163"/>
      <c r="M28" s="165"/>
      <c r="N28" s="163"/>
      <c r="O28" s="163"/>
      <c r="P28" s="163"/>
      <c r="Y28" s="165"/>
      <c r="Z28" s="165"/>
      <c r="AA28" s="165"/>
      <c r="AB28" s="67">
        <v>30000</v>
      </c>
      <c r="AC28" s="67">
        <v>5000</v>
      </c>
      <c r="AD28" s="67" t="s">
        <v>4345</v>
      </c>
      <c r="AE28" s="67">
        <v>5000</v>
      </c>
      <c r="AF28" s="67" t="s">
        <v>4365</v>
      </c>
      <c r="AG28" s="67">
        <v>9000</v>
      </c>
      <c r="AH28" s="67" t="s">
        <v>4444</v>
      </c>
      <c r="AI28" s="67">
        <v>9000</v>
      </c>
      <c r="AJ28" s="67" t="s">
        <v>4597</v>
      </c>
      <c r="AK28" s="67">
        <v>2000</v>
      </c>
      <c r="AL28" s="67" t="s">
        <v>4606</v>
      </c>
      <c r="AU28" s="72">
        <f t="shared" si="2"/>
        <v>0</v>
      </c>
      <c r="AV28" s="127">
        <f t="shared" si="1"/>
        <v>30000</v>
      </c>
      <c r="AW28" s="121"/>
    </row>
    <row r="29" spans="1:49" ht="39.950000000000003" customHeight="1" x14ac:dyDescent="0.35">
      <c r="A29" s="160"/>
      <c r="B29" s="162"/>
      <c r="C29" s="164"/>
      <c r="D29" s="164"/>
      <c r="E29" s="164"/>
      <c r="F29" s="164"/>
      <c r="G29" s="164"/>
      <c r="H29" s="150"/>
      <c r="I29" s="164"/>
      <c r="J29" s="164"/>
      <c r="K29" s="164"/>
      <c r="L29" s="164"/>
      <c r="M29" s="166"/>
      <c r="N29" s="164"/>
      <c r="O29" s="164"/>
      <c r="P29" s="164"/>
      <c r="Y29" s="166"/>
      <c r="Z29" s="166"/>
      <c r="AA29" s="166"/>
      <c r="AB29" s="67">
        <v>30000</v>
      </c>
      <c r="AC29" s="67">
        <v>3000</v>
      </c>
      <c r="AD29" s="67" t="s">
        <v>4606</v>
      </c>
      <c r="AE29" s="67">
        <v>5000</v>
      </c>
      <c r="AF29" s="67" t="s">
        <v>4620</v>
      </c>
      <c r="AU29" s="72">
        <f t="shared" si="2"/>
        <v>22000</v>
      </c>
      <c r="AV29" s="127">
        <f t="shared" si="1"/>
        <v>8000</v>
      </c>
    </row>
    <row r="30" spans="1:49" ht="39.950000000000003" customHeight="1" x14ac:dyDescent="0.35">
      <c r="A30" s="159">
        <v>84</v>
      </c>
      <c r="B30" s="161">
        <v>17</v>
      </c>
      <c r="C30" s="163" t="s">
        <v>4336</v>
      </c>
      <c r="D30" s="163" t="s">
        <v>4257</v>
      </c>
      <c r="E30" s="163" t="s">
        <v>4244</v>
      </c>
      <c r="F30" s="163" t="s">
        <v>4306</v>
      </c>
      <c r="G30" s="163" t="s">
        <v>4337</v>
      </c>
      <c r="H30" s="149"/>
      <c r="I30" s="163"/>
      <c r="J30" s="163" t="s">
        <v>4339</v>
      </c>
      <c r="K30" s="163" t="s">
        <v>4338</v>
      </c>
      <c r="L30" s="163"/>
      <c r="M30" s="94"/>
      <c r="N30" s="163"/>
      <c r="O30" s="163"/>
      <c r="P30" s="165"/>
      <c r="Y30" s="165">
        <v>9000</v>
      </c>
      <c r="Z30" s="165" t="s">
        <v>4541</v>
      </c>
      <c r="AA30" s="165"/>
      <c r="AB30" s="67">
        <v>30000</v>
      </c>
      <c r="AC30" s="67">
        <v>10000</v>
      </c>
      <c r="AD30" s="67" t="s">
        <v>4338</v>
      </c>
      <c r="AE30" s="67">
        <v>10000</v>
      </c>
      <c r="AF30" s="67" t="s">
        <v>4349</v>
      </c>
      <c r="AG30" s="67">
        <v>10000</v>
      </c>
      <c r="AH30" s="67" t="s">
        <v>4541</v>
      </c>
      <c r="AU30" s="72">
        <f t="shared" si="2"/>
        <v>0</v>
      </c>
      <c r="AV30" s="127">
        <f t="shared" si="1"/>
        <v>30000</v>
      </c>
    </row>
    <row r="31" spans="1:49" ht="22.5" customHeight="1" x14ac:dyDescent="0.35">
      <c r="A31" s="160"/>
      <c r="B31" s="162"/>
      <c r="C31" s="164"/>
      <c r="D31" s="164"/>
      <c r="E31" s="164"/>
      <c r="F31" s="164"/>
      <c r="G31" s="164"/>
      <c r="H31" s="150"/>
      <c r="I31" s="164"/>
      <c r="J31" s="164"/>
      <c r="K31" s="164"/>
      <c r="L31" s="164"/>
      <c r="M31" s="95"/>
      <c r="N31" s="164"/>
      <c r="O31" s="164"/>
      <c r="P31" s="166"/>
      <c r="Y31" s="166"/>
      <c r="Z31" s="166"/>
      <c r="AA31" s="166"/>
      <c r="AB31" s="67">
        <v>30000</v>
      </c>
      <c r="AC31" s="67">
        <v>10000</v>
      </c>
      <c r="AD31" s="67" t="s">
        <v>4542</v>
      </c>
      <c r="AE31" s="67">
        <v>10000</v>
      </c>
      <c r="AF31" s="67" t="s">
        <v>4649</v>
      </c>
      <c r="AG31" s="67">
        <v>10000</v>
      </c>
      <c r="AH31" s="67" t="s">
        <v>4669</v>
      </c>
      <c r="AU31" s="72">
        <f t="shared" si="2"/>
        <v>0</v>
      </c>
      <c r="AV31" s="127">
        <f t="shared" si="1"/>
        <v>30000</v>
      </c>
    </row>
    <row r="32" spans="1:49" ht="39.950000000000003" customHeight="1" x14ac:dyDescent="0.35">
      <c r="A32" s="159">
        <v>85</v>
      </c>
      <c r="B32" s="161">
        <v>18</v>
      </c>
      <c r="C32" s="163" t="s">
        <v>4346</v>
      </c>
      <c r="D32" s="163" t="s">
        <v>295</v>
      </c>
      <c r="E32" s="163" t="s">
        <v>4244</v>
      </c>
      <c r="F32" s="163" t="s">
        <v>4245</v>
      </c>
      <c r="G32" s="163" t="s">
        <v>4347</v>
      </c>
      <c r="H32" s="149">
        <v>9000</v>
      </c>
      <c r="I32" s="163" t="s">
        <v>4697</v>
      </c>
      <c r="J32" s="163" t="s">
        <v>4392</v>
      </c>
      <c r="K32" s="163" t="s">
        <v>4464</v>
      </c>
      <c r="L32" s="163"/>
      <c r="M32" s="163"/>
      <c r="N32" s="163"/>
      <c r="O32" s="163"/>
      <c r="P32" s="163"/>
      <c r="Y32" s="165"/>
      <c r="Z32" s="165"/>
      <c r="AB32" s="67">
        <v>30000</v>
      </c>
      <c r="AC32" s="67">
        <v>10000</v>
      </c>
      <c r="AD32" s="67" t="s">
        <v>4348</v>
      </c>
      <c r="AE32" s="67">
        <v>20000</v>
      </c>
      <c r="AF32" s="67" t="s">
        <v>4589</v>
      </c>
      <c r="AU32" s="72">
        <f t="shared" si="2"/>
        <v>0</v>
      </c>
      <c r="AV32" s="127">
        <f t="shared" si="1"/>
        <v>30000</v>
      </c>
      <c r="AW32" s="121"/>
    </row>
    <row r="33" spans="1:49" ht="33.75" customHeight="1" x14ac:dyDescent="0.35">
      <c r="A33" s="160"/>
      <c r="B33" s="162"/>
      <c r="C33" s="164"/>
      <c r="D33" s="164"/>
      <c r="E33" s="164"/>
      <c r="F33" s="164"/>
      <c r="G33" s="164"/>
      <c r="H33" s="150"/>
      <c r="I33" s="164"/>
      <c r="J33" s="164"/>
      <c r="K33" s="164"/>
      <c r="L33" s="164"/>
      <c r="M33" s="164"/>
      <c r="N33" s="164"/>
      <c r="O33" s="164"/>
      <c r="P33" s="164"/>
      <c r="Y33" s="166"/>
      <c r="Z33" s="166"/>
      <c r="AB33" s="67">
        <v>30000</v>
      </c>
      <c r="AC33" s="67">
        <v>25000</v>
      </c>
      <c r="AD33" s="67" t="s">
        <v>4637</v>
      </c>
      <c r="AE33" s="67">
        <v>5000</v>
      </c>
      <c r="AF33" s="67" t="s">
        <v>4702</v>
      </c>
      <c r="AU33" s="72">
        <f t="shared" si="2"/>
        <v>0</v>
      </c>
      <c r="AV33" s="127">
        <f t="shared" si="1"/>
        <v>30000</v>
      </c>
    </row>
    <row r="34" spans="1:49" ht="49.5" customHeight="1" x14ac:dyDescent="0.35">
      <c r="A34" s="159">
        <v>87</v>
      </c>
      <c r="B34" s="161">
        <v>20</v>
      </c>
      <c r="C34" s="163" t="s">
        <v>4350</v>
      </c>
      <c r="D34" s="163" t="s">
        <v>4351</v>
      </c>
      <c r="E34" s="163" t="s">
        <v>4258</v>
      </c>
      <c r="F34" s="163" t="s">
        <v>4245</v>
      </c>
      <c r="G34" s="163">
        <v>3016845250</v>
      </c>
      <c r="H34" s="149"/>
      <c r="I34" s="163"/>
      <c r="J34" s="163" t="s">
        <v>4392</v>
      </c>
      <c r="K34" s="163" t="s">
        <v>4437</v>
      </c>
      <c r="L34" s="163"/>
      <c r="M34" s="94"/>
      <c r="N34" s="163"/>
      <c r="O34" s="163"/>
      <c r="P34" s="165"/>
      <c r="Y34" s="165"/>
      <c r="Z34" s="165"/>
      <c r="AB34" s="67">
        <v>30000</v>
      </c>
      <c r="AC34" s="67">
        <v>25000</v>
      </c>
      <c r="AD34" s="67" t="s">
        <v>4352</v>
      </c>
      <c r="AU34" s="72">
        <f t="shared" si="2"/>
        <v>5000</v>
      </c>
      <c r="AV34" s="127" t="e">
        <f>AC34+AE34+AG34+AI34+AK34+#REF!+#REF!</f>
        <v>#REF!</v>
      </c>
      <c r="AW34" s="121"/>
    </row>
    <row r="35" spans="1:49" ht="39.75" customHeight="1" x14ac:dyDescent="0.35">
      <c r="A35" s="160"/>
      <c r="B35" s="162"/>
      <c r="C35" s="164"/>
      <c r="D35" s="164"/>
      <c r="E35" s="164"/>
      <c r="F35" s="164"/>
      <c r="G35" s="164"/>
      <c r="H35" s="150"/>
      <c r="I35" s="164"/>
      <c r="J35" s="164"/>
      <c r="K35" s="164"/>
      <c r="L35" s="164"/>
      <c r="M35" s="95"/>
      <c r="N35" s="164"/>
      <c r="O35" s="164"/>
      <c r="P35" s="166"/>
      <c r="Y35" s="166"/>
      <c r="Z35" s="166"/>
      <c r="AB35" s="67">
        <v>30000</v>
      </c>
      <c r="AC35" s="67">
        <v>9000</v>
      </c>
      <c r="AD35" s="67" t="s">
        <v>4584</v>
      </c>
      <c r="AU35" s="72">
        <f t="shared" si="2"/>
        <v>21000</v>
      </c>
      <c r="AV35" s="127">
        <f t="shared" si="1"/>
        <v>9000</v>
      </c>
    </row>
    <row r="36" spans="1:49" ht="39.950000000000003" customHeight="1" x14ac:dyDescent="0.35">
      <c r="A36" s="159">
        <v>88</v>
      </c>
      <c r="B36" s="161">
        <v>21</v>
      </c>
      <c r="C36" s="163" t="s">
        <v>4353</v>
      </c>
      <c r="D36" s="163" t="s">
        <v>4354</v>
      </c>
      <c r="E36" s="163" t="s">
        <v>4244</v>
      </c>
      <c r="F36" s="163" t="s">
        <v>4245</v>
      </c>
      <c r="G36" s="163">
        <v>3016845250</v>
      </c>
      <c r="H36" s="149"/>
      <c r="I36" s="163"/>
      <c r="J36" s="163" t="s">
        <v>4392</v>
      </c>
      <c r="K36" s="163" t="s">
        <v>4436</v>
      </c>
      <c r="L36" s="163"/>
      <c r="M36" s="94"/>
      <c r="N36" s="163"/>
      <c r="O36" s="163"/>
      <c r="P36" s="163"/>
      <c r="Y36" s="165"/>
      <c r="Z36" s="165"/>
      <c r="AB36" s="67">
        <v>30000</v>
      </c>
      <c r="AC36" s="67">
        <v>25000</v>
      </c>
      <c r="AD36" s="67" t="s">
        <v>4352</v>
      </c>
      <c r="AU36" s="72">
        <f t="shared" si="2"/>
        <v>5000</v>
      </c>
      <c r="AV36" s="127">
        <f t="shared" si="1"/>
        <v>25000</v>
      </c>
      <c r="AW36" s="121"/>
    </row>
    <row r="37" spans="1:49" ht="39.75" customHeight="1" x14ac:dyDescent="0.35">
      <c r="A37" s="160"/>
      <c r="B37" s="162"/>
      <c r="C37" s="164"/>
      <c r="D37" s="164"/>
      <c r="E37" s="164"/>
      <c r="F37" s="164"/>
      <c r="G37" s="164"/>
      <c r="H37" s="150"/>
      <c r="I37" s="164"/>
      <c r="J37" s="164"/>
      <c r="K37" s="164"/>
      <c r="L37" s="164"/>
      <c r="M37" s="95"/>
      <c r="N37" s="164"/>
      <c r="O37" s="164"/>
      <c r="P37" s="164"/>
      <c r="Y37" s="166"/>
      <c r="Z37" s="166"/>
      <c r="AB37" s="67">
        <v>30000</v>
      </c>
      <c r="AC37" s="67">
        <v>9000</v>
      </c>
      <c r="AD37" s="67" t="s">
        <v>4619</v>
      </c>
      <c r="AU37" s="72">
        <f t="shared" si="2"/>
        <v>21000</v>
      </c>
      <c r="AV37" s="127">
        <f t="shared" si="1"/>
        <v>9000</v>
      </c>
    </row>
    <row r="38" spans="1:49" ht="39.75" customHeight="1" x14ac:dyDescent="0.4">
      <c r="A38" s="92"/>
      <c r="B38" s="101">
        <v>22</v>
      </c>
      <c r="C38" s="163" t="s">
        <v>4356</v>
      </c>
      <c r="D38" s="163" t="s">
        <v>4357</v>
      </c>
      <c r="E38" s="163" t="s">
        <v>4244</v>
      </c>
      <c r="F38" s="163" t="s">
        <v>4262</v>
      </c>
      <c r="G38" s="163" t="s">
        <v>4358</v>
      </c>
      <c r="H38" s="149"/>
      <c r="I38" s="163"/>
      <c r="J38" s="163" t="s">
        <v>4392</v>
      </c>
      <c r="K38" s="91" t="s">
        <v>4466</v>
      </c>
      <c r="L38" s="91"/>
      <c r="M38" s="91"/>
      <c r="N38" s="91"/>
      <c r="O38" s="91"/>
      <c r="P38" s="91"/>
      <c r="Y38" s="165">
        <v>9000</v>
      </c>
      <c r="Z38" s="165" t="s">
        <v>4647</v>
      </c>
      <c r="AB38" s="67">
        <v>30000</v>
      </c>
      <c r="AC38" s="67">
        <v>10000</v>
      </c>
      <c r="AD38" s="67" t="s">
        <v>4359</v>
      </c>
      <c r="AE38" s="67">
        <v>10000</v>
      </c>
      <c r="AF38" s="67" t="s">
        <v>4467</v>
      </c>
      <c r="AG38" s="67">
        <v>10000</v>
      </c>
      <c r="AH38" s="67" t="s">
        <v>4518</v>
      </c>
      <c r="AU38" s="72">
        <f t="shared" si="2"/>
        <v>0</v>
      </c>
      <c r="AV38" s="127">
        <f t="shared" si="1"/>
        <v>30000</v>
      </c>
      <c r="AW38" s="107"/>
    </row>
    <row r="39" spans="1:49" ht="39.75" customHeight="1" x14ac:dyDescent="0.35">
      <c r="A39" s="92"/>
      <c r="B39" s="101"/>
      <c r="C39" s="164"/>
      <c r="D39" s="164"/>
      <c r="E39" s="164"/>
      <c r="F39" s="164"/>
      <c r="G39" s="164"/>
      <c r="H39" s="150"/>
      <c r="I39" s="164"/>
      <c r="J39" s="164"/>
      <c r="K39" s="91"/>
      <c r="L39" s="91"/>
      <c r="M39" s="91"/>
      <c r="N39" s="91"/>
      <c r="O39" s="91"/>
      <c r="P39" s="91"/>
      <c r="Y39" s="166"/>
      <c r="Z39" s="166"/>
      <c r="AB39" s="67">
        <v>30000</v>
      </c>
      <c r="AC39" s="67">
        <v>9000</v>
      </c>
      <c r="AD39" s="67" t="s">
        <v>4616</v>
      </c>
      <c r="AE39" s="67">
        <v>15000</v>
      </c>
      <c r="AF39" s="67" t="s">
        <v>4677</v>
      </c>
      <c r="AU39" s="72">
        <f t="shared" si="2"/>
        <v>6000</v>
      </c>
      <c r="AV39" s="127">
        <f t="shared" si="1"/>
        <v>24000</v>
      </c>
    </row>
    <row r="40" spans="1:49" ht="32.25" customHeight="1" x14ac:dyDescent="0.4">
      <c r="A40" s="159">
        <v>89</v>
      </c>
      <c r="B40" s="161">
        <v>23</v>
      </c>
      <c r="C40" s="163" t="s">
        <v>4369</v>
      </c>
      <c r="D40" s="163" t="s">
        <v>4370</v>
      </c>
      <c r="E40" s="163" t="s">
        <v>4244</v>
      </c>
      <c r="F40" s="163" t="s">
        <v>4262</v>
      </c>
      <c r="G40" s="163"/>
      <c r="H40" s="149"/>
      <c r="I40" s="163"/>
      <c r="J40" s="163" t="s">
        <v>4392</v>
      </c>
      <c r="K40" s="163" t="s">
        <v>4483</v>
      </c>
      <c r="L40" s="163"/>
      <c r="M40" s="94"/>
      <c r="N40" s="163"/>
      <c r="O40" s="163"/>
      <c r="P40" s="165"/>
      <c r="Y40" s="165"/>
      <c r="Z40" s="165"/>
      <c r="AB40" s="67">
        <v>30000</v>
      </c>
      <c r="AC40" s="67">
        <v>5000</v>
      </c>
      <c r="AU40" s="72">
        <f t="shared" si="2"/>
        <v>25000</v>
      </c>
      <c r="AV40" s="127">
        <f>AC40+AE40+AG40+AI40+AK40+AO37+AQ37</f>
        <v>5000</v>
      </c>
      <c r="AW40" s="107"/>
    </row>
    <row r="41" spans="1:49" ht="27" customHeight="1" x14ac:dyDescent="0.35">
      <c r="A41" s="160"/>
      <c r="B41" s="162"/>
      <c r="C41" s="164"/>
      <c r="D41" s="164"/>
      <c r="E41" s="164"/>
      <c r="F41" s="164"/>
      <c r="G41" s="164"/>
      <c r="H41" s="150"/>
      <c r="I41" s="164"/>
      <c r="J41" s="164"/>
      <c r="K41" s="164"/>
      <c r="L41" s="164"/>
      <c r="M41" s="95"/>
      <c r="N41" s="164"/>
      <c r="O41" s="164"/>
      <c r="P41" s="166"/>
      <c r="Y41" s="166"/>
      <c r="Z41" s="166"/>
      <c r="AB41" s="67">
        <v>30000</v>
      </c>
      <c r="AU41" s="72">
        <f t="shared" si="2"/>
        <v>30000</v>
      </c>
      <c r="AV41" s="127">
        <f t="shared" si="1"/>
        <v>0</v>
      </c>
    </row>
    <row r="42" spans="1:49" ht="30.75" customHeight="1" x14ac:dyDescent="0.4">
      <c r="A42" s="159">
        <v>91</v>
      </c>
      <c r="B42" s="161">
        <v>24</v>
      </c>
      <c r="C42" s="163" t="s">
        <v>4377</v>
      </c>
      <c r="D42" s="163" t="s">
        <v>4378</v>
      </c>
      <c r="E42" s="163" t="s">
        <v>4244</v>
      </c>
      <c r="F42" s="163" t="s">
        <v>4262</v>
      </c>
      <c r="G42" s="163">
        <v>3186962158</v>
      </c>
      <c r="H42" s="149"/>
      <c r="I42" s="163"/>
      <c r="J42" s="163" t="s">
        <v>4392</v>
      </c>
      <c r="K42" s="163" t="s">
        <v>4451</v>
      </c>
      <c r="L42" s="163"/>
      <c r="M42" s="94"/>
      <c r="N42" s="163"/>
      <c r="O42" s="163"/>
      <c r="P42" s="165"/>
      <c r="Y42" s="165">
        <v>10500</v>
      </c>
      <c r="Z42" s="165"/>
      <c r="AB42" s="67">
        <v>25000</v>
      </c>
      <c r="AC42" s="67">
        <v>7000</v>
      </c>
      <c r="AD42" s="67" t="s">
        <v>4386</v>
      </c>
      <c r="AE42" s="67">
        <v>15000</v>
      </c>
      <c r="AF42" s="67" t="s">
        <v>4525</v>
      </c>
      <c r="AG42" s="67">
        <v>3000</v>
      </c>
      <c r="AH42" s="67" t="s">
        <v>4564</v>
      </c>
      <c r="AU42" s="72">
        <f t="shared" si="2"/>
        <v>0</v>
      </c>
      <c r="AV42" s="127">
        <f t="shared" si="1"/>
        <v>25000</v>
      </c>
      <c r="AW42" s="107"/>
    </row>
    <row r="43" spans="1:49" ht="39.950000000000003" customHeight="1" x14ac:dyDescent="0.35">
      <c r="A43" s="160"/>
      <c r="B43" s="162"/>
      <c r="C43" s="164"/>
      <c r="D43" s="164"/>
      <c r="E43" s="164"/>
      <c r="F43" s="164"/>
      <c r="G43" s="164"/>
      <c r="H43" s="150"/>
      <c r="I43" s="164"/>
      <c r="J43" s="164"/>
      <c r="K43" s="164"/>
      <c r="L43" s="164"/>
      <c r="M43" s="95"/>
      <c r="N43" s="164"/>
      <c r="O43" s="164"/>
      <c r="P43" s="166"/>
      <c r="Y43" s="166"/>
      <c r="Z43" s="166"/>
      <c r="AB43" s="67">
        <v>25000</v>
      </c>
      <c r="AC43" s="67">
        <v>2000</v>
      </c>
      <c r="AD43" s="67" t="s">
        <v>4564</v>
      </c>
      <c r="AE43" s="67">
        <v>5000</v>
      </c>
      <c r="AF43" s="67" t="s">
        <v>4564</v>
      </c>
      <c r="AG43" s="67">
        <v>5000</v>
      </c>
      <c r="AH43" s="67" t="s">
        <v>4644</v>
      </c>
      <c r="AI43" s="67">
        <v>10000</v>
      </c>
      <c r="AJ43" s="67" t="s">
        <v>4680</v>
      </c>
      <c r="AU43" s="72">
        <f t="shared" si="2"/>
        <v>3000</v>
      </c>
      <c r="AV43" s="127">
        <f t="shared" si="1"/>
        <v>22000</v>
      </c>
    </row>
    <row r="44" spans="1:49" ht="39.950000000000003" customHeight="1" x14ac:dyDescent="0.4">
      <c r="A44" s="159">
        <v>92</v>
      </c>
      <c r="B44" s="161">
        <v>25</v>
      </c>
      <c r="C44" s="163" t="s">
        <v>4379</v>
      </c>
      <c r="D44" s="163" t="s">
        <v>4380</v>
      </c>
      <c r="E44" s="163"/>
      <c r="F44" s="163" t="s">
        <v>4262</v>
      </c>
      <c r="G44" s="163" t="s">
        <v>4381</v>
      </c>
      <c r="H44" s="149"/>
      <c r="I44" s="163"/>
      <c r="J44" s="163" t="s">
        <v>4392</v>
      </c>
      <c r="K44" s="163" t="s">
        <v>4448</v>
      </c>
      <c r="L44" s="163"/>
      <c r="M44" s="94"/>
      <c r="N44" s="163"/>
      <c r="O44" s="163"/>
      <c r="P44" s="163"/>
      <c r="Y44" s="165">
        <v>10500</v>
      </c>
      <c r="Z44" s="165" t="s">
        <v>4671</v>
      </c>
      <c r="AB44" s="67">
        <v>25000</v>
      </c>
      <c r="AC44" s="67">
        <v>18000</v>
      </c>
      <c r="AD44" s="67" t="s">
        <v>4523</v>
      </c>
      <c r="AE44" s="67">
        <v>7000</v>
      </c>
      <c r="AF44" s="67" t="s">
        <v>4586</v>
      </c>
      <c r="AU44" s="72">
        <f t="shared" si="2"/>
        <v>0</v>
      </c>
      <c r="AV44" s="127">
        <f t="shared" si="1"/>
        <v>25000</v>
      </c>
      <c r="AW44" s="107"/>
    </row>
    <row r="45" spans="1:49" ht="39.950000000000003" customHeight="1" x14ac:dyDescent="0.35">
      <c r="A45" s="160"/>
      <c r="B45" s="162"/>
      <c r="C45" s="164"/>
      <c r="D45" s="164"/>
      <c r="E45" s="164"/>
      <c r="F45" s="164"/>
      <c r="G45" s="164"/>
      <c r="H45" s="150"/>
      <c r="I45" s="164"/>
      <c r="J45" s="164"/>
      <c r="K45" s="164"/>
      <c r="L45" s="164"/>
      <c r="M45" s="95"/>
      <c r="N45" s="164"/>
      <c r="O45" s="164"/>
      <c r="P45" s="164"/>
      <c r="Y45" s="166"/>
      <c r="Z45" s="166"/>
      <c r="AB45" s="67">
        <v>25000</v>
      </c>
      <c r="AC45" s="67">
        <v>9000</v>
      </c>
      <c r="AD45" s="67" t="s">
        <v>4586</v>
      </c>
      <c r="AE45" s="67">
        <v>5000</v>
      </c>
      <c r="AF45" s="67" t="s">
        <v>4671</v>
      </c>
      <c r="AG45" s="67">
        <v>10000</v>
      </c>
      <c r="AH45" s="67" t="s">
        <v>4681</v>
      </c>
      <c r="AU45" s="72">
        <f t="shared" si="2"/>
        <v>1000</v>
      </c>
      <c r="AV45" s="127">
        <f t="shared" si="1"/>
        <v>24000</v>
      </c>
    </row>
    <row r="46" spans="1:49" ht="39.950000000000003" customHeight="1" x14ac:dyDescent="0.35">
      <c r="A46" s="159">
        <v>96</v>
      </c>
      <c r="B46" s="161">
        <v>26</v>
      </c>
      <c r="C46" s="157" t="s">
        <v>4390</v>
      </c>
      <c r="D46" s="157" t="s">
        <v>4391</v>
      </c>
      <c r="E46" s="157" t="s">
        <v>4244</v>
      </c>
      <c r="F46" s="163" t="s">
        <v>4245</v>
      </c>
      <c r="G46" s="157">
        <v>3087713770</v>
      </c>
      <c r="H46" s="144"/>
      <c r="I46" s="157"/>
      <c r="J46" s="157" t="s">
        <v>4392</v>
      </c>
      <c r="K46" s="157" t="s">
        <v>4393</v>
      </c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157"/>
      <c r="Z46" s="165"/>
      <c r="AB46" s="67">
        <v>30000</v>
      </c>
      <c r="AC46" s="67">
        <v>15000</v>
      </c>
      <c r="AD46" s="67" t="s">
        <v>4393</v>
      </c>
      <c r="AE46" s="67">
        <v>15000</v>
      </c>
      <c r="AF46" s="67" t="s">
        <v>4553</v>
      </c>
      <c r="AU46" s="72">
        <f t="shared" si="2"/>
        <v>0</v>
      </c>
      <c r="AV46" s="127">
        <f t="shared" si="1"/>
        <v>30000</v>
      </c>
      <c r="AW46" s="121"/>
    </row>
    <row r="47" spans="1:49" ht="39.75" customHeight="1" x14ac:dyDescent="0.35">
      <c r="A47" s="160"/>
      <c r="B47" s="162"/>
      <c r="C47" s="158"/>
      <c r="D47" s="158"/>
      <c r="E47" s="158"/>
      <c r="F47" s="164"/>
      <c r="G47" s="158"/>
      <c r="H47" s="145"/>
      <c r="I47" s="158"/>
      <c r="J47" s="158"/>
      <c r="K47" s="158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158"/>
      <c r="Z47" s="166"/>
      <c r="AB47" s="67">
        <v>30000</v>
      </c>
      <c r="AC47" s="67">
        <v>21000</v>
      </c>
      <c r="AD47" s="67" t="s">
        <v>4572</v>
      </c>
      <c r="AE47" s="67">
        <v>9000</v>
      </c>
      <c r="AF47" s="67" t="s">
        <v>4618</v>
      </c>
      <c r="AU47" s="72">
        <f t="shared" si="2"/>
        <v>0</v>
      </c>
      <c r="AV47" s="127">
        <f t="shared" si="1"/>
        <v>30000</v>
      </c>
    </row>
    <row r="48" spans="1:49" ht="39.950000000000003" customHeight="1" x14ac:dyDescent="0.4">
      <c r="A48" s="159">
        <v>103</v>
      </c>
      <c r="B48" s="161">
        <v>27</v>
      </c>
      <c r="C48" s="163" t="s">
        <v>4410</v>
      </c>
      <c r="D48" s="163" t="s">
        <v>4407</v>
      </c>
      <c r="E48" s="163" t="s">
        <v>4244</v>
      </c>
      <c r="F48" s="163" t="s">
        <v>4262</v>
      </c>
      <c r="G48" s="163" t="s">
        <v>4408</v>
      </c>
      <c r="H48" s="149"/>
      <c r="I48" s="163"/>
      <c r="J48" s="163" t="s">
        <v>4392</v>
      </c>
      <c r="K48" s="163" t="s">
        <v>4409</v>
      </c>
      <c r="L48" s="163"/>
      <c r="M48" s="163"/>
      <c r="N48" s="163"/>
      <c r="O48" s="163"/>
      <c r="P48" s="163"/>
      <c r="Y48" s="157">
        <v>9000</v>
      </c>
      <c r="Z48" s="157" t="s">
        <v>4654</v>
      </c>
      <c r="AB48" s="67">
        <v>30000</v>
      </c>
      <c r="AC48" s="72">
        <v>7000</v>
      </c>
      <c r="AD48" s="68"/>
      <c r="AE48" s="67">
        <v>9000</v>
      </c>
      <c r="AF48" s="67" t="s">
        <v>4613</v>
      </c>
      <c r="AU48" s="72">
        <f t="shared" si="2"/>
        <v>14000</v>
      </c>
      <c r="AV48" s="127">
        <f t="shared" si="1"/>
        <v>16000</v>
      </c>
      <c r="AW48" s="107"/>
    </row>
    <row r="49" spans="1:49" ht="39.950000000000003" customHeight="1" x14ac:dyDescent="0.35">
      <c r="A49" s="160"/>
      <c r="B49" s="162"/>
      <c r="C49" s="164"/>
      <c r="D49" s="164"/>
      <c r="E49" s="164"/>
      <c r="F49" s="164"/>
      <c r="G49" s="164"/>
      <c r="H49" s="150"/>
      <c r="I49" s="164"/>
      <c r="J49" s="164"/>
      <c r="K49" s="164"/>
      <c r="L49" s="164"/>
      <c r="M49" s="164"/>
      <c r="N49" s="164"/>
      <c r="O49" s="164"/>
      <c r="P49" s="164"/>
      <c r="Y49" s="158"/>
      <c r="Z49" s="158"/>
      <c r="AB49" s="67">
        <v>30000</v>
      </c>
      <c r="AU49" s="131">
        <f t="shared" si="2"/>
        <v>30000</v>
      </c>
      <c r="AV49" s="127">
        <f t="shared" si="1"/>
        <v>0</v>
      </c>
    </row>
    <row r="50" spans="1:49" ht="32.25" customHeight="1" x14ac:dyDescent="0.4">
      <c r="A50" s="159"/>
      <c r="B50" s="161">
        <v>28</v>
      </c>
      <c r="C50" s="163" t="s">
        <v>4412</v>
      </c>
      <c r="D50" s="163"/>
      <c r="E50" s="163" t="s">
        <v>4244</v>
      </c>
      <c r="F50" s="163" t="s">
        <v>4262</v>
      </c>
      <c r="G50" s="163">
        <v>3088330256</v>
      </c>
      <c r="H50" s="149"/>
      <c r="I50" s="163"/>
      <c r="J50" s="163" t="s">
        <v>4392</v>
      </c>
      <c r="K50" s="163" t="s">
        <v>4426</v>
      </c>
      <c r="L50" s="163"/>
      <c r="M50" s="163"/>
      <c r="N50" s="163"/>
      <c r="O50" s="163"/>
      <c r="P50" s="163"/>
      <c r="Y50" s="157">
        <v>9000</v>
      </c>
      <c r="Z50" s="157"/>
      <c r="AB50" s="67">
        <v>30000</v>
      </c>
      <c r="AC50" s="67">
        <v>9000</v>
      </c>
      <c r="AD50" s="67" t="s">
        <v>4426</v>
      </c>
      <c r="AE50" s="67">
        <v>9000</v>
      </c>
      <c r="AF50" s="67" t="s">
        <v>4452</v>
      </c>
      <c r="AG50" s="67">
        <v>12000</v>
      </c>
      <c r="AH50" s="67" t="s">
        <v>4520</v>
      </c>
      <c r="AU50" s="131">
        <f t="shared" si="2"/>
        <v>0</v>
      </c>
      <c r="AV50" s="127">
        <f t="shared" si="1"/>
        <v>30000</v>
      </c>
      <c r="AW50" s="107"/>
    </row>
    <row r="51" spans="1:49" ht="39.950000000000003" customHeight="1" x14ac:dyDescent="0.35">
      <c r="A51" s="160"/>
      <c r="B51" s="162"/>
      <c r="C51" s="164"/>
      <c r="D51" s="164"/>
      <c r="E51" s="164"/>
      <c r="F51" s="164"/>
      <c r="G51" s="164"/>
      <c r="H51" s="150"/>
      <c r="I51" s="164"/>
      <c r="J51" s="164"/>
      <c r="K51" s="164"/>
      <c r="L51" s="164"/>
      <c r="M51" s="164"/>
      <c r="N51" s="164"/>
      <c r="O51" s="164"/>
      <c r="P51" s="164"/>
      <c r="Y51" s="158"/>
      <c r="Z51" s="158"/>
      <c r="AB51" s="67">
        <v>30000</v>
      </c>
      <c r="AC51" s="67">
        <v>20000</v>
      </c>
      <c r="AD51" s="67" t="s">
        <v>4594</v>
      </c>
      <c r="AE51" s="67">
        <v>10000</v>
      </c>
      <c r="AU51" s="131">
        <f t="shared" si="2"/>
        <v>0</v>
      </c>
      <c r="AV51" s="127">
        <f t="shared" si="1"/>
        <v>30000</v>
      </c>
    </row>
    <row r="52" spans="1:49" ht="23.25" customHeight="1" x14ac:dyDescent="0.4">
      <c r="A52" s="159"/>
      <c r="B52" s="161">
        <v>30</v>
      </c>
      <c r="C52" s="163" t="s">
        <v>4413</v>
      </c>
      <c r="D52" s="163"/>
      <c r="E52" s="163" t="s">
        <v>4244</v>
      </c>
      <c r="F52" s="163" t="s">
        <v>4262</v>
      </c>
      <c r="G52" s="163">
        <v>3037744978</v>
      </c>
      <c r="H52" s="149"/>
      <c r="I52" s="163"/>
      <c r="J52" s="163" t="s">
        <v>4392</v>
      </c>
      <c r="K52" s="163" t="s">
        <v>4454</v>
      </c>
      <c r="L52" s="163"/>
      <c r="M52" s="163"/>
      <c r="N52" s="163"/>
      <c r="O52" s="163"/>
      <c r="P52" s="163"/>
      <c r="Y52" s="157">
        <v>9000</v>
      </c>
      <c r="Z52" s="157" t="s">
        <v>4655</v>
      </c>
      <c r="AB52" s="67">
        <v>30000</v>
      </c>
      <c r="AC52" s="67">
        <v>13000</v>
      </c>
      <c r="AD52" s="67" t="s">
        <v>4450</v>
      </c>
      <c r="AE52" s="67">
        <v>7000</v>
      </c>
      <c r="AF52" s="67" t="s">
        <v>4526</v>
      </c>
      <c r="AG52" s="67">
        <v>10000</v>
      </c>
      <c r="AH52" s="67" t="s">
        <v>4612</v>
      </c>
      <c r="AU52" s="131">
        <f t="shared" si="2"/>
        <v>0</v>
      </c>
      <c r="AV52" s="127">
        <f t="shared" si="1"/>
        <v>30000</v>
      </c>
      <c r="AW52" s="107"/>
    </row>
    <row r="53" spans="1:49" ht="32.25" customHeight="1" x14ac:dyDescent="0.35">
      <c r="A53" s="160"/>
      <c r="B53" s="162"/>
      <c r="C53" s="164"/>
      <c r="D53" s="164"/>
      <c r="E53" s="164"/>
      <c r="F53" s="164"/>
      <c r="G53" s="164"/>
      <c r="H53" s="150"/>
      <c r="I53" s="164"/>
      <c r="J53" s="164"/>
      <c r="K53" s="164"/>
      <c r="L53" s="164"/>
      <c r="M53" s="164"/>
      <c r="N53" s="164"/>
      <c r="O53" s="164"/>
      <c r="P53" s="164"/>
      <c r="Y53" s="158"/>
      <c r="Z53" s="158"/>
      <c r="AB53" s="67">
        <v>30000</v>
      </c>
      <c r="AC53" s="67">
        <v>5000</v>
      </c>
      <c r="AD53" s="67" t="s">
        <v>4638</v>
      </c>
      <c r="AE53" s="67">
        <v>5000</v>
      </c>
      <c r="AF53" s="67" t="s">
        <v>4639</v>
      </c>
      <c r="AG53" s="67">
        <v>10000</v>
      </c>
      <c r="AH53" s="67" t="s">
        <v>4676</v>
      </c>
      <c r="AU53" s="131">
        <f t="shared" si="2"/>
        <v>10000</v>
      </c>
      <c r="AV53" s="127">
        <f t="shared" si="1"/>
        <v>20000</v>
      </c>
    </row>
    <row r="54" spans="1:49" ht="39.950000000000003" customHeight="1" x14ac:dyDescent="0.4">
      <c r="A54" s="159"/>
      <c r="B54" s="161">
        <v>31</v>
      </c>
      <c r="C54" s="163" t="s">
        <v>4414</v>
      </c>
      <c r="D54" s="163" t="s">
        <v>4651</v>
      </c>
      <c r="E54" s="163" t="s">
        <v>4244</v>
      </c>
      <c r="F54" s="163" t="s">
        <v>4262</v>
      </c>
      <c r="G54" s="171" t="s">
        <v>4429</v>
      </c>
      <c r="H54" s="153"/>
      <c r="I54" s="163"/>
      <c r="J54" s="173" t="s">
        <v>4392</v>
      </c>
      <c r="K54" s="104" t="s">
        <v>4430</v>
      </c>
      <c r="L54" s="163"/>
      <c r="M54" s="163"/>
      <c r="N54" s="163"/>
      <c r="O54" s="163"/>
      <c r="P54" s="163"/>
      <c r="Y54" s="157">
        <v>9000</v>
      </c>
      <c r="Z54" s="157" t="s">
        <v>4650</v>
      </c>
      <c r="AB54" s="67">
        <v>30000</v>
      </c>
      <c r="AC54" s="67">
        <v>17000</v>
      </c>
      <c r="AD54" s="67" t="s">
        <v>4477</v>
      </c>
      <c r="AE54" s="67">
        <v>13000</v>
      </c>
      <c r="AF54" s="67" t="s">
        <v>4521</v>
      </c>
      <c r="AU54" s="131">
        <f t="shared" si="2"/>
        <v>0</v>
      </c>
      <c r="AV54" s="127">
        <f t="shared" si="1"/>
        <v>30000</v>
      </c>
      <c r="AW54" s="107"/>
    </row>
    <row r="55" spans="1:49" ht="39.950000000000003" customHeight="1" x14ac:dyDescent="0.35">
      <c r="A55" s="160"/>
      <c r="B55" s="162"/>
      <c r="C55" s="164"/>
      <c r="D55" s="164"/>
      <c r="E55" s="164"/>
      <c r="F55" s="164"/>
      <c r="G55" s="172"/>
      <c r="H55" s="154"/>
      <c r="I55" s="164"/>
      <c r="J55" s="174"/>
      <c r="K55" s="105"/>
      <c r="L55" s="164"/>
      <c r="M55" s="164"/>
      <c r="N55" s="164"/>
      <c r="O55" s="164"/>
      <c r="P55" s="164"/>
      <c r="Y55" s="158"/>
      <c r="Z55" s="158"/>
      <c r="AB55" s="67">
        <v>30000</v>
      </c>
      <c r="AC55" s="67">
        <v>5000</v>
      </c>
      <c r="AD55" s="67" t="s">
        <v>4631</v>
      </c>
      <c r="AE55" s="67">
        <v>25000</v>
      </c>
      <c r="AF55" s="67" t="s">
        <v>4650</v>
      </c>
      <c r="AU55" s="131">
        <f t="shared" si="2"/>
        <v>0</v>
      </c>
      <c r="AV55" s="127">
        <f t="shared" si="1"/>
        <v>30000</v>
      </c>
    </row>
    <row r="56" spans="1:49" ht="39.950000000000003" customHeight="1" x14ac:dyDescent="0.4">
      <c r="A56" s="159"/>
      <c r="B56" s="161">
        <v>32</v>
      </c>
      <c r="C56" s="163" t="s">
        <v>4415</v>
      </c>
      <c r="D56" s="163"/>
      <c r="E56" s="163" t="s">
        <v>4244</v>
      </c>
      <c r="F56" s="163" t="s">
        <v>4262</v>
      </c>
      <c r="G56" s="163">
        <v>3037743891</v>
      </c>
      <c r="H56" s="149"/>
      <c r="I56" s="163"/>
      <c r="J56" s="163" t="s">
        <v>4392</v>
      </c>
      <c r="K56" s="163" t="s">
        <v>4484</v>
      </c>
      <c r="L56" s="163"/>
      <c r="M56" s="163"/>
      <c r="N56" s="163"/>
      <c r="O56" s="163"/>
      <c r="P56" s="163"/>
      <c r="Y56" s="157">
        <v>9000</v>
      </c>
      <c r="Z56" s="157"/>
      <c r="AB56" s="67">
        <v>30000</v>
      </c>
      <c r="AC56" s="67">
        <v>10000</v>
      </c>
      <c r="AD56" s="67" t="s">
        <v>4427</v>
      </c>
      <c r="AE56" s="67">
        <v>14000</v>
      </c>
      <c r="AF56" s="67" t="s">
        <v>4479</v>
      </c>
      <c r="AG56" s="67">
        <v>6000</v>
      </c>
      <c r="AH56" s="67" t="s">
        <v>4522</v>
      </c>
      <c r="AU56" s="131">
        <f t="shared" si="2"/>
        <v>0</v>
      </c>
      <c r="AV56" s="127">
        <f t="shared" si="1"/>
        <v>30000</v>
      </c>
      <c r="AW56" s="107"/>
    </row>
    <row r="57" spans="1:49" ht="21" customHeight="1" x14ac:dyDescent="0.35">
      <c r="A57" s="160"/>
      <c r="B57" s="162"/>
      <c r="C57" s="164"/>
      <c r="D57" s="164"/>
      <c r="E57" s="164"/>
      <c r="F57" s="164"/>
      <c r="G57" s="164"/>
      <c r="H57" s="150"/>
      <c r="I57" s="164"/>
      <c r="J57" s="164"/>
      <c r="K57" s="164"/>
      <c r="L57" s="164"/>
      <c r="M57" s="164"/>
      <c r="N57" s="164"/>
      <c r="O57" s="164"/>
      <c r="P57" s="164"/>
      <c r="Y57" s="158"/>
      <c r="Z57" s="158"/>
      <c r="AB57" s="67">
        <v>30000</v>
      </c>
      <c r="AC57" s="67">
        <v>20000</v>
      </c>
      <c r="AD57" s="67" t="s">
        <v>4565</v>
      </c>
      <c r="AE57" s="67">
        <v>18000</v>
      </c>
      <c r="AF57" s="67" t="s">
        <v>4640</v>
      </c>
      <c r="AU57" s="131">
        <v>0</v>
      </c>
      <c r="AV57" s="127">
        <f t="shared" si="1"/>
        <v>38000</v>
      </c>
    </row>
    <row r="58" spans="1:49" ht="22.5" customHeight="1" x14ac:dyDescent="0.4">
      <c r="B58" s="161">
        <v>33</v>
      </c>
      <c r="C58" s="157" t="s">
        <v>4416</v>
      </c>
      <c r="D58" s="157" t="s">
        <v>4652</v>
      </c>
      <c r="E58" s="165" t="s">
        <v>4244</v>
      </c>
      <c r="F58" s="157" t="s">
        <v>4262</v>
      </c>
      <c r="G58" s="157" t="s">
        <v>4431</v>
      </c>
      <c r="H58" s="144"/>
      <c r="I58" s="165"/>
      <c r="J58" s="163" t="s">
        <v>4392</v>
      </c>
      <c r="K58" s="163" t="s">
        <v>4455</v>
      </c>
      <c r="L58" s="165"/>
      <c r="M58" s="165"/>
      <c r="N58" s="165"/>
      <c r="O58" s="165"/>
      <c r="P58" s="165"/>
      <c r="Y58" s="157">
        <v>9000</v>
      </c>
      <c r="Z58" s="157" t="s">
        <v>4657</v>
      </c>
      <c r="AB58" s="67">
        <v>30000</v>
      </c>
      <c r="AC58" s="67">
        <v>5000</v>
      </c>
      <c r="AD58" s="67" t="s">
        <v>4476</v>
      </c>
      <c r="AE58" s="67">
        <v>5000</v>
      </c>
      <c r="AF58" s="67" t="s">
        <v>4517</v>
      </c>
      <c r="AG58" s="67">
        <v>13000</v>
      </c>
      <c r="AH58" s="67" t="s">
        <v>4617</v>
      </c>
      <c r="AI58" s="67">
        <v>7000</v>
      </c>
      <c r="AJ58" s="67" t="s">
        <v>4653</v>
      </c>
      <c r="AU58" s="131">
        <f t="shared" si="2"/>
        <v>0</v>
      </c>
      <c r="AV58" s="127">
        <f t="shared" si="1"/>
        <v>30000</v>
      </c>
      <c r="AW58" s="107"/>
    </row>
    <row r="59" spans="1:49" ht="34.5" customHeight="1" x14ac:dyDescent="0.35">
      <c r="B59" s="162"/>
      <c r="C59" s="170"/>
      <c r="D59" s="158"/>
      <c r="E59" s="175"/>
      <c r="F59" s="170"/>
      <c r="G59" s="158"/>
      <c r="H59" s="145"/>
      <c r="I59" s="166"/>
      <c r="J59" s="176"/>
      <c r="K59" s="164"/>
      <c r="L59" s="166"/>
      <c r="M59" s="166"/>
      <c r="N59" s="166"/>
      <c r="O59" s="166"/>
      <c r="P59" s="166"/>
      <c r="Y59" s="158"/>
      <c r="Z59" s="158"/>
      <c r="AB59" s="59">
        <v>30000</v>
      </c>
      <c r="AC59" s="59"/>
      <c r="AE59" s="59"/>
      <c r="AU59" s="131">
        <f t="shared" si="2"/>
        <v>30000</v>
      </c>
      <c r="AV59" s="128">
        <f t="shared" ref="AV59:AV70" si="3">AC59+AE59+AG59+AI59+AK59+AO58+AQ58</f>
        <v>0</v>
      </c>
    </row>
    <row r="60" spans="1:49" ht="31.5" customHeight="1" x14ac:dyDescent="0.35">
      <c r="B60" s="161">
        <v>35</v>
      </c>
      <c r="C60" s="177" t="s">
        <v>4417</v>
      </c>
      <c r="D60" s="177" t="s">
        <v>4418</v>
      </c>
      <c r="E60" s="177" t="s">
        <v>4244</v>
      </c>
      <c r="F60" s="177" t="s">
        <v>4245</v>
      </c>
      <c r="G60" s="177">
        <v>3077881105</v>
      </c>
      <c r="H60" s="151">
        <v>9000</v>
      </c>
      <c r="I60" s="182" t="s">
        <v>4684</v>
      </c>
      <c r="J60" s="183" t="s">
        <v>4392</v>
      </c>
      <c r="K60" s="178" t="s">
        <v>4441</v>
      </c>
      <c r="L60" s="165"/>
      <c r="M60" s="165"/>
      <c r="N60" s="165"/>
      <c r="O60" s="165"/>
      <c r="P60" s="165"/>
      <c r="Y60" s="157"/>
      <c r="Z60" s="157"/>
      <c r="AB60" s="67">
        <v>0</v>
      </c>
      <c r="AD60" s="71"/>
      <c r="AF60" s="71"/>
      <c r="AU60" s="131">
        <f t="shared" si="2"/>
        <v>0</v>
      </c>
      <c r="AV60" s="127">
        <f t="shared" si="1"/>
        <v>0</v>
      </c>
      <c r="AW60" s="121"/>
    </row>
    <row r="61" spans="1:49" ht="20.25" customHeight="1" x14ac:dyDescent="0.35">
      <c r="B61" s="162"/>
      <c r="C61" s="166"/>
      <c r="D61" s="166"/>
      <c r="E61" s="166"/>
      <c r="F61" s="166"/>
      <c r="G61" s="166"/>
      <c r="H61" s="148"/>
      <c r="I61" s="166"/>
      <c r="J61" s="164"/>
      <c r="K61" s="164"/>
      <c r="L61" s="166"/>
      <c r="M61" s="166"/>
      <c r="N61" s="166"/>
      <c r="O61" s="166"/>
      <c r="P61" s="166"/>
      <c r="Y61" s="158"/>
      <c r="Z61" s="158"/>
      <c r="AB61" s="70">
        <v>0</v>
      </c>
      <c r="AC61" s="70"/>
      <c r="AE61" s="70"/>
      <c r="AU61" s="131">
        <f t="shared" si="2"/>
        <v>0</v>
      </c>
      <c r="AV61" s="129">
        <f t="shared" si="3"/>
        <v>0</v>
      </c>
    </row>
    <row r="62" spans="1:49" ht="39.75" customHeight="1" x14ac:dyDescent="0.35">
      <c r="B62" s="101"/>
      <c r="C62" s="165" t="s">
        <v>4491</v>
      </c>
      <c r="D62" s="165" t="s">
        <v>4492</v>
      </c>
      <c r="E62" s="165" t="s">
        <v>4244</v>
      </c>
      <c r="F62" s="165" t="s">
        <v>4245</v>
      </c>
      <c r="G62" s="165" t="s">
        <v>4493</v>
      </c>
      <c r="H62" s="147">
        <v>9000</v>
      </c>
      <c r="I62" s="165" t="s">
        <v>4694</v>
      </c>
      <c r="J62" s="165" t="s">
        <v>4392</v>
      </c>
      <c r="K62" s="165" t="s">
        <v>4504</v>
      </c>
      <c r="L62" s="165"/>
      <c r="M62" s="165"/>
      <c r="N62" s="165"/>
      <c r="O62" s="165"/>
      <c r="P62" s="165"/>
      <c r="Y62" s="157"/>
      <c r="Z62" s="157"/>
      <c r="AB62" s="67">
        <v>30000</v>
      </c>
      <c r="AC62" s="67">
        <v>8000</v>
      </c>
      <c r="AD62" s="67" t="s">
        <v>4494</v>
      </c>
      <c r="AE62" s="67">
        <v>8000</v>
      </c>
      <c r="AF62" s="67" t="s">
        <v>4540</v>
      </c>
      <c r="AG62" s="67">
        <v>10000</v>
      </c>
      <c r="AH62" s="67" t="s">
        <v>4571</v>
      </c>
      <c r="AI62" s="67">
        <v>4000</v>
      </c>
      <c r="AJ62" s="67" t="s">
        <v>4604</v>
      </c>
      <c r="AU62" s="131">
        <f t="shared" si="2"/>
        <v>0</v>
      </c>
      <c r="AV62" s="127">
        <f t="shared" si="3"/>
        <v>30000</v>
      </c>
    </row>
    <row r="63" spans="1:49" ht="24.75" customHeight="1" x14ac:dyDescent="0.35">
      <c r="A63" s="57"/>
      <c r="B63" s="101"/>
      <c r="C63" s="166"/>
      <c r="D63" s="166"/>
      <c r="E63" s="166"/>
      <c r="F63" s="166"/>
      <c r="G63" s="166"/>
      <c r="H63" s="148"/>
      <c r="I63" s="166"/>
      <c r="J63" s="166"/>
      <c r="K63" s="166"/>
      <c r="L63" s="166"/>
      <c r="M63" s="166"/>
      <c r="N63" s="166"/>
      <c r="O63" s="166"/>
      <c r="P63" s="166"/>
      <c r="Q63" s="59"/>
      <c r="R63" s="59"/>
      <c r="S63" s="59"/>
      <c r="T63" s="59"/>
      <c r="U63" s="59"/>
      <c r="V63" s="59"/>
      <c r="W63" s="59"/>
      <c r="X63" s="59"/>
      <c r="Y63" s="158"/>
      <c r="Z63" s="158"/>
      <c r="AA63" s="59"/>
      <c r="AB63" s="59">
        <v>30000</v>
      </c>
      <c r="AC63" s="59">
        <v>8000</v>
      </c>
      <c r="AD63" s="59" t="s">
        <v>4621</v>
      </c>
      <c r="AE63" s="59">
        <v>10000</v>
      </c>
      <c r="AF63" s="59" t="s">
        <v>4672</v>
      </c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74"/>
      <c r="AU63" s="132">
        <f t="shared" si="2"/>
        <v>12000</v>
      </c>
      <c r="AV63" s="128">
        <f t="shared" si="3"/>
        <v>18000</v>
      </c>
      <c r="AW63" s="57"/>
    </row>
    <row r="64" spans="1:49" s="56" customFormat="1" ht="39.950000000000003" customHeight="1" x14ac:dyDescent="0.35">
      <c r="B64" s="180">
        <v>86</v>
      </c>
      <c r="C64" s="179"/>
      <c r="D64" s="179"/>
      <c r="E64" s="179"/>
      <c r="F64" s="179"/>
      <c r="G64" s="179"/>
      <c r="H64" s="146"/>
      <c r="I64" s="179"/>
      <c r="J64" s="181"/>
      <c r="K64" s="181"/>
      <c r="L64" s="179"/>
      <c r="M64" s="179"/>
      <c r="N64" s="179"/>
      <c r="O64" s="179"/>
      <c r="P64" s="179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136"/>
      <c r="AV64" s="137">
        <f>AC64+AE64+AG64+AI64+AK64+AO61+AQ61</f>
        <v>0</v>
      </c>
    </row>
    <row r="65" spans="2:49" s="56" customFormat="1" ht="39.950000000000003" customHeight="1" x14ac:dyDescent="0.35">
      <c r="B65" s="180"/>
      <c r="C65" s="179"/>
      <c r="D65" s="179"/>
      <c r="E65" s="179"/>
      <c r="F65" s="179"/>
      <c r="G65" s="179"/>
      <c r="H65" s="146"/>
      <c r="I65" s="179"/>
      <c r="J65" s="181"/>
      <c r="K65" s="181"/>
      <c r="L65" s="179"/>
      <c r="M65" s="179"/>
      <c r="N65" s="179"/>
      <c r="O65" s="179"/>
      <c r="P65" s="179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136"/>
      <c r="AV65" s="137">
        <f t="shared" si="3"/>
        <v>0</v>
      </c>
    </row>
    <row r="66" spans="2:49" s="56" customFormat="1" ht="39.950000000000003" customHeight="1" x14ac:dyDescent="0.35">
      <c r="B66" s="99">
        <v>87</v>
      </c>
      <c r="C66" s="179"/>
      <c r="D66" s="179"/>
      <c r="E66" s="179"/>
      <c r="F66" s="179"/>
      <c r="G66" s="179"/>
      <c r="H66" s="146"/>
      <c r="I66" s="179"/>
      <c r="J66" s="179"/>
      <c r="K66" s="179"/>
      <c r="L66" s="179"/>
      <c r="M66" s="179"/>
      <c r="N66" s="179"/>
      <c r="O66" s="179"/>
      <c r="P66" s="179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136"/>
      <c r="AV66" s="137">
        <f t="shared" si="3"/>
        <v>0</v>
      </c>
    </row>
    <row r="67" spans="2:49" s="56" customFormat="1" ht="39.950000000000003" customHeight="1" x14ac:dyDescent="0.35">
      <c r="B67" s="99">
        <v>88</v>
      </c>
      <c r="C67" s="179"/>
      <c r="D67" s="179"/>
      <c r="E67" s="179"/>
      <c r="F67" s="179"/>
      <c r="G67" s="179"/>
      <c r="H67" s="146"/>
      <c r="I67" s="179"/>
      <c r="J67" s="179"/>
      <c r="K67" s="179"/>
      <c r="L67" s="179"/>
      <c r="M67" s="179"/>
      <c r="N67" s="179"/>
      <c r="O67" s="179"/>
      <c r="P67" s="179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136"/>
      <c r="AV67" s="137">
        <f t="shared" si="3"/>
        <v>0</v>
      </c>
    </row>
    <row r="68" spans="2:49" s="56" customFormat="1" ht="39.950000000000003" customHeight="1" x14ac:dyDescent="0.35">
      <c r="B68" s="180">
        <v>89</v>
      </c>
      <c r="C68" s="179"/>
      <c r="D68" s="179"/>
      <c r="E68" s="179"/>
      <c r="F68" s="179"/>
      <c r="G68" s="179"/>
      <c r="H68" s="146"/>
      <c r="I68" s="179"/>
      <c r="J68" s="181"/>
      <c r="K68" s="181"/>
      <c r="L68" s="179"/>
      <c r="M68" s="179"/>
      <c r="N68" s="179"/>
      <c r="O68" s="179"/>
      <c r="P68" s="179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136"/>
      <c r="AV68" s="137">
        <f>AC68+AE68+AG68+AI68+AK68+AO65+AQ65</f>
        <v>0</v>
      </c>
      <c r="AW68" s="138"/>
    </row>
    <row r="69" spans="2:49" s="56" customFormat="1" ht="39.950000000000003" customHeight="1" x14ac:dyDescent="0.35">
      <c r="B69" s="180"/>
      <c r="C69" s="179"/>
      <c r="D69" s="179"/>
      <c r="E69" s="179"/>
      <c r="F69" s="179"/>
      <c r="G69" s="179"/>
      <c r="H69" s="146"/>
      <c r="I69" s="179"/>
      <c r="J69" s="181"/>
      <c r="K69" s="181"/>
      <c r="L69" s="179"/>
      <c r="M69" s="179"/>
      <c r="N69" s="179"/>
      <c r="O69" s="179"/>
      <c r="P69" s="179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136"/>
      <c r="AV69" s="137">
        <f t="shared" si="3"/>
        <v>0</v>
      </c>
    </row>
    <row r="70" spans="2:49" s="56" customFormat="1" ht="39.950000000000003" customHeight="1" x14ac:dyDescent="0.35">
      <c r="B70" s="99">
        <v>90</v>
      </c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136"/>
      <c r="AV70" s="137">
        <f t="shared" si="3"/>
        <v>0</v>
      </c>
    </row>
    <row r="71" spans="2:49" s="56" customFormat="1" x14ac:dyDescent="0.35">
      <c r="B71" s="99">
        <v>91</v>
      </c>
      <c r="C71" s="58"/>
      <c r="D71" s="58"/>
      <c r="E71" s="58"/>
      <c r="F71" s="58"/>
      <c r="G71" s="58"/>
      <c r="H71" s="58"/>
      <c r="I71" s="58"/>
      <c r="J71" s="139"/>
      <c r="K71" s="58"/>
      <c r="L71" s="139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139"/>
      <c r="AC71" s="139"/>
      <c r="AD71" s="58"/>
      <c r="AE71" s="139"/>
      <c r="AF71" s="58"/>
      <c r="AG71" s="139"/>
      <c r="AH71" s="58"/>
      <c r="AI71" s="139"/>
      <c r="AJ71" s="58"/>
      <c r="AK71" s="139"/>
      <c r="AL71" s="58"/>
      <c r="AM71" s="139"/>
      <c r="AN71" s="58"/>
      <c r="AO71" s="139"/>
      <c r="AP71" s="58"/>
      <c r="AQ71" s="139"/>
      <c r="AR71" s="58"/>
      <c r="AS71" s="139"/>
      <c r="AT71" s="58"/>
      <c r="AU71" s="58"/>
      <c r="AV71" s="58"/>
    </row>
    <row r="72" spans="2:49" s="56" customFormat="1" x14ac:dyDescent="0.35">
      <c r="B72" s="99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</row>
    <row r="73" spans="2:49" s="56" customFormat="1" hidden="1" x14ac:dyDescent="0.35">
      <c r="B73" s="99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</row>
    <row r="74" spans="2:49" s="56" customFormat="1" hidden="1" x14ac:dyDescent="0.35">
      <c r="B74" s="99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</row>
    <row r="75" spans="2:49" s="56" customFormat="1" hidden="1" x14ac:dyDescent="0.35">
      <c r="B75" s="99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</row>
    <row r="76" spans="2:49" s="56" customFormat="1" hidden="1" x14ac:dyDescent="0.35">
      <c r="B76" s="99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</row>
    <row r="77" spans="2:49" s="56" customFormat="1" hidden="1" x14ac:dyDescent="0.35">
      <c r="B77" s="99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</row>
    <row r="78" spans="2:49" s="56" customFormat="1" hidden="1" x14ac:dyDescent="0.35">
      <c r="B78" s="99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</row>
    <row r="79" spans="2:49" s="56" customFormat="1" hidden="1" x14ac:dyDescent="0.35">
      <c r="B79" s="99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</row>
    <row r="80" spans="2:49" s="56" customFormat="1" hidden="1" x14ac:dyDescent="0.35">
      <c r="B80" s="99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</row>
    <row r="81" spans="2:48" s="56" customFormat="1" hidden="1" x14ac:dyDescent="0.35">
      <c r="B81" s="99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</row>
    <row r="82" spans="2:48" s="56" customFormat="1" hidden="1" x14ac:dyDescent="0.35">
      <c r="B82" s="99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</row>
    <row r="83" spans="2:48" s="56" customFormat="1" hidden="1" x14ac:dyDescent="0.35">
      <c r="B83" s="99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</row>
    <row r="84" spans="2:48" s="56" customFormat="1" hidden="1" x14ac:dyDescent="0.35">
      <c r="B84" s="99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</row>
    <row r="85" spans="2:48" s="56" customFormat="1" hidden="1" x14ac:dyDescent="0.35">
      <c r="B85" s="99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</row>
    <row r="86" spans="2:48" s="56" customFormat="1" hidden="1" x14ac:dyDescent="0.35">
      <c r="B86" s="99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</row>
    <row r="87" spans="2:48" s="56" customFormat="1" hidden="1" x14ac:dyDescent="0.35">
      <c r="B87" s="99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</row>
    <row r="88" spans="2:48" s="56" customFormat="1" hidden="1" x14ac:dyDescent="0.35">
      <c r="B88" s="99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</row>
    <row r="89" spans="2:48" s="56" customFormat="1" hidden="1" x14ac:dyDescent="0.35">
      <c r="B89" s="99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</row>
    <row r="90" spans="2:48" s="56" customFormat="1" hidden="1" x14ac:dyDescent="0.35">
      <c r="B90" s="99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</row>
    <row r="91" spans="2:48" s="56" customFormat="1" hidden="1" x14ac:dyDescent="0.35">
      <c r="B91" s="99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</row>
    <row r="92" spans="2:48" s="56" customFormat="1" hidden="1" x14ac:dyDescent="0.35">
      <c r="B92" s="99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</row>
    <row r="93" spans="2:48" s="56" customFormat="1" hidden="1" x14ac:dyDescent="0.35">
      <c r="B93" s="99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</row>
    <row r="94" spans="2:48" s="56" customFormat="1" hidden="1" x14ac:dyDescent="0.35">
      <c r="B94" s="99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</row>
    <row r="95" spans="2:48" s="56" customFormat="1" hidden="1" x14ac:dyDescent="0.35">
      <c r="B95" s="99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</row>
    <row r="96" spans="2:48" s="56" customFormat="1" hidden="1" x14ac:dyDescent="0.35">
      <c r="B96" s="99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</row>
    <row r="97" spans="2:48" s="56" customFormat="1" hidden="1" x14ac:dyDescent="0.35">
      <c r="B97" s="99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</row>
    <row r="98" spans="2:48" s="56" customFormat="1" hidden="1" x14ac:dyDescent="0.35">
      <c r="B98" s="99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</row>
    <row r="99" spans="2:48" s="56" customFormat="1" hidden="1" x14ac:dyDescent="0.35">
      <c r="B99" s="99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</row>
    <row r="100" spans="2:48" s="56" customFormat="1" hidden="1" x14ac:dyDescent="0.35">
      <c r="B100" s="99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</row>
    <row r="101" spans="2:48" s="56" customFormat="1" hidden="1" x14ac:dyDescent="0.35">
      <c r="B101" s="99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</row>
    <row r="102" spans="2:48" s="56" customFormat="1" hidden="1" x14ac:dyDescent="0.35">
      <c r="B102" s="99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</row>
    <row r="103" spans="2:48" s="56" customFormat="1" hidden="1" x14ac:dyDescent="0.35">
      <c r="B103" s="99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</row>
    <row r="104" spans="2:48" s="56" customFormat="1" hidden="1" x14ac:dyDescent="0.35">
      <c r="B104" s="99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</row>
    <row r="105" spans="2:48" s="56" customFormat="1" hidden="1" x14ac:dyDescent="0.35">
      <c r="B105" s="99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</row>
    <row r="106" spans="2:48" s="56" customFormat="1" hidden="1" x14ac:dyDescent="0.35">
      <c r="B106" s="99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</row>
    <row r="107" spans="2:48" s="56" customFormat="1" hidden="1" x14ac:dyDescent="0.35">
      <c r="B107" s="99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</row>
    <row r="108" spans="2:48" s="56" customFormat="1" hidden="1" x14ac:dyDescent="0.35">
      <c r="B108" s="99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</row>
    <row r="109" spans="2:48" s="56" customFormat="1" hidden="1" x14ac:dyDescent="0.35">
      <c r="B109" s="99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</row>
    <row r="110" spans="2:48" s="56" customFormat="1" hidden="1" x14ac:dyDescent="0.35">
      <c r="B110" s="99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</row>
    <row r="111" spans="2:48" s="56" customFormat="1" hidden="1" x14ac:dyDescent="0.35">
      <c r="B111" s="99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</row>
    <row r="112" spans="2:48" s="56" customFormat="1" hidden="1" x14ac:dyDescent="0.35">
      <c r="B112" s="99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</row>
    <row r="113" spans="2:48" s="56" customFormat="1" hidden="1" x14ac:dyDescent="0.35">
      <c r="B113" s="99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</row>
    <row r="114" spans="2:48" s="56" customFormat="1" hidden="1" x14ac:dyDescent="0.35">
      <c r="B114" s="99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</row>
    <row r="115" spans="2:48" s="56" customFormat="1" hidden="1" x14ac:dyDescent="0.35">
      <c r="B115" s="99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</row>
    <row r="116" spans="2:48" s="56" customFormat="1" hidden="1" x14ac:dyDescent="0.35">
      <c r="B116" s="99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</row>
    <row r="117" spans="2:48" s="56" customFormat="1" hidden="1" x14ac:dyDescent="0.35">
      <c r="B117" s="99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</row>
    <row r="118" spans="2:48" s="56" customFormat="1" hidden="1" x14ac:dyDescent="0.35">
      <c r="B118" s="99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</row>
    <row r="119" spans="2:48" s="56" customFormat="1" hidden="1" x14ac:dyDescent="0.35">
      <c r="B119" s="99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</row>
    <row r="120" spans="2:48" s="56" customFormat="1" hidden="1" x14ac:dyDescent="0.35">
      <c r="B120" s="99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</row>
    <row r="121" spans="2:48" s="56" customFormat="1" hidden="1" x14ac:dyDescent="0.35">
      <c r="B121" s="99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</row>
    <row r="122" spans="2:48" s="56" customFormat="1" hidden="1" x14ac:dyDescent="0.35">
      <c r="B122" s="99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8"/>
      <c r="AR122" s="58"/>
      <c r="AS122" s="58"/>
      <c r="AT122" s="58"/>
      <c r="AU122" s="58"/>
      <c r="AV122" s="58"/>
    </row>
    <row r="123" spans="2:48" s="56" customFormat="1" x14ac:dyDescent="0.35">
      <c r="B123" s="99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8"/>
      <c r="AR123" s="58"/>
      <c r="AS123" s="58"/>
      <c r="AT123" s="58"/>
      <c r="AU123" s="58"/>
      <c r="AV123" s="58"/>
    </row>
    <row r="124" spans="2:48" s="56" customFormat="1" x14ac:dyDescent="0.35">
      <c r="B124" s="99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</row>
    <row r="125" spans="2:48" s="56" customFormat="1" x14ac:dyDescent="0.35">
      <c r="B125" s="99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</row>
    <row r="126" spans="2:48" s="56" customFormat="1" x14ac:dyDescent="0.35">
      <c r="B126" s="99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</row>
    <row r="127" spans="2:48" s="56" customFormat="1" x14ac:dyDescent="0.35">
      <c r="B127" s="99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</row>
    <row r="128" spans="2:48" s="56" customFormat="1" x14ac:dyDescent="0.35">
      <c r="B128" s="99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</row>
    <row r="129" spans="2:48" s="56" customFormat="1" x14ac:dyDescent="0.35">
      <c r="B129" s="99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</row>
    <row r="130" spans="2:48" s="56" customFormat="1" x14ac:dyDescent="0.35">
      <c r="B130" s="99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</row>
    <row r="131" spans="2:48" s="56" customFormat="1" x14ac:dyDescent="0.35">
      <c r="B131" s="99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</row>
    <row r="132" spans="2:48" s="56" customFormat="1" x14ac:dyDescent="0.35">
      <c r="B132" s="99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</row>
    <row r="133" spans="2:48" s="56" customFormat="1" x14ac:dyDescent="0.35">
      <c r="B133" s="99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</row>
    <row r="134" spans="2:48" s="56" customFormat="1" x14ac:dyDescent="0.35">
      <c r="B134" s="99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8"/>
      <c r="AR134" s="58"/>
      <c r="AS134" s="58"/>
      <c r="AT134" s="58"/>
      <c r="AU134" s="58"/>
      <c r="AV134" s="58"/>
    </row>
    <row r="135" spans="2:48" s="56" customFormat="1" x14ac:dyDescent="0.35">
      <c r="B135" s="99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58"/>
      <c r="AU135" s="58"/>
      <c r="AV135" s="58"/>
    </row>
    <row r="136" spans="2:48" s="56" customFormat="1" x14ac:dyDescent="0.35">
      <c r="B136" s="99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58"/>
      <c r="AU136" s="58"/>
      <c r="AV136" s="58"/>
    </row>
    <row r="137" spans="2:48" s="56" customFormat="1" x14ac:dyDescent="0.35">
      <c r="B137" s="99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</row>
    <row r="138" spans="2:48" s="56" customFormat="1" x14ac:dyDescent="0.35">
      <c r="B138" s="99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</row>
    <row r="139" spans="2:48" s="56" customFormat="1" x14ac:dyDescent="0.35">
      <c r="B139" s="99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</row>
    <row r="140" spans="2:48" s="56" customFormat="1" x14ac:dyDescent="0.35">
      <c r="B140" s="99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</row>
    <row r="141" spans="2:48" s="56" customFormat="1" x14ac:dyDescent="0.35">
      <c r="B141" s="99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</row>
    <row r="142" spans="2:48" s="56" customFormat="1" x14ac:dyDescent="0.35">
      <c r="B142" s="99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8"/>
      <c r="AR142" s="58"/>
      <c r="AS142" s="58"/>
      <c r="AT142" s="58"/>
      <c r="AU142" s="58"/>
      <c r="AV142" s="58"/>
    </row>
    <row r="143" spans="2:48" s="56" customFormat="1" x14ac:dyDescent="0.35">
      <c r="B143" s="99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</row>
    <row r="144" spans="2:48" s="56" customFormat="1" x14ac:dyDescent="0.35">
      <c r="B144" s="99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58"/>
      <c r="AU144" s="58"/>
      <c r="AV144" s="58"/>
    </row>
    <row r="145" spans="2:48" s="56" customFormat="1" x14ac:dyDescent="0.35">
      <c r="B145" s="99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58"/>
      <c r="AU145" s="58"/>
      <c r="AV145" s="58"/>
    </row>
    <row r="146" spans="2:48" s="56" customFormat="1" x14ac:dyDescent="0.35">
      <c r="B146" s="99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58"/>
      <c r="AU146" s="58"/>
      <c r="AV146" s="58"/>
    </row>
    <row r="147" spans="2:48" s="56" customFormat="1" x14ac:dyDescent="0.35">
      <c r="B147" s="99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58"/>
      <c r="AU147" s="58"/>
      <c r="AV147" s="58"/>
    </row>
    <row r="148" spans="2:48" s="56" customFormat="1" x14ac:dyDescent="0.35">
      <c r="B148" s="99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8"/>
      <c r="AR148" s="58"/>
      <c r="AS148" s="58"/>
      <c r="AT148" s="58"/>
      <c r="AU148" s="58"/>
      <c r="AV148" s="58"/>
    </row>
    <row r="149" spans="2:48" s="56" customFormat="1" x14ac:dyDescent="0.35">
      <c r="B149" s="99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8"/>
      <c r="AR149" s="58"/>
      <c r="AS149" s="58"/>
      <c r="AT149" s="58"/>
      <c r="AU149" s="58"/>
      <c r="AV149" s="58"/>
    </row>
    <row r="150" spans="2:48" s="56" customFormat="1" x14ac:dyDescent="0.35">
      <c r="B150" s="99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8"/>
      <c r="AR150" s="58"/>
      <c r="AS150" s="58"/>
      <c r="AT150" s="58"/>
      <c r="AU150" s="58"/>
      <c r="AV150" s="58"/>
    </row>
    <row r="151" spans="2:48" s="56" customFormat="1" x14ac:dyDescent="0.35">
      <c r="B151" s="99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8"/>
      <c r="AR151" s="58"/>
      <c r="AS151" s="58"/>
      <c r="AT151" s="58"/>
      <c r="AU151" s="58"/>
      <c r="AV151" s="58"/>
    </row>
    <row r="152" spans="2:48" s="56" customFormat="1" x14ac:dyDescent="0.35">
      <c r="B152" s="99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8"/>
      <c r="AR152" s="58"/>
      <c r="AS152" s="58"/>
      <c r="AT152" s="58"/>
      <c r="AU152" s="58"/>
      <c r="AV152" s="58"/>
    </row>
    <row r="153" spans="2:48" s="56" customFormat="1" x14ac:dyDescent="0.35">
      <c r="B153" s="99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8"/>
      <c r="AR153" s="58"/>
      <c r="AS153" s="58"/>
      <c r="AT153" s="58"/>
      <c r="AU153" s="58"/>
      <c r="AV153" s="58"/>
    </row>
    <row r="154" spans="2:48" s="56" customFormat="1" x14ac:dyDescent="0.35">
      <c r="B154" s="99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8"/>
      <c r="AR154" s="58"/>
      <c r="AS154" s="58"/>
      <c r="AT154" s="58"/>
      <c r="AU154" s="58"/>
      <c r="AV154" s="58"/>
    </row>
    <row r="155" spans="2:48" s="56" customFormat="1" x14ac:dyDescent="0.35">
      <c r="B155" s="99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8"/>
      <c r="AR155" s="58"/>
      <c r="AS155" s="58"/>
      <c r="AT155" s="58"/>
      <c r="AU155" s="58"/>
      <c r="AV155" s="58"/>
    </row>
    <row r="156" spans="2:48" s="56" customFormat="1" x14ac:dyDescent="0.35">
      <c r="B156" s="99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8"/>
      <c r="AR156" s="58"/>
      <c r="AS156" s="58"/>
      <c r="AT156" s="58"/>
      <c r="AU156" s="58"/>
      <c r="AV156" s="58"/>
    </row>
    <row r="157" spans="2:48" s="56" customFormat="1" x14ac:dyDescent="0.35">
      <c r="B157" s="99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8"/>
      <c r="AR157" s="58"/>
      <c r="AS157" s="58"/>
      <c r="AT157" s="58"/>
      <c r="AU157" s="58"/>
      <c r="AV157" s="58"/>
    </row>
    <row r="158" spans="2:48" s="56" customFormat="1" x14ac:dyDescent="0.35">
      <c r="B158" s="99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</row>
    <row r="159" spans="2:48" s="56" customFormat="1" x14ac:dyDescent="0.35">
      <c r="B159" s="99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</row>
    <row r="160" spans="2:48" s="56" customFormat="1" x14ac:dyDescent="0.35">
      <c r="B160" s="99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8"/>
      <c r="AR160" s="58"/>
      <c r="AS160" s="58"/>
      <c r="AT160" s="58"/>
      <c r="AU160" s="58"/>
      <c r="AV160" s="58"/>
    </row>
    <row r="161" spans="2:48" s="56" customFormat="1" x14ac:dyDescent="0.35">
      <c r="B161" s="99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8"/>
      <c r="AR161" s="58"/>
      <c r="AS161" s="58"/>
      <c r="AT161" s="58"/>
      <c r="AU161" s="58"/>
      <c r="AV161" s="58"/>
    </row>
    <row r="162" spans="2:48" s="56" customFormat="1" x14ac:dyDescent="0.35">
      <c r="B162" s="99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</row>
    <row r="163" spans="2:48" s="56" customFormat="1" x14ac:dyDescent="0.35">
      <c r="B163" s="99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</row>
    <row r="164" spans="2:48" s="56" customFormat="1" x14ac:dyDescent="0.35">
      <c r="B164" s="99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</row>
    <row r="165" spans="2:48" s="56" customFormat="1" x14ac:dyDescent="0.35">
      <c r="B165" s="99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</row>
    <row r="166" spans="2:48" s="56" customFormat="1" x14ac:dyDescent="0.35">
      <c r="B166" s="99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</row>
    <row r="167" spans="2:48" s="56" customFormat="1" x14ac:dyDescent="0.35">
      <c r="B167" s="99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</row>
    <row r="168" spans="2:48" s="56" customFormat="1" x14ac:dyDescent="0.35">
      <c r="B168" s="99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</row>
    <row r="169" spans="2:48" s="56" customFormat="1" x14ac:dyDescent="0.35">
      <c r="B169" s="99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</row>
    <row r="170" spans="2:48" s="56" customFormat="1" x14ac:dyDescent="0.35">
      <c r="B170" s="99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</row>
    <row r="171" spans="2:48" s="56" customFormat="1" x14ac:dyDescent="0.35">
      <c r="B171" s="99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</row>
    <row r="172" spans="2:48" s="56" customFormat="1" x14ac:dyDescent="0.35">
      <c r="B172" s="99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8"/>
      <c r="AR172" s="58"/>
      <c r="AS172" s="58"/>
      <c r="AT172" s="58"/>
      <c r="AU172" s="58"/>
      <c r="AV172" s="58"/>
    </row>
    <row r="173" spans="2:48" s="56" customFormat="1" x14ac:dyDescent="0.35">
      <c r="B173" s="99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8"/>
      <c r="AR173" s="58"/>
      <c r="AS173" s="58"/>
      <c r="AT173" s="58"/>
      <c r="AU173" s="58"/>
      <c r="AV173" s="58"/>
    </row>
    <row r="174" spans="2:48" s="56" customFormat="1" x14ac:dyDescent="0.35">
      <c r="B174" s="99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8"/>
      <c r="AR174" s="58"/>
      <c r="AS174" s="58"/>
      <c r="AT174" s="58"/>
      <c r="AU174" s="58"/>
      <c r="AV174" s="58"/>
    </row>
    <row r="175" spans="2:48" s="56" customFormat="1" x14ac:dyDescent="0.35">
      <c r="B175" s="99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8"/>
      <c r="AR175" s="58"/>
      <c r="AS175" s="58"/>
      <c r="AT175" s="58"/>
      <c r="AU175" s="58"/>
      <c r="AV175" s="58"/>
    </row>
    <row r="176" spans="2:48" s="56" customFormat="1" x14ac:dyDescent="0.35">
      <c r="B176" s="99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</row>
    <row r="177" spans="2:48" s="56" customFormat="1" x14ac:dyDescent="0.35">
      <c r="B177" s="99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</row>
    <row r="178" spans="2:48" s="56" customFormat="1" x14ac:dyDescent="0.35">
      <c r="B178" s="99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</row>
    <row r="179" spans="2:48" s="56" customFormat="1" x14ac:dyDescent="0.35">
      <c r="B179" s="99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</row>
    <row r="180" spans="2:48" s="56" customFormat="1" x14ac:dyDescent="0.35">
      <c r="B180" s="99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</row>
    <row r="181" spans="2:48" s="56" customFormat="1" x14ac:dyDescent="0.35">
      <c r="B181" s="99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</row>
    <row r="182" spans="2:48" s="56" customFormat="1" x14ac:dyDescent="0.35">
      <c r="B182" s="99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</row>
    <row r="183" spans="2:48" s="56" customFormat="1" x14ac:dyDescent="0.35">
      <c r="B183" s="99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8"/>
      <c r="AR183" s="58"/>
      <c r="AS183" s="58"/>
      <c r="AT183" s="58"/>
      <c r="AU183" s="58"/>
      <c r="AV183" s="58"/>
    </row>
    <row r="184" spans="2:48" s="56" customFormat="1" x14ac:dyDescent="0.35">
      <c r="B184" s="99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8"/>
      <c r="AR184" s="58"/>
      <c r="AS184" s="58"/>
      <c r="AT184" s="58"/>
      <c r="AU184" s="58"/>
      <c r="AV184" s="58"/>
    </row>
    <row r="185" spans="2:48" s="56" customFormat="1" x14ac:dyDescent="0.35">
      <c r="B185" s="99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8"/>
      <c r="AR185" s="58"/>
      <c r="AS185" s="58"/>
      <c r="AT185" s="58"/>
      <c r="AU185" s="58"/>
      <c r="AV185" s="58"/>
    </row>
    <row r="186" spans="2:48" s="56" customFormat="1" x14ac:dyDescent="0.35">
      <c r="B186" s="99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8"/>
      <c r="AR186" s="58"/>
      <c r="AS186" s="58"/>
      <c r="AT186" s="58"/>
      <c r="AU186" s="58"/>
      <c r="AV186" s="58"/>
    </row>
    <row r="187" spans="2:48" s="56" customFormat="1" x14ac:dyDescent="0.35">
      <c r="B187" s="99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8"/>
      <c r="AR187" s="58"/>
      <c r="AS187" s="58"/>
      <c r="AT187" s="58"/>
      <c r="AU187" s="58"/>
      <c r="AV187" s="58"/>
    </row>
    <row r="188" spans="2:48" s="56" customFormat="1" x14ac:dyDescent="0.35">
      <c r="B188" s="99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</row>
    <row r="189" spans="2:48" s="56" customFormat="1" x14ac:dyDescent="0.35">
      <c r="B189" s="99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8"/>
      <c r="AR189" s="58"/>
      <c r="AS189" s="58"/>
      <c r="AT189" s="58"/>
      <c r="AU189" s="58"/>
      <c r="AV189" s="58"/>
    </row>
    <row r="190" spans="2:48" s="56" customFormat="1" x14ac:dyDescent="0.35">
      <c r="B190" s="99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</row>
    <row r="191" spans="2:48" s="56" customFormat="1" x14ac:dyDescent="0.35">
      <c r="B191" s="99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</row>
    <row r="192" spans="2:48" s="56" customFormat="1" x14ac:dyDescent="0.35">
      <c r="B192" s="99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8"/>
      <c r="AR192" s="58"/>
      <c r="AS192" s="58"/>
      <c r="AT192" s="58"/>
      <c r="AU192" s="58"/>
      <c r="AV192" s="58"/>
    </row>
    <row r="193" spans="2:48" s="56" customFormat="1" x14ac:dyDescent="0.35">
      <c r="B193" s="99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</row>
    <row r="194" spans="2:48" s="56" customFormat="1" x14ac:dyDescent="0.35">
      <c r="B194" s="99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8"/>
      <c r="AR194" s="58"/>
      <c r="AS194" s="58"/>
      <c r="AT194" s="58"/>
      <c r="AU194" s="58"/>
      <c r="AV194" s="58"/>
    </row>
    <row r="195" spans="2:48" s="56" customFormat="1" x14ac:dyDescent="0.35">
      <c r="B195" s="99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</row>
    <row r="196" spans="2:48" s="56" customFormat="1" x14ac:dyDescent="0.35">
      <c r="B196" s="99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</row>
    <row r="197" spans="2:48" s="56" customFormat="1" x14ac:dyDescent="0.35">
      <c r="B197" s="99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</row>
    <row r="198" spans="2:48" s="56" customFormat="1" x14ac:dyDescent="0.35">
      <c r="B198" s="99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</row>
    <row r="199" spans="2:48" s="56" customFormat="1" x14ac:dyDescent="0.35">
      <c r="B199" s="99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</row>
    <row r="200" spans="2:48" s="56" customFormat="1" x14ac:dyDescent="0.35">
      <c r="B200" s="99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</row>
    <row r="201" spans="2:48" s="56" customFormat="1" x14ac:dyDescent="0.35">
      <c r="B201" s="99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</row>
    <row r="202" spans="2:48" s="56" customFormat="1" x14ac:dyDescent="0.35">
      <c r="B202" s="99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</row>
    <row r="203" spans="2:48" s="56" customFormat="1" x14ac:dyDescent="0.35">
      <c r="B203" s="99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</row>
    <row r="204" spans="2:48" s="56" customFormat="1" x14ac:dyDescent="0.35">
      <c r="B204" s="99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</row>
    <row r="205" spans="2:48" s="56" customFormat="1" x14ac:dyDescent="0.35">
      <c r="B205" s="99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</row>
    <row r="206" spans="2:48" s="56" customFormat="1" x14ac:dyDescent="0.35">
      <c r="B206" s="99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</row>
    <row r="207" spans="2:48" s="56" customFormat="1" x14ac:dyDescent="0.35">
      <c r="B207" s="99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</row>
    <row r="208" spans="2:48" s="56" customFormat="1" x14ac:dyDescent="0.35">
      <c r="B208" s="99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</row>
    <row r="209" spans="2:48" s="56" customFormat="1" x14ac:dyDescent="0.35">
      <c r="B209" s="99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</row>
    <row r="210" spans="2:48" s="56" customFormat="1" x14ac:dyDescent="0.35">
      <c r="B210" s="99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</row>
    <row r="211" spans="2:48" s="56" customFormat="1" x14ac:dyDescent="0.35">
      <c r="B211" s="99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</row>
    <row r="212" spans="2:48" s="56" customFormat="1" x14ac:dyDescent="0.35">
      <c r="B212" s="99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</row>
    <row r="213" spans="2:48" s="56" customFormat="1" x14ac:dyDescent="0.35">
      <c r="B213" s="99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</row>
    <row r="214" spans="2:48" s="56" customFormat="1" x14ac:dyDescent="0.35">
      <c r="B214" s="99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</row>
    <row r="215" spans="2:48" s="56" customFormat="1" x14ac:dyDescent="0.35">
      <c r="B215" s="99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</row>
    <row r="216" spans="2:48" s="56" customFormat="1" x14ac:dyDescent="0.35">
      <c r="B216" s="99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</row>
    <row r="217" spans="2:48" s="56" customFormat="1" x14ac:dyDescent="0.35">
      <c r="B217" s="99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</row>
    <row r="218" spans="2:48" s="56" customFormat="1" x14ac:dyDescent="0.35">
      <c r="B218" s="99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</row>
    <row r="219" spans="2:48" s="56" customFormat="1" x14ac:dyDescent="0.35">
      <c r="B219" s="99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</row>
    <row r="220" spans="2:48" s="56" customFormat="1" x14ac:dyDescent="0.35">
      <c r="B220" s="99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</row>
    <row r="221" spans="2:48" s="56" customFormat="1" x14ac:dyDescent="0.35">
      <c r="B221" s="99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</row>
    <row r="222" spans="2:48" s="56" customFormat="1" x14ac:dyDescent="0.35">
      <c r="B222" s="99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8"/>
      <c r="AU222" s="58"/>
      <c r="AV222" s="58"/>
    </row>
    <row r="223" spans="2:48" s="56" customFormat="1" x14ac:dyDescent="0.35">
      <c r="B223" s="99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</row>
    <row r="224" spans="2:48" s="56" customFormat="1" x14ac:dyDescent="0.35">
      <c r="B224" s="99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</row>
    <row r="225" spans="2:48" s="56" customFormat="1" x14ac:dyDescent="0.35">
      <c r="B225" s="99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8"/>
      <c r="AU225" s="58"/>
      <c r="AV225" s="58"/>
    </row>
    <row r="226" spans="2:48" s="56" customFormat="1" x14ac:dyDescent="0.35">
      <c r="B226" s="99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</row>
    <row r="227" spans="2:48" s="56" customFormat="1" x14ac:dyDescent="0.35">
      <c r="B227" s="99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</row>
    <row r="228" spans="2:48" s="56" customFormat="1" x14ac:dyDescent="0.35">
      <c r="B228" s="99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</row>
    <row r="229" spans="2:48" s="56" customFormat="1" x14ac:dyDescent="0.35">
      <c r="B229" s="99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</row>
    <row r="230" spans="2:48" s="56" customFormat="1" x14ac:dyDescent="0.35">
      <c r="B230" s="99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</row>
    <row r="231" spans="2:48" s="56" customFormat="1" x14ac:dyDescent="0.35">
      <c r="B231" s="99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</row>
    <row r="232" spans="2:48" s="56" customFormat="1" x14ac:dyDescent="0.35">
      <c r="B232" s="99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</row>
    <row r="233" spans="2:48" s="56" customFormat="1" x14ac:dyDescent="0.35">
      <c r="B233" s="99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</row>
    <row r="234" spans="2:48" s="56" customFormat="1" x14ac:dyDescent="0.35">
      <c r="B234" s="99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</row>
    <row r="235" spans="2:48" s="56" customFormat="1" x14ac:dyDescent="0.35">
      <c r="B235" s="99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</row>
    <row r="236" spans="2:48" s="56" customFormat="1" x14ac:dyDescent="0.35">
      <c r="B236" s="99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58"/>
      <c r="AL236" s="58"/>
      <c r="AM236" s="58"/>
      <c r="AN236" s="58"/>
      <c r="AO236" s="58"/>
      <c r="AP236" s="58"/>
      <c r="AQ236" s="58"/>
      <c r="AR236" s="58"/>
      <c r="AS236" s="58"/>
      <c r="AT236" s="58"/>
      <c r="AU236" s="58"/>
      <c r="AV236" s="58"/>
    </row>
    <row r="237" spans="2:48" s="56" customFormat="1" x14ac:dyDescent="0.35">
      <c r="B237" s="99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8"/>
      <c r="AL237" s="58"/>
      <c r="AM237" s="58"/>
      <c r="AN237" s="58"/>
      <c r="AO237" s="58"/>
      <c r="AP237" s="58"/>
      <c r="AQ237" s="58"/>
      <c r="AR237" s="58"/>
      <c r="AS237" s="58"/>
      <c r="AT237" s="58"/>
      <c r="AU237" s="58"/>
      <c r="AV237" s="58"/>
    </row>
    <row r="238" spans="2:48" s="56" customFormat="1" x14ac:dyDescent="0.35">
      <c r="B238" s="99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</row>
    <row r="239" spans="2:48" s="56" customFormat="1" x14ac:dyDescent="0.35">
      <c r="B239" s="99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</row>
    <row r="240" spans="2:48" s="56" customFormat="1" x14ac:dyDescent="0.35">
      <c r="B240" s="99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</row>
    <row r="241" spans="2:48" s="56" customFormat="1" x14ac:dyDescent="0.35">
      <c r="B241" s="99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</row>
    <row r="242" spans="2:48" s="56" customFormat="1" x14ac:dyDescent="0.35">
      <c r="B242" s="99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</row>
    <row r="243" spans="2:48" s="56" customFormat="1" x14ac:dyDescent="0.35">
      <c r="B243" s="99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</row>
    <row r="244" spans="2:48" s="56" customFormat="1" x14ac:dyDescent="0.35">
      <c r="B244" s="99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</row>
    <row r="245" spans="2:48" s="56" customFormat="1" x14ac:dyDescent="0.35">
      <c r="B245" s="99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</row>
    <row r="246" spans="2:48" s="56" customFormat="1" x14ac:dyDescent="0.35">
      <c r="B246" s="99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</row>
    <row r="247" spans="2:48" s="56" customFormat="1" x14ac:dyDescent="0.35">
      <c r="B247" s="99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</row>
    <row r="248" spans="2:48" s="56" customFormat="1" x14ac:dyDescent="0.35">
      <c r="B248" s="99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  <c r="AS248" s="58"/>
      <c r="AT248" s="58"/>
      <c r="AU248" s="58"/>
      <c r="AV248" s="58"/>
    </row>
    <row r="249" spans="2:48" s="56" customFormat="1" x14ac:dyDescent="0.35">
      <c r="B249" s="99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8"/>
      <c r="AL249" s="58"/>
      <c r="AM249" s="58"/>
      <c r="AN249" s="58"/>
      <c r="AO249" s="58"/>
      <c r="AP249" s="58"/>
      <c r="AQ249" s="58"/>
      <c r="AR249" s="58"/>
      <c r="AS249" s="58"/>
      <c r="AT249" s="58"/>
      <c r="AU249" s="58"/>
      <c r="AV249" s="58"/>
    </row>
    <row r="250" spans="2:48" s="56" customFormat="1" x14ac:dyDescent="0.35">
      <c r="B250" s="99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58"/>
      <c r="AL250" s="58"/>
      <c r="AM250" s="58"/>
      <c r="AN250" s="58"/>
      <c r="AO250" s="58"/>
      <c r="AP250" s="58"/>
      <c r="AQ250" s="58"/>
      <c r="AR250" s="58"/>
      <c r="AS250" s="58"/>
      <c r="AT250" s="58"/>
      <c r="AU250" s="58"/>
      <c r="AV250" s="58"/>
    </row>
    <row r="251" spans="2:48" s="56" customFormat="1" x14ac:dyDescent="0.35">
      <c r="B251" s="99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</row>
    <row r="252" spans="2:48" s="56" customFormat="1" x14ac:dyDescent="0.35">
      <c r="B252" s="99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8"/>
      <c r="AL252" s="58"/>
      <c r="AM252" s="58"/>
      <c r="AN252" s="58"/>
      <c r="AO252" s="58"/>
      <c r="AP252" s="58"/>
      <c r="AQ252" s="58"/>
      <c r="AR252" s="58"/>
      <c r="AS252" s="58"/>
      <c r="AT252" s="58"/>
      <c r="AU252" s="58"/>
      <c r="AV252" s="58"/>
    </row>
    <row r="253" spans="2:48" s="56" customFormat="1" x14ac:dyDescent="0.35">
      <c r="B253" s="99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8"/>
      <c r="AL253" s="58"/>
      <c r="AM253" s="58"/>
      <c r="AN253" s="58"/>
      <c r="AO253" s="58"/>
      <c r="AP253" s="58"/>
      <c r="AQ253" s="58"/>
      <c r="AR253" s="58"/>
      <c r="AS253" s="58"/>
      <c r="AT253" s="58"/>
      <c r="AU253" s="58"/>
      <c r="AV253" s="58"/>
    </row>
    <row r="254" spans="2:48" s="56" customFormat="1" x14ac:dyDescent="0.35">
      <c r="B254" s="99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8"/>
      <c r="AL254" s="58"/>
      <c r="AM254" s="58"/>
      <c r="AN254" s="58"/>
      <c r="AO254" s="58"/>
      <c r="AP254" s="58"/>
      <c r="AQ254" s="58"/>
      <c r="AR254" s="58"/>
      <c r="AS254" s="58"/>
      <c r="AT254" s="58"/>
      <c r="AU254" s="58"/>
      <c r="AV254" s="58"/>
    </row>
    <row r="255" spans="2:48" s="56" customFormat="1" x14ac:dyDescent="0.35">
      <c r="B255" s="99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8"/>
      <c r="AL255" s="58"/>
      <c r="AM255" s="58"/>
      <c r="AN255" s="58"/>
      <c r="AO255" s="58"/>
      <c r="AP255" s="58"/>
      <c r="AQ255" s="58"/>
      <c r="AR255" s="58"/>
      <c r="AS255" s="58"/>
      <c r="AT255" s="58"/>
      <c r="AU255" s="58"/>
      <c r="AV255" s="58"/>
    </row>
    <row r="256" spans="2:48" s="56" customFormat="1" x14ac:dyDescent="0.35">
      <c r="B256" s="99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  <c r="AN256" s="58"/>
      <c r="AO256" s="58"/>
      <c r="AP256" s="58"/>
      <c r="AQ256" s="58"/>
      <c r="AR256" s="58"/>
      <c r="AS256" s="58"/>
      <c r="AT256" s="58"/>
      <c r="AU256" s="58"/>
      <c r="AV256" s="58"/>
    </row>
    <row r="257" spans="2:49" s="56" customFormat="1" x14ac:dyDescent="0.35">
      <c r="B257" s="99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  <c r="AN257" s="58"/>
      <c r="AO257" s="58"/>
      <c r="AP257" s="58"/>
      <c r="AQ257" s="58"/>
      <c r="AR257" s="58"/>
      <c r="AS257" s="58"/>
      <c r="AT257" s="58"/>
      <c r="AU257" s="58"/>
      <c r="AV257" s="58"/>
    </row>
    <row r="258" spans="2:49" s="56" customFormat="1" x14ac:dyDescent="0.35">
      <c r="B258" s="99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  <c r="AN258" s="58"/>
      <c r="AO258" s="58"/>
      <c r="AP258" s="58"/>
      <c r="AQ258" s="58"/>
      <c r="AR258" s="58"/>
      <c r="AS258" s="58"/>
      <c r="AT258" s="58"/>
      <c r="AU258" s="58"/>
      <c r="AV258" s="58"/>
    </row>
    <row r="259" spans="2:49" s="56" customFormat="1" x14ac:dyDescent="0.35">
      <c r="B259" s="99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  <c r="AN259" s="58"/>
      <c r="AO259" s="58"/>
      <c r="AP259" s="58"/>
      <c r="AQ259" s="58"/>
      <c r="AR259" s="58"/>
      <c r="AS259" s="58"/>
      <c r="AT259" s="58"/>
      <c r="AU259" s="58"/>
      <c r="AV259" s="58"/>
    </row>
    <row r="260" spans="2:49" s="56" customFormat="1" x14ac:dyDescent="0.35">
      <c r="B260" s="99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</row>
    <row r="261" spans="2:49" s="56" customFormat="1" x14ac:dyDescent="0.35">
      <c r="B261" s="99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  <c r="AN261" s="58"/>
      <c r="AO261" s="58"/>
      <c r="AP261" s="58"/>
      <c r="AQ261" s="58"/>
      <c r="AR261" s="58"/>
      <c r="AS261" s="58"/>
      <c r="AT261" s="58"/>
      <c r="AU261" s="58"/>
      <c r="AV261" s="58"/>
    </row>
    <row r="262" spans="2:49" s="56" customFormat="1" x14ac:dyDescent="0.35">
      <c r="B262" s="99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  <c r="AN262" s="58"/>
      <c r="AO262" s="58"/>
      <c r="AP262" s="58"/>
      <c r="AQ262" s="58"/>
      <c r="AR262" s="58"/>
      <c r="AS262" s="58"/>
      <c r="AT262" s="58"/>
      <c r="AU262" s="58"/>
      <c r="AV262" s="58"/>
    </row>
    <row r="263" spans="2:49" s="56" customFormat="1" x14ac:dyDescent="0.35">
      <c r="B263" s="99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  <c r="AN263" s="58"/>
      <c r="AO263" s="58"/>
      <c r="AP263" s="58"/>
      <c r="AQ263" s="58"/>
      <c r="AR263" s="58"/>
      <c r="AS263" s="58"/>
      <c r="AT263" s="58"/>
      <c r="AU263" s="58"/>
      <c r="AV263" s="58"/>
    </row>
    <row r="264" spans="2:49" s="56" customFormat="1" x14ac:dyDescent="0.35">
      <c r="B264" s="99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  <c r="AN264" s="58"/>
      <c r="AO264" s="58"/>
      <c r="AP264" s="58"/>
      <c r="AQ264" s="58"/>
      <c r="AR264" s="58"/>
      <c r="AS264" s="58"/>
      <c r="AT264" s="58"/>
      <c r="AU264" s="58"/>
      <c r="AV264" s="58"/>
    </row>
    <row r="265" spans="2:49" s="56" customFormat="1" x14ac:dyDescent="0.35">
      <c r="B265" s="99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  <c r="AN265" s="58"/>
      <c r="AO265" s="58"/>
      <c r="AP265" s="58"/>
      <c r="AQ265" s="58"/>
      <c r="AR265" s="58"/>
      <c r="AS265" s="58"/>
      <c r="AT265" s="58"/>
      <c r="AU265" s="58"/>
      <c r="AV265" s="58"/>
    </row>
    <row r="266" spans="2:49" s="56" customFormat="1" x14ac:dyDescent="0.35">
      <c r="B266" s="99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  <c r="AN266" s="58"/>
      <c r="AO266" s="58"/>
      <c r="AP266" s="58"/>
      <c r="AQ266" s="58"/>
      <c r="AR266" s="58"/>
      <c r="AS266" s="58"/>
      <c r="AT266" s="58"/>
      <c r="AU266" s="58"/>
      <c r="AV266" s="58"/>
    </row>
    <row r="267" spans="2:49" s="56" customFormat="1" x14ac:dyDescent="0.35">
      <c r="B267" s="99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  <c r="AN267" s="58"/>
      <c r="AO267" s="58"/>
      <c r="AP267" s="58"/>
      <c r="AQ267" s="58"/>
      <c r="AR267" s="58"/>
      <c r="AS267" s="58"/>
      <c r="AT267" s="58"/>
      <c r="AU267" s="58"/>
      <c r="AV267" s="58"/>
    </row>
    <row r="268" spans="2:49" s="56" customFormat="1" x14ac:dyDescent="0.35">
      <c r="B268" s="99"/>
      <c r="C268" s="58"/>
      <c r="D268" s="58"/>
      <c r="E268" s="58"/>
      <c r="F268" s="58"/>
      <c r="G268" s="58"/>
      <c r="H268" s="58"/>
      <c r="I268" s="133"/>
      <c r="J268" s="58"/>
      <c r="K268" s="134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124"/>
      <c r="AB268" s="58"/>
      <c r="AC268" s="58"/>
      <c r="AD268" s="133"/>
      <c r="AE268" s="58"/>
      <c r="AF268" s="134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124"/>
      <c r="AU268" s="70"/>
      <c r="AV268" s="58"/>
      <c r="AW268" s="135"/>
    </row>
    <row r="269" spans="2:49" s="56" customFormat="1" x14ac:dyDescent="0.35">
      <c r="B269" s="99"/>
      <c r="C269" s="58"/>
      <c r="D269" s="58"/>
      <c r="E269" s="58"/>
      <c r="F269" s="58"/>
      <c r="G269" s="58"/>
      <c r="H269" s="58"/>
      <c r="I269" s="106"/>
      <c r="J269" s="58"/>
      <c r="K269" s="71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84"/>
      <c r="AB269" s="58"/>
      <c r="AC269" s="58"/>
      <c r="AD269" s="106"/>
      <c r="AE269" s="58"/>
      <c r="AF269" s="71"/>
      <c r="AG269" s="67"/>
      <c r="AH269" s="67"/>
      <c r="AI269" s="67"/>
      <c r="AJ269" s="67"/>
      <c r="AK269" s="67"/>
      <c r="AL269" s="67"/>
      <c r="AM269" s="67"/>
      <c r="AN269" s="67"/>
      <c r="AO269" s="67"/>
      <c r="AP269" s="67"/>
      <c r="AQ269" s="67"/>
      <c r="AR269" s="67"/>
      <c r="AS269" s="67"/>
      <c r="AT269" s="84"/>
      <c r="AU269" s="67"/>
      <c r="AV269" s="58"/>
      <c r="AW269" s="20"/>
    </row>
    <row r="270" spans="2:49" s="56" customFormat="1" x14ac:dyDescent="0.35">
      <c r="B270" s="99"/>
      <c r="C270" s="58"/>
      <c r="D270" s="58"/>
      <c r="E270" s="58"/>
      <c r="F270" s="58"/>
      <c r="G270" s="58"/>
      <c r="H270" s="58"/>
      <c r="I270" s="106"/>
      <c r="J270" s="58"/>
      <c r="K270" s="71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84"/>
      <c r="AB270" s="58"/>
      <c r="AC270" s="58"/>
      <c r="AD270" s="106"/>
      <c r="AE270" s="58"/>
      <c r="AF270" s="71"/>
      <c r="AG270" s="67"/>
      <c r="AH270" s="67"/>
      <c r="AI270" s="67"/>
      <c r="AJ270" s="67"/>
      <c r="AK270" s="67"/>
      <c r="AL270" s="67"/>
      <c r="AM270" s="67"/>
      <c r="AN270" s="67"/>
      <c r="AO270" s="67"/>
      <c r="AP270" s="67"/>
      <c r="AQ270" s="67"/>
      <c r="AR270" s="67"/>
      <c r="AS270" s="67"/>
      <c r="AT270" s="84"/>
      <c r="AU270" s="67"/>
      <c r="AV270" s="58"/>
      <c r="AW270" s="20"/>
    </row>
    <row r="271" spans="2:49" s="56" customFormat="1" x14ac:dyDescent="0.35">
      <c r="B271" s="99"/>
      <c r="C271" s="58"/>
      <c r="D271" s="58"/>
      <c r="E271" s="58"/>
      <c r="F271" s="58"/>
      <c r="G271" s="58"/>
      <c r="H271" s="58"/>
      <c r="I271" s="106"/>
      <c r="J271" s="58"/>
      <c r="K271" s="71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84"/>
      <c r="AB271" s="58"/>
      <c r="AC271" s="58"/>
      <c r="AD271" s="106"/>
      <c r="AE271" s="58"/>
      <c r="AF271" s="71"/>
      <c r="AG271" s="67"/>
      <c r="AH271" s="67"/>
      <c r="AI271" s="67"/>
      <c r="AJ271" s="67"/>
      <c r="AK271" s="67"/>
      <c r="AL271" s="67"/>
      <c r="AM271" s="67"/>
      <c r="AN271" s="67"/>
      <c r="AO271" s="67"/>
      <c r="AP271" s="67"/>
      <c r="AQ271" s="67"/>
      <c r="AR271" s="67"/>
      <c r="AS271" s="67"/>
      <c r="AT271" s="84"/>
      <c r="AU271" s="67"/>
      <c r="AV271" s="58"/>
      <c r="AW271" s="20"/>
    </row>
    <row r="272" spans="2:49" s="56" customFormat="1" x14ac:dyDescent="0.35">
      <c r="B272" s="99"/>
      <c r="C272" s="58"/>
      <c r="D272" s="58"/>
      <c r="E272" s="58"/>
      <c r="F272" s="58"/>
      <c r="G272" s="58"/>
      <c r="H272" s="58"/>
      <c r="I272" s="106"/>
      <c r="J272" s="58"/>
      <c r="K272" s="71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84"/>
      <c r="AB272" s="58"/>
      <c r="AC272" s="58"/>
      <c r="AD272" s="106"/>
      <c r="AE272" s="58"/>
      <c r="AF272" s="71"/>
      <c r="AG272" s="67"/>
      <c r="AH272" s="67"/>
      <c r="AI272" s="67"/>
      <c r="AJ272" s="67"/>
      <c r="AK272" s="67"/>
      <c r="AL272" s="67"/>
      <c r="AM272" s="67"/>
      <c r="AN272" s="67"/>
      <c r="AO272" s="67"/>
      <c r="AP272" s="67"/>
      <c r="AQ272" s="67"/>
      <c r="AR272" s="67"/>
      <c r="AS272" s="67"/>
      <c r="AT272" s="84"/>
      <c r="AU272" s="67"/>
      <c r="AV272" s="58"/>
      <c r="AW272" s="20"/>
    </row>
    <row r="273" spans="2:49" s="56" customFormat="1" x14ac:dyDescent="0.35">
      <c r="B273" s="99"/>
      <c r="C273" s="58"/>
      <c r="D273" s="58"/>
      <c r="E273" s="58"/>
      <c r="F273" s="58"/>
      <c r="G273" s="58"/>
      <c r="H273" s="58"/>
      <c r="I273" s="106"/>
      <c r="J273" s="58"/>
      <c r="K273" s="71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84"/>
      <c r="AB273" s="58"/>
      <c r="AC273" s="58"/>
      <c r="AD273" s="106"/>
      <c r="AE273" s="58"/>
      <c r="AF273" s="71"/>
      <c r="AG273" s="67"/>
      <c r="AH273" s="67"/>
      <c r="AI273" s="67"/>
      <c r="AJ273" s="67"/>
      <c r="AK273" s="67"/>
      <c r="AL273" s="67"/>
      <c r="AM273" s="67"/>
      <c r="AN273" s="67"/>
      <c r="AO273" s="67"/>
      <c r="AP273" s="67"/>
      <c r="AQ273" s="67"/>
      <c r="AR273" s="67"/>
      <c r="AS273" s="67"/>
      <c r="AT273" s="84"/>
      <c r="AU273" s="67"/>
      <c r="AV273" s="58"/>
      <c r="AW273" s="20"/>
    </row>
    <row r="274" spans="2:49" s="56" customFormat="1" x14ac:dyDescent="0.35">
      <c r="B274" s="99"/>
      <c r="C274" s="58"/>
      <c r="D274" s="58"/>
      <c r="E274" s="58"/>
      <c r="F274" s="58"/>
      <c r="G274" s="58"/>
      <c r="H274" s="58"/>
      <c r="I274" s="106"/>
      <c r="J274" s="58"/>
      <c r="K274" s="71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84"/>
      <c r="AB274" s="58"/>
      <c r="AC274" s="58"/>
      <c r="AD274" s="106"/>
      <c r="AE274" s="58"/>
      <c r="AF274" s="71"/>
      <c r="AG274" s="67"/>
      <c r="AH274" s="67"/>
      <c r="AI274" s="67"/>
      <c r="AJ274" s="67"/>
      <c r="AK274" s="67"/>
      <c r="AL274" s="67"/>
      <c r="AM274" s="67"/>
      <c r="AN274" s="67"/>
      <c r="AO274" s="67"/>
      <c r="AP274" s="67"/>
      <c r="AQ274" s="67"/>
      <c r="AR274" s="67"/>
      <c r="AS274" s="67"/>
      <c r="AT274" s="84"/>
      <c r="AU274" s="67"/>
      <c r="AV274" s="58"/>
      <c r="AW274" s="20"/>
    </row>
    <row r="275" spans="2:49" s="56" customFormat="1" x14ac:dyDescent="0.35">
      <c r="B275" s="99"/>
      <c r="C275" s="58"/>
      <c r="D275" s="58"/>
      <c r="E275" s="58"/>
      <c r="F275" s="58"/>
      <c r="G275" s="58"/>
      <c r="H275" s="58"/>
      <c r="I275" s="106"/>
      <c r="J275" s="58"/>
      <c r="K275" s="71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84"/>
      <c r="AB275" s="58"/>
      <c r="AC275" s="58"/>
      <c r="AD275" s="106"/>
      <c r="AE275" s="58"/>
      <c r="AF275" s="71"/>
      <c r="AG275" s="67"/>
      <c r="AH275" s="67"/>
      <c r="AI275" s="67"/>
      <c r="AJ275" s="67"/>
      <c r="AK275" s="67"/>
      <c r="AL275" s="67"/>
      <c r="AM275" s="67"/>
      <c r="AN275" s="67"/>
      <c r="AO275" s="67"/>
      <c r="AP275" s="67"/>
      <c r="AQ275" s="67"/>
      <c r="AR275" s="67"/>
      <c r="AS275" s="67"/>
      <c r="AT275" s="84"/>
      <c r="AU275" s="67"/>
      <c r="AV275" s="58"/>
      <c r="AW275" s="20"/>
    </row>
    <row r="276" spans="2:49" s="56" customFormat="1" x14ac:dyDescent="0.35">
      <c r="B276" s="99"/>
      <c r="C276" s="58"/>
      <c r="D276" s="58"/>
      <c r="E276" s="58"/>
      <c r="F276" s="58"/>
      <c r="G276" s="58"/>
      <c r="H276" s="58"/>
      <c r="I276" s="106"/>
      <c r="J276" s="58"/>
      <c r="K276" s="71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84"/>
      <c r="AB276" s="58"/>
      <c r="AC276" s="58"/>
      <c r="AD276" s="106"/>
      <c r="AE276" s="58"/>
      <c r="AF276" s="71"/>
      <c r="AG276" s="67"/>
      <c r="AH276" s="67"/>
      <c r="AI276" s="67"/>
      <c r="AJ276" s="67"/>
      <c r="AK276" s="67"/>
      <c r="AL276" s="67"/>
      <c r="AM276" s="67"/>
      <c r="AN276" s="67"/>
      <c r="AO276" s="67"/>
      <c r="AP276" s="67"/>
      <c r="AQ276" s="67"/>
      <c r="AR276" s="67"/>
      <c r="AS276" s="67"/>
      <c r="AT276" s="84"/>
      <c r="AU276" s="67"/>
      <c r="AV276" s="58"/>
      <c r="AW276" s="20"/>
    </row>
    <row r="277" spans="2:49" s="56" customFormat="1" x14ac:dyDescent="0.35">
      <c r="B277" s="99"/>
      <c r="C277" s="58"/>
      <c r="D277" s="58"/>
      <c r="E277" s="58"/>
      <c r="F277" s="58"/>
      <c r="G277" s="58"/>
      <c r="H277" s="58"/>
      <c r="I277" s="106"/>
      <c r="J277" s="58"/>
      <c r="K277" s="71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84"/>
      <c r="AB277" s="58"/>
      <c r="AC277" s="58"/>
      <c r="AD277" s="106"/>
      <c r="AE277" s="58"/>
      <c r="AF277" s="71"/>
      <c r="AG277" s="67"/>
      <c r="AH277" s="67"/>
      <c r="AI277" s="67"/>
      <c r="AJ277" s="67"/>
      <c r="AK277" s="67"/>
      <c r="AL277" s="67"/>
      <c r="AM277" s="67"/>
      <c r="AN277" s="67"/>
      <c r="AO277" s="67"/>
      <c r="AP277" s="67"/>
      <c r="AQ277" s="67"/>
      <c r="AR277" s="67"/>
      <c r="AS277" s="67"/>
      <c r="AT277" s="84"/>
      <c r="AU277" s="67"/>
      <c r="AV277" s="58"/>
      <c r="AW277" s="20"/>
    </row>
    <row r="278" spans="2:49" s="56" customFormat="1" x14ac:dyDescent="0.35">
      <c r="B278" s="99"/>
      <c r="C278" s="58"/>
      <c r="D278" s="58"/>
      <c r="E278" s="58"/>
      <c r="F278" s="58"/>
      <c r="G278" s="58"/>
      <c r="H278" s="58"/>
      <c r="I278" s="106"/>
      <c r="J278" s="58"/>
      <c r="K278" s="71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84"/>
      <c r="AB278" s="58"/>
      <c r="AC278" s="58"/>
      <c r="AD278" s="106"/>
      <c r="AE278" s="58"/>
      <c r="AF278" s="71"/>
      <c r="AG278" s="67"/>
      <c r="AH278" s="67"/>
      <c r="AI278" s="67"/>
      <c r="AJ278" s="67"/>
      <c r="AK278" s="67"/>
      <c r="AL278" s="67"/>
      <c r="AM278" s="67"/>
      <c r="AN278" s="67"/>
      <c r="AO278" s="67"/>
      <c r="AP278" s="67"/>
      <c r="AQ278" s="67"/>
      <c r="AR278" s="67"/>
      <c r="AS278" s="67"/>
      <c r="AT278" s="84"/>
      <c r="AU278" s="67"/>
      <c r="AV278" s="58"/>
      <c r="AW278" s="20"/>
    </row>
    <row r="279" spans="2:49" s="56" customFormat="1" x14ac:dyDescent="0.35">
      <c r="B279" s="99"/>
      <c r="C279" s="58"/>
      <c r="D279" s="58"/>
      <c r="E279" s="58"/>
      <c r="F279" s="58"/>
      <c r="G279" s="58"/>
      <c r="H279" s="58"/>
      <c r="I279" s="106"/>
      <c r="J279" s="58"/>
      <c r="K279" s="71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84"/>
      <c r="AB279" s="58"/>
      <c r="AC279" s="58"/>
      <c r="AD279" s="106"/>
      <c r="AE279" s="58"/>
      <c r="AF279" s="71"/>
      <c r="AG279" s="67"/>
      <c r="AH279" s="67"/>
      <c r="AI279" s="67"/>
      <c r="AJ279" s="67"/>
      <c r="AK279" s="67"/>
      <c r="AL279" s="67"/>
      <c r="AM279" s="67"/>
      <c r="AN279" s="67"/>
      <c r="AO279" s="67"/>
      <c r="AP279" s="67"/>
      <c r="AQ279" s="67"/>
      <c r="AR279" s="67"/>
      <c r="AS279" s="67"/>
      <c r="AT279" s="84"/>
      <c r="AU279" s="67"/>
      <c r="AV279" s="58"/>
      <c r="AW279" s="20"/>
    </row>
    <row r="280" spans="2:49" s="56" customFormat="1" x14ac:dyDescent="0.35">
      <c r="B280" s="99"/>
      <c r="C280" s="58"/>
      <c r="D280" s="58"/>
      <c r="E280" s="58"/>
      <c r="F280" s="58"/>
      <c r="G280" s="58"/>
      <c r="H280" s="58"/>
      <c r="I280" s="106"/>
      <c r="J280" s="58"/>
      <c r="K280" s="71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84"/>
      <c r="AB280" s="58"/>
      <c r="AC280" s="58"/>
      <c r="AD280" s="106"/>
      <c r="AE280" s="58"/>
      <c r="AF280" s="71"/>
      <c r="AG280" s="67"/>
      <c r="AH280" s="67"/>
      <c r="AI280" s="67"/>
      <c r="AJ280" s="67"/>
      <c r="AK280" s="67"/>
      <c r="AL280" s="67"/>
      <c r="AM280" s="67"/>
      <c r="AN280" s="67"/>
      <c r="AO280" s="67"/>
      <c r="AP280" s="67"/>
      <c r="AQ280" s="67"/>
      <c r="AR280" s="67"/>
      <c r="AS280" s="67"/>
      <c r="AT280" s="84"/>
      <c r="AU280" s="67"/>
      <c r="AV280" s="58"/>
      <c r="AW280" s="20"/>
    </row>
    <row r="281" spans="2:49" s="56" customFormat="1" x14ac:dyDescent="0.35">
      <c r="B281" s="99"/>
      <c r="C281" s="58"/>
      <c r="D281" s="58"/>
      <c r="E281" s="58"/>
      <c r="F281" s="58"/>
      <c r="G281" s="58"/>
      <c r="H281" s="58"/>
      <c r="I281" s="106"/>
      <c r="J281" s="58"/>
      <c r="K281" s="71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84"/>
      <c r="AB281" s="58"/>
      <c r="AC281" s="58"/>
      <c r="AD281" s="106"/>
      <c r="AE281" s="58"/>
      <c r="AF281" s="71"/>
      <c r="AG281" s="67"/>
      <c r="AH281" s="67"/>
      <c r="AI281" s="67"/>
      <c r="AJ281" s="67"/>
      <c r="AK281" s="67"/>
      <c r="AL281" s="67"/>
      <c r="AM281" s="67"/>
      <c r="AN281" s="67"/>
      <c r="AO281" s="67"/>
      <c r="AP281" s="67"/>
      <c r="AQ281" s="67"/>
      <c r="AR281" s="67"/>
      <c r="AS281" s="67"/>
      <c r="AT281" s="84"/>
      <c r="AU281" s="67"/>
      <c r="AV281" s="58"/>
      <c r="AW281" s="20"/>
    </row>
    <row r="282" spans="2:49" s="56" customFormat="1" x14ac:dyDescent="0.35">
      <c r="B282" s="99"/>
      <c r="C282" s="58"/>
      <c r="D282" s="58"/>
      <c r="E282" s="58"/>
      <c r="F282" s="58"/>
      <c r="G282" s="58"/>
      <c r="H282" s="58"/>
      <c r="I282" s="106"/>
      <c r="J282" s="58"/>
      <c r="K282" s="71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84"/>
      <c r="AB282" s="58"/>
      <c r="AC282" s="58"/>
      <c r="AD282" s="106"/>
      <c r="AE282" s="58"/>
      <c r="AF282" s="71"/>
      <c r="AG282" s="67"/>
      <c r="AH282" s="67"/>
      <c r="AI282" s="67"/>
      <c r="AJ282" s="67"/>
      <c r="AK282" s="67"/>
      <c r="AL282" s="67"/>
      <c r="AM282" s="67"/>
      <c r="AN282" s="67"/>
      <c r="AO282" s="67"/>
      <c r="AP282" s="67"/>
      <c r="AQ282" s="67"/>
      <c r="AR282" s="67"/>
      <c r="AS282" s="67"/>
      <c r="AT282" s="84"/>
      <c r="AU282" s="67"/>
      <c r="AV282" s="58"/>
      <c r="AW282" s="20"/>
    </row>
    <row r="283" spans="2:49" s="56" customFormat="1" x14ac:dyDescent="0.35">
      <c r="B283" s="99"/>
      <c r="C283" s="58"/>
      <c r="D283" s="58"/>
      <c r="E283" s="58"/>
      <c r="F283" s="58"/>
      <c r="G283" s="58"/>
      <c r="H283" s="58"/>
      <c r="I283" s="106"/>
      <c r="J283" s="58"/>
      <c r="K283" s="71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84"/>
      <c r="AB283" s="58"/>
      <c r="AC283" s="58"/>
      <c r="AD283" s="106"/>
      <c r="AE283" s="58"/>
      <c r="AF283" s="71"/>
      <c r="AG283" s="67"/>
      <c r="AH283" s="67"/>
      <c r="AI283" s="67"/>
      <c r="AJ283" s="67"/>
      <c r="AK283" s="67"/>
      <c r="AL283" s="67"/>
      <c r="AM283" s="67"/>
      <c r="AN283" s="67"/>
      <c r="AO283" s="67"/>
      <c r="AP283" s="67"/>
      <c r="AQ283" s="67"/>
      <c r="AR283" s="67"/>
      <c r="AS283" s="67"/>
      <c r="AT283" s="84"/>
      <c r="AU283" s="67"/>
      <c r="AV283" s="58"/>
      <c r="AW283" s="20"/>
    </row>
    <row r="284" spans="2:49" s="56" customFormat="1" x14ac:dyDescent="0.35">
      <c r="B284" s="99"/>
      <c r="C284" s="58"/>
      <c r="D284" s="58"/>
      <c r="E284" s="58"/>
      <c r="F284" s="58"/>
      <c r="G284" s="58"/>
      <c r="H284" s="58"/>
      <c r="I284" s="106"/>
      <c r="J284" s="58"/>
      <c r="K284" s="71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84"/>
      <c r="AB284" s="58"/>
      <c r="AC284" s="58"/>
      <c r="AD284" s="106"/>
      <c r="AE284" s="58"/>
      <c r="AF284" s="71"/>
      <c r="AG284" s="67"/>
      <c r="AH284" s="67"/>
      <c r="AI284" s="67"/>
      <c r="AJ284" s="67"/>
      <c r="AK284" s="67"/>
      <c r="AL284" s="67"/>
      <c r="AM284" s="67"/>
      <c r="AN284" s="67"/>
      <c r="AO284" s="67"/>
      <c r="AP284" s="67"/>
      <c r="AQ284" s="67"/>
      <c r="AR284" s="67"/>
      <c r="AS284" s="67"/>
      <c r="AT284" s="84"/>
      <c r="AU284" s="67"/>
      <c r="AV284" s="58"/>
      <c r="AW284" s="20"/>
    </row>
    <row r="285" spans="2:49" s="56" customFormat="1" x14ac:dyDescent="0.35">
      <c r="B285" s="99"/>
      <c r="C285" s="58"/>
      <c r="D285" s="58"/>
      <c r="E285" s="58"/>
      <c r="F285" s="58"/>
      <c r="G285" s="58"/>
      <c r="H285" s="58"/>
      <c r="I285" s="106"/>
      <c r="J285" s="58"/>
      <c r="K285" s="71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84"/>
      <c r="AB285" s="58"/>
      <c r="AC285" s="58"/>
      <c r="AD285" s="106"/>
      <c r="AE285" s="58"/>
      <c r="AF285" s="71"/>
      <c r="AG285" s="67"/>
      <c r="AH285" s="67"/>
      <c r="AI285" s="67"/>
      <c r="AJ285" s="67"/>
      <c r="AK285" s="67"/>
      <c r="AL285" s="67"/>
      <c r="AM285" s="67"/>
      <c r="AN285" s="67"/>
      <c r="AO285" s="67"/>
      <c r="AP285" s="67"/>
      <c r="AQ285" s="67"/>
      <c r="AR285" s="67"/>
      <c r="AS285" s="67"/>
      <c r="AT285" s="84"/>
      <c r="AU285" s="67"/>
      <c r="AV285" s="58"/>
      <c r="AW285" s="20"/>
    </row>
    <row r="286" spans="2:49" s="56" customFormat="1" x14ac:dyDescent="0.35">
      <c r="B286" s="99"/>
      <c r="C286" s="58"/>
      <c r="D286" s="58"/>
      <c r="E286" s="58"/>
      <c r="F286" s="58"/>
      <c r="G286" s="58"/>
      <c r="H286" s="58"/>
      <c r="I286" s="106"/>
      <c r="J286" s="58"/>
      <c r="K286" s="71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84"/>
      <c r="AB286" s="58"/>
      <c r="AC286" s="58"/>
      <c r="AD286" s="106"/>
      <c r="AE286" s="58"/>
      <c r="AF286" s="71"/>
      <c r="AG286" s="67"/>
      <c r="AH286" s="67"/>
      <c r="AI286" s="67"/>
      <c r="AJ286" s="67"/>
      <c r="AK286" s="67"/>
      <c r="AL286" s="67"/>
      <c r="AM286" s="67"/>
      <c r="AN286" s="67"/>
      <c r="AO286" s="67"/>
      <c r="AP286" s="67"/>
      <c r="AQ286" s="67"/>
      <c r="AR286" s="67"/>
      <c r="AS286" s="67"/>
      <c r="AT286" s="84"/>
      <c r="AU286" s="67"/>
      <c r="AV286" s="58"/>
      <c r="AW286" s="20"/>
    </row>
    <row r="287" spans="2:49" s="56" customFormat="1" x14ac:dyDescent="0.35">
      <c r="B287" s="99"/>
      <c r="C287" s="58"/>
      <c r="D287" s="58"/>
      <c r="E287" s="58"/>
      <c r="F287" s="58"/>
      <c r="G287" s="58"/>
      <c r="H287" s="58"/>
      <c r="I287" s="106"/>
      <c r="J287" s="58"/>
      <c r="K287" s="71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84"/>
      <c r="AB287" s="58"/>
      <c r="AC287" s="58"/>
      <c r="AD287" s="106"/>
      <c r="AE287" s="58"/>
      <c r="AF287" s="71"/>
      <c r="AG287" s="67"/>
      <c r="AH287" s="67"/>
      <c r="AI287" s="67"/>
      <c r="AJ287" s="67"/>
      <c r="AK287" s="67"/>
      <c r="AL287" s="67"/>
      <c r="AM287" s="67"/>
      <c r="AN287" s="67"/>
      <c r="AO287" s="67"/>
      <c r="AP287" s="67"/>
      <c r="AQ287" s="67"/>
      <c r="AR287" s="67"/>
      <c r="AS287" s="67"/>
      <c r="AT287" s="84"/>
      <c r="AU287" s="67"/>
      <c r="AV287" s="58"/>
      <c r="AW287" s="20"/>
    </row>
    <row r="288" spans="2:49" s="56" customFormat="1" x14ac:dyDescent="0.35">
      <c r="B288" s="99"/>
      <c r="C288" s="58"/>
      <c r="D288" s="58"/>
      <c r="E288" s="58"/>
      <c r="F288" s="58"/>
      <c r="G288" s="58"/>
      <c r="H288" s="58"/>
      <c r="I288" s="106"/>
      <c r="J288" s="58"/>
      <c r="K288" s="71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84"/>
      <c r="AB288" s="58"/>
      <c r="AC288" s="58"/>
      <c r="AD288" s="106"/>
      <c r="AE288" s="58"/>
      <c r="AF288" s="71"/>
      <c r="AG288" s="67"/>
      <c r="AH288" s="67"/>
      <c r="AI288" s="67"/>
      <c r="AJ288" s="67"/>
      <c r="AK288" s="67"/>
      <c r="AL288" s="67"/>
      <c r="AM288" s="67"/>
      <c r="AN288" s="67"/>
      <c r="AO288" s="67"/>
      <c r="AP288" s="67"/>
      <c r="AQ288" s="67"/>
      <c r="AR288" s="67"/>
      <c r="AS288" s="67"/>
      <c r="AT288" s="84"/>
      <c r="AU288" s="67"/>
      <c r="AV288" s="58"/>
      <c r="AW288" s="20"/>
    </row>
    <row r="289" spans="2:49" s="56" customFormat="1" x14ac:dyDescent="0.35">
      <c r="B289" s="99"/>
      <c r="C289" s="58"/>
      <c r="D289" s="58"/>
      <c r="E289" s="58"/>
      <c r="F289" s="58"/>
      <c r="G289" s="58"/>
      <c r="H289" s="58"/>
      <c r="I289" s="106"/>
      <c r="J289" s="58"/>
      <c r="K289" s="71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84"/>
      <c r="AB289" s="58"/>
      <c r="AC289" s="58"/>
      <c r="AD289" s="106"/>
      <c r="AE289" s="58"/>
      <c r="AF289" s="71"/>
      <c r="AG289" s="67"/>
      <c r="AH289" s="67"/>
      <c r="AI289" s="67"/>
      <c r="AJ289" s="67"/>
      <c r="AK289" s="67"/>
      <c r="AL289" s="67"/>
      <c r="AM289" s="67"/>
      <c r="AN289" s="67"/>
      <c r="AO289" s="67"/>
      <c r="AP289" s="67"/>
      <c r="AQ289" s="67"/>
      <c r="AR289" s="67"/>
      <c r="AS289" s="67"/>
      <c r="AT289" s="84"/>
      <c r="AU289" s="67"/>
      <c r="AV289" s="58"/>
      <c r="AW289" s="20"/>
    </row>
    <row r="290" spans="2:49" s="56" customFormat="1" x14ac:dyDescent="0.35">
      <c r="B290" s="99"/>
      <c r="C290" s="58"/>
      <c r="D290" s="58"/>
      <c r="E290" s="58"/>
      <c r="F290" s="58"/>
      <c r="G290" s="58"/>
      <c r="H290" s="58"/>
      <c r="I290" s="106"/>
      <c r="J290" s="58"/>
      <c r="K290" s="71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84"/>
      <c r="AB290" s="58"/>
      <c r="AC290" s="58"/>
      <c r="AD290" s="106"/>
      <c r="AE290" s="58"/>
      <c r="AF290" s="71"/>
      <c r="AG290" s="67"/>
      <c r="AH290" s="67"/>
      <c r="AI290" s="67"/>
      <c r="AJ290" s="67"/>
      <c r="AK290" s="67"/>
      <c r="AL290" s="67"/>
      <c r="AM290" s="67"/>
      <c r="AN290" s="67"/>
      <c r="AO290" s="67"/>
      <c r="AP290" s="67"/>
      <c r="AQ290" s="67"/>
      <c r="AR290" s="67"/>
      <c r="AS290" s="67"/>
      <c r="AT290" s="84"/>
      <c r="AU290" s="67"/>
      <c r="AV290" s="58"/>
      <c r="AW290" s="20"/>
    </row>
    <row r="291" spans="2:49" s="56" customFormat="1" x14ac:dyDescent="0.35">
      <c r="B291" s="99"/>
      <c r="C291" s="58"/>
      <c r="D291" s="58"/>
      <c r="E291" s="58"/>
      <c r="F291" s="58"/>
      <c r="G291" s="58"/>
      <c r="H291" s="58"/>
      <c r="I291" s="106"/>
      <c r="J291" s="58"/>
      <c r="K291" s="71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84"/>
      <c r="AB291" s="58"/>
      <c r="AC291" s="58"/>
      <c r="AD291" s="106"/>
      <c r="AE291" s="58"/>
      <c r="AF291" s="71"/>
      <c r="AG291" s="67"/>
      <c r="AH291" s="67"/>
      <c r="AI291" s="67"/>
      <c r="AJ291" s="67"/>
      <c r="AK291" s="67"/>
      <c r="AL291" s="67"/>
      <c r="AM291" s="67"/>
      <c r="AN291" s="67"/>
      <c r="AO291" s="67"/>
      <c r="AP291" s="67"/>
      <c r="AQ291" s="67"/>
      <c r="AR291" s="67"/>
      <c r="AS291" s="67"/>
      <c r="AT291" s="84"/>
      <c r="AU291" s="67"/>
      <c r="AV291" s="58"/>
      <c r="AW291" s="20"/>
    </row>
    <row r="292" spans="2:49" s="56" customFormat="1" x14ac:dyDescent="0.35">
      <c r="B292" s="99"/>
      <c r="C292" s="58"/>
      <c r="D292" s="58"/>
      <c r="E292" s="58"/>
      <c r="F292" s="58"/>
      <c r="G292" s="58"/>
      <c r="H292" s="58"/>
      <c r="I292" s="106"/>
      <c r="J292" s="58"/>
      <c r="K292" s="71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84"/>
      <c r="AB292" s="58"/>
      <c r="AC292" s="58"/>
      <c r="AD292" s="106"/>
      <c r="AE292" s="58"/>
      <c r="AF292" s="71"/>
      <c r="AG292" s="67"/>
      <c r="AH292" s="67"/>
      <c r="AI292" s="67"/>
      <c r="AJ292" s="67"/>
      <c r="AK292" s="67"/>
      <c r="AL292" s="67"/>
      <c r="AM292" s="67"/>
      <c r="AN292" s="67"/>
      <c r="AO292" s="67"/>
      <c r="AP292" s="67"/>
      <c r="AQ292" s="67"/>
      <c r="AR292" s="67"/>
      <c r="AS292" s="67"/>
      <c r="AT292" s="84"/>
      <c r="AU292" s="67"/>
      <c r="AV292" s="58"/>
      <c r="AW292" s="20"/>
    </row>
    <row r="293" spans="2:49" s="56" customFormat="1" x14ac:dyDescent="0.35">
      <c r="B293" s="99"/>
      <c r="C293" s="58"/>
      <c r="D293" s="58"/>
      <c r="E293" s="58"/>
      <c r="F293" s="58"/>
      <c r="G293" s="58"/>
      <c r="H293" s="58"/>
      <c r="I293" s="106"/>
      <c r="J293" s="58"/>
      <c r="K293" s="71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84"/>
      <c r="AB293" s="58"/>
      <c r="AC293" s="58"/>
      <c r="AD293" s="106"/>
      <c r="AE293" s="58"/>
      <c r="AF293" s="71"/>
      <c r="AG293" s="67"/>
      <c r="AH293" s="67"/>
      <c r="AI293" s="67"/>
      <c r="AJ293" s="67"/>
      <c r="AK293" s="67"/>
      <c r="AL293" s="67"/>
      <c r="AM293" s="67"/>
      <c r="AN293" s="67"/>
      <c r="AO293" s="67"/>
      <c r="AP293" s="67"/>
      <c r="AQ293" s="67"/>
      <c r="AR293" s="67"/>
      <c r="AS293" s="67"/>
      <c r="AT293" s="84"/>
      <c r="AU293" s="67"/>
      <c r="AV293" s="58"/>
      <c r="AW293" s="20"/>
    </row>
    <row r="294" spans="2:49" s="56" customFormat="1" x14ac:dyDescent="0.35">
      <c r="B294" s="99"/>
      <c r="C294" s="58"/>
      <c r="D294" s="58"/>
      <c r="E294" s="58"/>
      <c r="F294" s="58"/>
      <c r="G294" s="58"/>
      <c r="H294" s="58"/>
      <c r="I294" s="106"/>
      <c r="J294" s="58"/>
      <c r="K294" s="71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84"/>
      <c r="AB294" s="58"/>
      <c r="AC294" s="58"/>
      <c r="AD294" s="106"/>
      <c r="AE294" s="58"/>
      <c r="AF294" s="71"/>
      <c r="AG294" s="67"/>
      <c r="AH294" s="67"/>
      <c r="AI294" s="67"/>
      <c r="AJ294" s="67"/>
      <c r="AK294" s="67"/>
      <c r="AL294" s="67"/>
      <c r="AM294" s="67"/>
      <c r="AN294" s="67"/>
      <c r="AO294" s="67"/>
      <c r="AP294" s="67"/>
      <c r="AQ294" s="67"/>
      <c r="AR294" s="67"/>
      <c r="AS294" s="67"/>
      <c r="AT294" s="84"/>
      <c r="AU294" s="67"/>
      <c r="AV294" s="58"/>
      <c r="AW294" s="20"/>
    </row>
    <row r="295" spans="2:49" s="56" customFormat="1" x14ac:dyDescent="0.35">
      <c r="B295" s="99"/>
      <c r="C295" s="58"/>
      <c r="D295" s="58"/>
      <c r="E295" s="58"/>
      <c r="F295" s="58"/>
      <c r="G295" s="58"/>
      <c r="H295" s="58"/>
      <c r="I295" s="106"/>
      <c r="J295" s="58"/>
      <c r="K295" s="71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84"/>
      <c r="AB295" s="58"/>
      <c r="AC295" s="58"/>
      <c r="AD295" s="106"/>
      <c r="AE295" s="58"/>
      <c r="AF295" s="71"/>
      <c r="AG295" s="67"/>
      <c r="AH295" s="67"/>
      <c r="AI295" s="67"/>
      <c r="AJ295" s="67"/>
      <c r="AK295" s="67"/>
      <c r="AL295" s="67"/>
      <c r="AM295" s="67"/>
      <c r="AN295" s="67"/>
      <c r="AO295" s="67"/>
      <c r="AP295" s="67"/>
      <c r="AQ295" s="67"/>
      <c r="AR295" s="67"/>
      <c r="AS295" s="67"/>
      <c r="AT295" s="84"/>
      <c r="AU295" s="67"/>
      <c r="AV295" s="58"/>
      <c r="AW295" s="20"/>
    </row>
    <row r="296" spans="2:49" s="56" customFormat="1" x14ac:dyDescent="0.35">
      <c r="B296" s="99"/>
      <c r="C296" s="58"/>
      <c r="D296" s="58"/>
      <c r="E296" s="58"/>
      <c r="F296" s="58"/>
      <c r="G296" s="58"/>
      <c r="H296" s="58"/>
      <c r="I296" s="106"/>
      <c r="J296" s="58"/>
      <c r="K296" s="71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84"/>
      <c r="AB296" s="58"/>
      <c r="AC296" s="58"/>
      <c r="AD296" s="106"/>
      <c r="AE296" s="58"/>
      <c r="AF296" s="71"/>
      <c r="AG296" s="67"/>
      <c r="AH296" s="67"/>
      <c r="AI296" s="67"/>
      <c r="AJ296" s="67"/>
      <c r="AK296" s="67"/>
      <c r="AL296" s="67"/>
      <c r="AM296" s="67"/>
      <c r="AN296" s="67"/>
      <c r="AO296" s="67"/>
      <c r="AP296" s="67"/>
      <c r="AQ296" s="67"/>
      <c r="AR296" s="67"/>
      <c r="AS296" s="67"/>
      <c r="AT296" s="84"/>
      <c r="AU296" s="67"/>
      <c r="AV296" s="58"/>
      <c r="AW296" s="20"/>
    </row>
    <row r="297" spans="2:49" s="56" customFormat="1" x14ac:dyDescent="0.35">
      <c r="B297" s="99"/>
      <c r="C297" s="58"/>
      <c r="D297" s="58"/>
      <c r="E297" s="58"/>
      <c r="F297" s="58"/>
      <c r="G297" s="58"/>
      <c r="H297" s="58"/>
      <c r="I297" s="106"/>
      <c r="J297" s="58"/>
      <c r="K297" s="71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84"/>
      <c r="AB297" s="58"/>
      <c r="AC297" s="58"/>
      <c r="AD297" s="106"/>
      <c r="AE297" s="58"/>
      <c r="AF297" s="71"/>
      <c r="AG297" s="67"/>
      <c r="AH297" s="67"/>
      <c r="AI297" s="67"/>
      <c r="AJ297" s="67"/>
      <c r="AK297" s="67"/>
      <c r="AL297" s="67"/>
      <c r="AM297" s="67"/>
      <c r="AN297" s="67"/>
      <c r="AO297" s="67"/>
      <c r="AP297" s="67"/>
      <c r="AQ297" s="67"/>
      <c r="AR297" s="67"/>
      <c r="AS297" s="67"/>
      <c r="AT297" s="84"/>
      <c r="AU297" s="67"/>
      <c r="AV297" s="58"/>
      <c r="AW297" s="20"/>
    </row>
  </sheetData>
  <autoFilter ref="A3:L72"/>
  <mergeCells count="516">
    <mergeCell ref="E46:E47"/>
    <mergeCell ref="G46:G47"/>
    <mergeCell ref="K46:K47"/>
    <mergeCell ref="B68:B69"/>
    <mergeCell ref="C68:C69"/>
    <mergeCell ref="D68:D69"/>
    <mergeCell ref="E68:E69"/>
    <mergeCell ref="F68:F69"/>
    <mergeCell ref="N68:N69"/>
    <mergeCell ref="C66:C67"/>
    <mergeCell ref="D66:D67"/>
    <mergeCell ref="E66:E67"/>
    <mergeCell ref="F66:F67"/>
    <mergeCell ref="N60:N61"/>
    <mergeCell ref="N56:N57"/>
    <mergeCell ref="J50:J51"/>
    <mergeCell ref="K50:K51"/>
    <mergeCell ref="L50:L51"/>
    <mergeCell ref="M50:M51"/>
    <mergeCell ref="N50:N51"/>
    <mergeCell ref="N54:N55"/>
    <mergeCell ref="G60:G61"/>
    <mergeCell ref="I60:I61"/>
    <mergeCell ref="J60:J61"/>
    <mergeCell ref="O68:O69"/>
    <mergeCell ref="P68:P69"/>
    <mergeCell ref="G68:G69"/>
    <mergeCell ref="I68:I69"/>
    <mergeCell ref="J68:J69"/>
    <mergeCell ref="K68:K69"/>
    <mergeCell ref="L68:L69"/>
    <mergeCell ref="M68:M69"/>
    <mergeCell ref="O64:O65"/>
    <mergeCell ref="P64:P65"/>
    <mergeCell ref="G66:G67"/>
    <mergeCell ref="I66:I67"/>
    <mergeCell ref="J66:J67"/>
    <mergeCell ref="K66:K67"/>
    <mergeCell ref="I64:I65"/>
    <mergeCell ref="J64:J65"/>
    <mergeCell ref="K64:K65"/>
    <mergeCell ref="L64:L65"/>
    <mergeCell ref="M64:M65"/>
    <mergeCell ref="N64:N65"/>
    <mergeCell ref="L66:L67"/>
    <mergeCell ref="M66:M67"/>
    <mergeCell ref="N66:N67"/>
    <mergeCell ref="O66:O67"/>
    <mergeCell ref="P66:P67"/>
    <mergeCell ref="B64:B65"/>
    <mergeCell ref="C64:C65"/>
    <mergeCell ref="D64:D65"/>
    <mergeCell ref="E64:E65"/>
    <mergeCell ref="F64:F65"/>
    <mergeCell ref="G64:G65"/>
    <mergeCell ref="K62:K63"/>
    <mergeCell ref="L62:L63"/>
    <mergeCell ref="M62:M63"/>
    <mergeCell ref="N62:N63"/>
    <mergeCell ref="O62:O63"/>
    <mergeCell ref="P62:P63"/>
    <mergeCell ref="C62:C63"/>
    <mergeCell ref="D62:D63"/>
    <mergeCell ref="E62:E63"/>
    <mergeCell ref="F62:F63"/>
    <mergeCell ref="G62:G63"/>
    <mergeCell ref="I62:I63"/>
    <mergeCell ref="J62:J63"/>
    <mergeCell ref="B60:B61"/>
    <mergeCell ref="C60:C61"/>
    <mergeCell ref="D60:D61"/>
    <mergeCell ref="E60:E61"/>
    <mergeCell ref="F60:F61"/>
    <mergeCell ref="O60:O61"/>
    <mergeCell ref="P60:P61"/>
    <mergeCell ref="K60:K61"/>
    <mergeCell ref="L60:L61"/>
    <mergeCell ref="M60:M61"/>
    <mergeCell ref="O56:O57"/>
    <mergeCell ref="P56:P57"/>
    <mergeCell ref="B58:B59"/>
    <mergeCell ref="C58:C59"/>
    <mergeCell ref="D58:D59"/>
    <mergeCell ref="E58:E59"/>
    <mergeCell ref="F58:F59"/>
    <mergeCell ref="G58:G59"/>
    <mergeCell ref="I58:I59"/>
    <mergeCell ref="G56:G57"/>
    <mergeCell ref="I56:I57"/>
    <mergeCell ref="J56:J57"/>
    <mergeCell ref="K56:K57"/>
    <mergeCell ref="L56:L57"/>
    <mergeCell ref="M56:M57"/>
    <mergeCell ref="P58:P59"/>
    <mergeCell ref="J58:J59"/>
    <mergeCell ref="K58:K59"/>
    <mergeCell ref="L58:L59"/>
    <mergeCell ref="M58:M59"/>
    <mergeCell ref="N58:N59"/>
    <mergeCell ref="O58:O59"/>
    <mergeCell ref="A56:A57"/>
    <mergeCell ref="B56:B57"/>
    <mergeCell ref="C56:C57"/>
    <mergeCell ref="D56:D57"/>
    <mergeCell ref="E56:E57"/>
    <mergeCell ref="F56:F57"/>
    <mergeCell ref="L54:L55"/>
    <mergeCell ref="M54:M55"/>
    <mergeCell ref="A54:A55"/>
    <mergeCell ref="B54:B55"/>
    <mergeCell ref="C54:C55"/>
    <mergeCell ref="D54:D55"/>
    <mergeCell ref="E54:E55"/>
    <mergeCell ref="F54:F55"/>
    <mergeCell ref="G54:G55"/>
    <mergeCell ref="I54:I55"/>
    <mergeCell ref="J54:J55"/>
    <mergeCell ref="O54:O55"/>
    <mergeCell ref="P54:P55"/>
    <mergeCell ref="P52:P53"/>
    <mergeCell ref="J52:J53"/>
    <mergeCell ref="K52:K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2:G53"/>
    <mergeCell ref="I52:I53"/>
    <mergeCell ref="I50:I51"/>
    <mergeCell ref="N48:N49"/>
    <mergeCell ref="O48:O49"/>
    <mergeCell ref="P48:P49"/>
    <mergeCell ref="A50:A51"/>
    <mergeCell ref="B50:B51"/>
    <mergeCell ref="C50:C51"/>
    <mergeCell ref="D50:D51"/>
    <mergeCell ref="E50:E51"/>
    <mergeCell ref="F50:F51"/>
    <mergeCell ref="G50:G51"/>
    <mergeCell ref="G48:G49"/>
    <mergeCell ref="I48:I49"/>
    <mergeCell ref="J48:J49"/>
    <mergeCell ref="K48:K49"/>
    <mergeCell ref="L48:L49"/>
    <mergeCell ref="M48:M49"/>
    <mergeCell ref="A48:A49"/>
    <mergeCell ref="B48:B49"/>
    <mergeCell ref="C48:C49"/>
    <mergeCell ref="D48:D49"/>
    <mergeCell ref="E48:E49"/>
    <mergeCell ref="F48:F49"/>
    <mergeCell ref="O50:O51"/>
    <mergeCell ref="P50:P51"/>
    <mergeCell ref="Z44:Z45"/>
    <mergeCell ref="A46:A47"/>
    <mergeCell ref="B46:B47"/>
    <mergeCell ref="C46:C47"/>
    <mergeCell ref="D46:D47"/>
    <mergeCell ref="F46:F47"/>
    <mergeCell ref="I46:I47"/>
    <mergeCell ref="J46:J47"/>
    <mergeCell ref="Y46:Y47"/>
    <mergeCell ref="Z46:Z47"/>
    <mergeCell ref="K44:K45"/>
    <mergeCell ref="L44:L45"/>
    <mergeCell ref="N44:N45"/>
    <mergeCell ref="O44:O45"/>
    <mergeCell ref="P44:P45"/>
    <mergeCell ref="Y44:Y45"/>
    <mergeCell ref="A44:A45"/>
    <mergeCell ref="B44:B45"/>
    <mergeCell ref="C44:C45"/>
    <mergeCell ref="D44:D45"/>
    <mergeCell ref="E44:E45"/>
    <mergeCell ref="F44:F45"/>
    <mergeCell ref="G44:G45"/>
    <mergeCell ref="I44:I45"/>
    <mergeCell ref="J44:J45"/>
    <mergeCell ref="Z40:Z41"/>
    <mergeCell ref="A42:A43"/>
    <mergeCell ref="B42:B43"/>
    <mergeCell ref="C42:C43"/>
    <mergeCell ref="D42:D43"/>
    <mergeCell ref="E42:E43"/>
    <mergeCell ref="F42:F43"/>
    <mergeCell ref="G42:G43"/>
    <mergeCell ref="I42:I43"/>
    <mergeCell ref="J42:J43"/>
    <mergeCell ref="K40:K41"/>
    <mergeCell ref="L40:L41"/>
    <mergeCell ref="N40:N41"/>
    <mergeCell ref="O40:O41"/>
    <mergeCell ref="P40:P41"/>
    <mergeCell ref="Y40:Y41"/>
    <mergeCell ref="Z42:Z43"/>
    <mergeCell ref="K42:K43"/>
    <mergeCell ref="L42:L43"/>
    <mergeCell ref="N42:N43"/>
    <mergeCell ref="O42:O43"/>
    <mergeCell ref="P42:P43"/>
    <mergeCell ref="Y42:Y43"/>
    <mergeCell ref="A40:A41"/>
    <mergeCell ref="B40:B41"/>
    <mergeCell ref="C40:C41"/>
    <mergeCell ref="D40:D41"/>
    <mergeCell ref="E40:E41"/>
    <mergeCell ref="F40:F41"/>
    <mergeCell ref="G40:G41"/>
    <mergeCell ref="I40:I41"/>
    <mergeCell ref="J40:J41"/>
    <mergeCell ref="O36:O37"/>
    <mergeCell ref="P36:P37"/>
    <mergeCell ref="Y36:Y37"/>
    <mergeCell ref="Z36:Z37"/>
    <mergeCell ref="C38:C39"/>
    <mergeCell ref="D38:D39"/>
    <mergeCell ref="F38:F39"/>
    <mergeCell ref="I38:I39"/>
    <mergeCell ref="J38:J39"/>
    <mergeCell ref="Y38:Y39"/>
    <mergeCell ref="G36:G37"/>
    <mergeCell ref="I36:I37"/>
    <mergeCell ref="J36:J37"/>
    <mergeCell ref="K36:K37"/>
    <mergeCell ref="L36:L37"/>
    <mergeCell ref="N36:N37"/>
    <mergeCell ref="Z38:Z39"/>
    <mergeCell ref="E38:E39"/>
    <mergeCell ref="G38:G39"/>
    <mergeCell ref="A36:A37"/>
    <mergeCell ref="B36:B37"/>
    <mergeCell ref="C36:C37"/>
    <mergeCell ref="D36:D37"/>
    <mergeCell ref="E36:E37"/>
    <mergeCell ref="F36:F37"/>
    <mergeCell ref="G34:G35"/>
    <mergeCell ref="I34:I35"/>
    <mergeCell ref="J34:J35"/>
    <mergeCell ref="A34:A35"/>
    <mergeCell ref="B34:B35"/>
    <mergeCell ref="C34:C35"/>
    <mergeCell ref="D34:D35"/>
    <mergeCell ref="E34:E35"/>
    <mergeCell ref="F34:F35"/>
    <mergeCell ref="Y32:Y33"/>
    <mergeCell ref="Z32:Z33"/>
    <mergeCell ref="G32:G33"/>
    <mergeCell ref="I32:I33"/>
    <mergeCell ref="J32:J33"/>
    <mergeCell ref="K32:K33"/>
    <mergeCell ref="L32:L33"/>
    <mergeCell ref="M32:M33"/>
    <mergeCell ref="O34:O35"/>
    <mergeCell ref="P34:P35"/>
    <mergeCell ref="Y34:Y35"/>
    <mergeCell ref="Z34:Z35"/>
    <mergeCell ref="K34:K35"/>
    <mergeCell ref="L34:L35"/>
    <mergeCell ref="N34:N35"/>
    <mergeCell ref="A32:A33"/>
    <mergeCell ref="B32:B33"/>
    <mergeCell ref="C32:C33"/>
    <mergeCell ref="D32:D33"/>
    <mergeCell ref="E32:E33"/>
    <mergeCell ref="F32:F33"/>
    <mergeCell ref="N30:N31"/>
    <mergeCell ref="O30:O31"/>
    <mergeCell ref="P30:P31"/>
    <mergeCell ref="A30:A31"/>
    <mergeCell ref="B30:B31"/>
    <mergeCell ref="C30:C31"/>
    <mergeCell ref="D30:D31"/>
    <mergeCell ref="E30:E31"/>
    <mergeCell ref="N32:N33"/>
    <mergeCell ref="O32:O33"/>
    <mergeCell ref="P32:P33"/>
    <mergeCell ref="Y30:Y31"/>
    <mergeCell ref="Z30:Z31"/>
    <mergeCell ref="AA30:AA31"/>
    <mergeCell ref="F30:F31"/>
    <mergeCell ref="G30:G31"/>
    <mergeCell ref="I30:I31"/>
    <mergeCell ref="J30:J31"/>
    <mergeCell ref="K30:K31"/>
    <mergeCell ref="L30:L31"/>
    <mergeCell ref="I28:I29"/>
    <mergeCell ref="J28:J29"/>
    <mergeCell ref="K28:K29"/>
    <mergeCell ref="L28:L29"/>
    <mergeCell ref="AA26:AA27"/>
    <mergeCell ref="A28:A29"/>
    <mergeCell ref="B28:B29"/>
    <mergeCell ref="C28:C29"/>
    <mergeCell ref="D28:D29"/>
    <mergeCell ref="E28:E29"/>
    <mergeCell ref="F28:F29"/>
    <mergeCell ref="G28:G29"/>
    <mergeCell ref="G26:G27"/>
    <mergeCell ref="I26:I27"/>
    <mergeCell ref="J26:J27"/>
    <mergeCell ref="K26:K27"/>
    <mergeCell ref="L26:L27"/>
    <mergeCell ref="N26:N27"/>
    <mergeCell ref="O28:O29"/>
    <mergeCell ref="P28:P29"/>
    <mergeCell ref="Y28:Y29"/>
    <mergeCell ref="Z28:Z29"/>
    <mergeCell ref="AA28:AA29"/>
    <mergeCell ref="M28:M29"/>
    <mergeCell ref="N28:N29"/>
    <mergeCell ref="O24:O25"/>
    <mergeCell ref="P24:P25"/>
    <mergeCell ref="Y24:Y25"/>
    <mergeCell ref="Z24:Z25"/>
    <mergeCell ref="A26:A27"/>
    <mergeCell ref="B26:B27"/>
    <mergeCell ref="C26:C27"/>
    <mergeCell ref="D26:D27"/>
    <mergeCell ref="E26:E27"/>
    <mergeCell ref="F26:F27"/>
    <mergeCell ref="G24:G25"/>
    <mergeCell ref="I24:I25"/>
    <mergeCell ref="J24:J25"/>
    <mergeCell ref="K24:K25"/>
    <mergeCell ref="L24:L25"/>
    <mergeCell ref="N24:N25"/>
    <mergeCell ref="A24:A25"/>
    <mergeCell ref="B24:B25"/>
    <mergeCell ref="C24:C25"/>
    <mergeCell ref="D24:D25"/>
    <mergeCell ref="E24:E25"/>
    <mergeCell ref="F24:F25"/>
    <mergeCell ref="O26:O27"/>
    <mergeCell ref="P26:P27"/>
    <mergeCell ref="M22:M23"/>
    <mergeCell ref="N22:N23"/>
    <mergeCell ref="O22:O23"/>
    <mergeCell ref="P22:P23"/>
    <mergeCell ref="Y22:Y23"/>
    <mergeCell ref="Z22:Z23"/>
    <mergeCell ref="F22:F23"/>
    <mergeCell ref="G22:G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AA18:AA19"/>
    <mergeCell ref="A20:A21"/>
    <mergeCell ref="B20:B21"/>
    <mergeCell ref="C20:C21"/>
    <mergeCell ref="D20:D21"/>
    <mergeCell ref="E20:E21"/>
    <mergeCell ref="F20:F21"/>
    <mergeCell ref="G20:G21"/>
    <mergeCell ref="I20:I21"/>
    <mergeCell ref="J20:J21"/>
    <mergeCell ref="J18:J19"/>
    <mergeCell ref="K18:K19"/>
    <mergeCell ref="L18:L19"/>
    <mergeCell ref="N18:N19"/>
    <mergeCell ref="O18:O19"/>
    <mergeCell ref="P18:P19"/>
    <mergeCell ref="K20:K21"/>
    <mergeCell ref="L20:L21"/>
    <mergeCell ref="O20:O21"/>
    <mergeCell ref="P20:P21"/>
    <mergeCell ref="AA20:AA21"/>
    <mergeCell ref="A18:A19"/>
    <mergeCell ref="B18:B19"/>
    <mergeCell ref="C18:C19"/>
    <mergeCell ref="D18:D19"/>
    <mergeCell ref="E18:E19"/>
    <mergeCell ref="F18:F19"/>
    <mergeCell ref="G18:G19"/>
    <mergeCell ref="I18:I19"/>
    <mergeCell ref="I16:I17"/>
    <mergeCell ref="AA14:AA15"/>
    <mergeCell ref="A16:A17"/>
    <mergeCell ref="B16:B17"/>
    <mergeCell ref="C16:C17"/>
    <mergeCell ref="D16:D17"/>
    <mergeCell ref="E16:E17"/>
    <mergeCell ref="F16:F17"/>
    <mergeCell ref="G16:G17"/>
    <mergeCell ref="G14:G15"/>
    <mergeCell ref="I14:I15"/>
    <mergeCell ref="J14:J15"/>
    <mergeCell ref="K14:K15"/>
    <mergeCell ref="L14:L15"/>
    <mergeCell ref="N14:N15"/>
    <mergeCell ref="P16:P17"/>
    <mergeCell ref="AA16:AA17"/>
    <mergeCell ref="J16:J17"/>
    <mergeCell ref="K16:K17"/>
    <mergeCell ref="L16:L17"/>
    <mergeCell ref="N16:N17"/>
    <mergeCell ref="O16:O17"/>
    <mergeCell ref="N12:N13"/>
    <mergeCell ref="O12:O13"/>
    <mergeCell ref="P12:P13"/>
    <mergeCell ref="AA12:AA13"/>
    <mergeCell ref="A14:A15"/>
    <mergeCell ref="B14:B15"/>
    <mergeCell ref="C14:C15"/>
    <mergeCell ref="D14:D15"/>
    <mergeCell ref="E14:E15"/>
    <mergeCell ref="F14:F15"/>
    <mergeCell ref="G12:G13"/>
    <mergeCell ref="I12:I13"/>
    <mergeCell ref="J12:J13"/>
    <mergeCell ref="K12:K13"/>
    <mergeCell ref="L12:L13"/>
    <mergeCell ref="M12:M13"/>
    <mergeCell ref="A12:A13"/>
    <mergeCell ref="B12:B13"/>
    <mergeCell ref="C12:C13"/>
    <mergeCell ref="D12:D13"/>
    <mergeCell ref="E12:E13"/>
    <mergeCell ref="F12:F13"/>
    <mergeCell ref="O14:O15"/>
    <mergeCell ref="P14:P15"/>
    <mergeCell ref="P10:P11"/>
    <mergeCell ref="Y10:Y11"/>
    <mergeCell ref="Z10:Z11"/>
    <mergeCell ref="AA10:AA11"/>
    <mergeCell ref="G10:G11"/>
    <mergeCell ref="I10:I11"/>
    <mergeCell ref="J10:J11"/>
    <mergeCell ref="K10:K11"/>
    <mergeCell ref="L10:L11"/>
    <mergeCell ref="M10:M11"/>
    <mergeCell ref="A10:A11"/>
    <mergeCell ref="B10:B11"/>
    <mergeCell ref="C10:C11"/>
    <mergeCell ref="D10:D11"/>
    <mergeCell ref="E10:E11"/>
    <mergeCell ref="F10:F11"/>
    <mergeCell ref="N8:N9"/>
    <mergeCell ref="O8:O9"/>
    <mergeCell ref="C8:C9"/>
    <mergeCell ref="D8:D9"/>
    <mergeCell ref="E8:E9"/>
    <mergeCell ref="F8:F9"/>
    <mergeCell ref="N10:N11"/>
    <mergeCell ref="O10:O11"/>
    <mergeCell ref="P8:P9"/>
    <mergeCell ref="AA8:AA9"/>
    <mergeCell ref="G8:G9"/>
    <mergeCell ref="I8:I9"/>
    <mergeCell ref="J8:J9"/>
    <mergeCell ref="K8:K9"/>
    <mergeCell ref="L8:L9"/>
    <mergeCell ref="M8:M9"/>
    <mergeCell ref="A8:A9"/>
    <mergeCell ref="B8:B9"/>
    <mergeCell ref="Z8:Z9"/>
    <mergeCell ref="Y8:Y9"/>
    <mergeCell ref="P6:P7"/>
    <mergeCell ref="AA6:AA7"/>
    <mergeCell ref="G6:G7"/>
    <mergeCell ref="I6:I7"/>
    <mergeCell ref="J6:J7"/>
    <mergeCell ref="K6:K7"/>
    <mergeCell ref="L6:L7"/>
    <mergeCell ref="M6:M7"/>
    <mergeCell ref="N4:N5"/>
    <mergeCell ref="O4:O5"/>
    <mergeCell ref="P4:P5"/>
    <mergeCell ref="AA4:AA5"/>
    <mergeCell ref="K4:K5"/>
    <mergeCell ref="L4:L5"/>
    <mergeCell ref="M4:M5"/>
    <mergeCell ref="N6:N7"/>
    <mergeCell ref="O6:O7"/>
    <mergeCell ref="A6:A7"/>
    <mergeCell ref="B6:B7"/>
    <mergeCell ref="C6:C7"/>
    <mergeCell ref="D6:D7"/>
    <mergeCell ref="E6:E7"/>
    <mergeCell ref="F6:F7"/>
    <mergeCell ref="G4:G5"/>
    <mergeCell ref="I4:I5"/>
    <mergeCell ref="J4:J5"/>
    <mergeCell ref="A4:A5"/>
    <mergeCell ref="B4:B5"/>
    <mergeCell ref="C4:C5"/>
    <mergeCell ref="D4:D5"/>
    <mergeCell ref="E4:E5"/>
    <mergeCell ref="F4:F5"/>
    <mergeCell ref="Y58:Y59"/>
    <mergeCell ref="Z58:Z59"/>
    <mergeCell ref="Y60:Y61"/>
    <mergeCell ref="Z60:Z61"/>
    <mergeCell ref="Y62:Y63"/>
    <mergeCell ref="Z62:Z63"/>
    <mergeCell ref="Y48:Y49"/>
    <mergeCell ref="Z48:Z49"/>
    <mergeCell ref="Y50:Y51"/>
    <mergeCell ref="Z50:Z51"/>
    <mergeCell ref="Y52:Y53"/>
    <mergeCell ref="Z52:Z53"/>
    <mergeCell ref="Y54:Y55"/>
    <mergeCell ref="Z54:Z55"/>
    <mergeCell ref="Y56:Y57"/>
    <mergeCell ref="Z56:Z57"/>
  </mergeCells>
  <pageMargins left="0.7" right="0.7" top="0.75" bottom="0.75" header="0.3" footer="0.3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"/>
  <sheetViews>
    <sheetView topLeftCell="C3" zoomScale="60" zoomScaleNormal="60" workbookViewId="0">
      <selection activeCell="I6" sqref="I6:I7"/>
    </sheetView>
  </sheetViews>
  <sheetFormatPr defaultColWidth="9.140625" defaultRowHeight="23.25" x14ac:dyDescent="0.35"/>
  <cols>
    <col min="1" max="1" width="5.7109375" style="20" hidden="1" customWidth="1"/>
    <col min="2" max="2" width="6.28515625" style="20" hidden="1" customWidth="1"/>
    <col min="3" max="3" width="19" style="67" customWidth="1"/>
    <col min="4" max="4" width="22.42578125" style="67" customWidth="1"/>
    <col min="5" max="5" width="10.85546875" style="67" customWidth="1"/>
    <col min="6" max="6" width="22" style="67" customWidth="1"/>
    <col min="7" max="7" width="41" style="67" customWidth="1"/>
    <col min="8" max="8" width="9.42578125" style="67" customWidth="1"/>
    <col min="9" max="9" width="15.85546875" style="67" customWidth="1"/>
    <col min="10" max="10" width="27.5703125" style="67" customWidth="1"/>
    <col min="11" max="11" width="11.28515625" style="67" customWidth="1"/>
    <col min="12" max="12" width="24.28515625" style="67" customWidth="1"/>
    <col min="13" max="13" width="14.85546875" style="67" customWidth="1"/>
    <col min="14" max="14" width="24.7109375" style="67" hidden="1" customWidth="1"/>
    <col min="15" max="15" width="21.28515625" style="67" hidden="1" customWidth="1"/>
    <col min="16" max="21" width="14.85546875" style="67" hidden="1" customWidth="1"/>
    <col min="22" max="22" width="4.5703125" style="67" hidden="1" customWidth="1"/>
    <col min="23" max="23" width="5" style="67" hidden="1" customWidth="1"/>
    <col min="24" max="25" width="17.42578125" style="67" hidden="1" customWidth="1"/>
    <col min="26" max="26" width="14.85546875" style="67" hidden="1" customWidth="1"/>
    <col min="27" max="27" width="11.28515625" style="67" customWidth="1"/>
    <col min="28" max="28" width="12" style="67" customWidth="1"/>
    <col min="29" max="29" width="28.42578125" style="67" customWidth="1"/>
    <col min="30" max="30" width="11.5703125" style="67" customWidth="1"/>
    <col min="31" max="31" width="24.5703125" style="67" customWidth="1"/>
    <col min="32" max="32" width="14.85546875" style="67" customWidth="1"/>
    <col min="33" max="33" width="23.42578125" style="67" customWidth="1"/>
    <col min="34" max="34" width="14.85546875" style="67" customWidth="1"/>
    <col min="35" max="35" width="20.5703125" style="67" customWidth="1"/>
    <col min="36" max="44" width="14.85546875" style="67" customWidth="1"/>
    <col min="45" max="45" width="0.28515625" style="67" customWidth="1"/>
    <col min="46" max="46" width="14.140625" style="84" customWidth="1"/>
    <col min="47" max="47" width="14.140625" style="75" customWidth="1"/>
    <col min="48" max="48" width="13.42578125" style="39" customWidth="1"/>
    <col min="49" max="16384" width="9.140625" style="39"/>
  </cols>
  <sheetData>
    <row r="1" spans="1:48" hidden="1" x14ac:dyDescent="0.35">
      <c r="A1" s="57"/>
      <c r="B1" s="57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74"/>
      <c r="AU1" s="59"/>
    </row>
    <row r="2" spans="1:48" s="56" customFormat="1" ht="46.5" hidden="1" customHeight="1" x14ac:dyDescent="0.35">
      <c r="C2" s="58"/>
      <c r="D2" s="58"/>
      <c r="E2" s="58"/>
      <c r="F2" s="58"/>
      <c r="G2" s="58" t="s">
        <v>4232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75"/>
    </row>
    <row r="3" spans="1:48" s="20" customFormat="1" ht="66" customHeight="1" x14ac:dyDescent="0.4">
      <c r="C3" s="86" t="s">
        <v>1</v>
      </c>
      <c r="D3" s="86" t="s">
        <v>2</v>
      </c>
      <c r="E3" s="86" t="s">
        <v>1800</v>
      </c>
      <c r="F3" s="86" t="s">
        <v>4228</v>
      </c>
      <c r="G3" s="86" t="s">
        <v>4240</v>
      </c>
      <c r="H3" s="60"/>
      <c r="I3" s="60" t="s">
        <v>4235</v>
      </c>
      <c r="J3" s="64" t="s">
        <v>1802</v>
      </c>
      <c r="K3" s="60" t="s">
        <v>4234</v>
      </c>
      <c r="L3" s="64" t="s">
        <v>1802</v>
      </c>
      <c r="M3" s="60"/>
      <c r="N3" s="60" t="s">
        <v>4233</v>
      </c>
      <c r="O3" s="60"/>
      <c r="P3" s="60"/>
      <c r="Q3" s="60" t="s">
        <v>4</v>
      </c>
      <c r="R3" s="61" t="s">
        <v>4256</v>
      </c>
      <c r="S3" s="61" t="s">
        <v>195</v>
      </c>
      <c r="T3" s="61" t="s">
        <v>193</v>
      </c>
      <c r="U3" s="62" t="s">
        <v>197</v>
      </c>
      <c r="V3" s="63" t="s">
        <v>198</v>
      </c>
      <c r="W3" s="63" t="s">
        <v>195</v>
      </c>
      <c r="X3" s="60" t="s">
        <v>4234</v>
      </c>
      <c r="Y3" s="63"/>
      <c r="Z3" s="60" t="s">
        <v>4231</v>
      </c>
      <c r="AA3" s="64" t="s">
        <v>1801</v>
      </c>
      <c r="AB3" s="64" t="s">
        <v>1804</v>
      </c>
      <c r="AC3" s="64" t="s">
        <v>1802</v>
      </c>
      <c r="AD3" s="65" t="s">
        <v>1805</v>
      </c>
      <c r="AE3" s="66" t="s">
        <v>1802</v>
      </c>
      <c r="AF3" s="76" t="s">
        <v>1803</v>
      </c>
      <c r="AG3" s="77" t="s">
        <v>193</v>
      </c>
      <c r="AH3" s="78" t="s">
        <v>9</v>
      </c>
      <c r="AI3" s="78" t="s">
        <v>193</v>
      </c>
      <c r="AJ3" s="76" t="s">
        <v>10</v>
      </c>
      <c r="AK3" s="76" t="s">
        <v>193</v>
      </c>
      <c r="AL3" s="76" t="s">
        <v>4225</v>
      </c>
      <c r="AM3" s="76" t="s">
        <v>193</v>
      </c>
      <c r="AN3" s="76" t="s">
        <v>4226</v>
      </c>
      <c r="AO3" s="76" t="s">
        <v>193</v>
      </c>
      <c r="AP3" s="76" t="s">
        <v>4227</v>
      </c>
      <c r="AQ3" s="76" t="s">
        <v>193</v>
      </c>
      <c r="AR3" s="79" t="s">
        <v>201</v>
      </c>
      <c r="AS3" s="79" t="s">
        <v>200</v>
      </c>
      <c r="AT3" s="80" t="s">
        <v>197</v>
      </c>
      <c r="AU3" s="79" t="s">
        <v>4230</v>
      </c>
      <c r="AV3" s="122" t="s">
        <v>4546</v>
      </c>
    </row>
    <row r="4" spans="1:48" ht="39.950000000000003" customHeight="1" x14ac:dyDescent="0.35">
      <c r="A4" s="159">
        <v>2</v>
      </c>
      <c r="B4" s="159">
        <v>1</v>
      </c>
      <c r="C4" s="157" t="s">
        <v>4237</v>
      </c>
      <c r="D4" s="157" t="s">
        <v>4435</v>
      </c>
      <c r="E4" s="157" t="s">
        <v>4239</v>
      </c>
      <c r="F4" s="163"/>
      <c r="G4" s="163" t="s">
        <v>4241</v>
      </c>
      <c r="H4" s="163"/>
      <c r="I4" s="163" t="s">
        <v>4392</v>
      </c>
      <c r="J4" s="163" t="s">
        <v>4449</v>
      </c>
      <c r="K4" s="163">
        <v>9000</v>
      </c>
      <c r="L4" s="163" t="s">
        <v>4656</v>
      </c>
      <c r="M4" s="163"/>
      <c r="N4" s="163"/>
      <c r="O4" s="165"/>
      <c r="X4" s="59"/>
      <c r="Y4" s="59"/>
      <c r="Z4" s="163"/>
      <c r="AA4" s="68">
        <v>30000</v>
      </c>
      <c r="AB4" s="68">
        <v>5000</v>
      </c>
      <c r="AC4" s="68" t="s">
        <v>4238</v>
      </c>
      <c r="AD4" s="68">
        <v>5000</v>
      </c>
      <c r="AE4" s="68" t="s">
        <v>4364</v>
      </c>
      <c r="AF4" s="68">
        <v>5000</v>
      </c>
      <c r="AG4" s="68" t="s">
        <v>4376</v>
      </c>
      <c r="AH4" s="68">
        <v>5000</v>
      </c>
      <c r="AI4" s="68" t="s">
        <v>4398</v>
      </c>
      <c r="AJ4" s="68">
        <v>5000</v>
      </c>
      <c r="AK4" s="68" t="s">
        <v>4490</v>
      </c>
      <c r="AL4" s="68">
        <v>5000</v>
      </c>
      <c r="AM4" s="68" t="s">
        <v>4596</v>
      </c>
      <c r="AN4" s="68"/>
      <c r="AO4" s="68"/>
      <c r="AP4" s="68"/>
      <c r="AQ4" s="68"/>
      <c r="AR4" s="68"/>
      <c r="AS4" s="68"/>
      <c r="AT4" s="81">
        <f t="shared" ref="AT4:AT21" si="0">AA4-AB4-AD4-AF4-AH4-AJ4-AL4-AN4-AP4-AR4+AS4</f>
        <v>0</v>
      </c>
      <c r="AU4" s="68">
        <f>AB4+AD4+AF4+AH4+AJ4+AL4</f>
        <v>30000</v>
      </c>
    </row>
    <row r="5" spans="1:48" ht="39.75" customHeight="1" x14ac:dyDescent="0.35">
      <c r="A5" s="160"/>
      <c r="B5" s="160"/>
      <c r="C5" s="158"/>
      <c r="D5" s="158"/>
      <c r="E5" s="158"/>
      <c r="F5" s="164"/>
      <c r="G5" s="164"/>
      <c r="H5" s="164"/>
      <c r="I5" s="164"/>
      <c r="J5" s="164"/>
      <c r="K5" s="164"/>
      <c r="L5" s="164"/>
      <c r="M5" s="164"/>
      <c r="N5" s="164"/>
      <c r="O5" s="166"/>
      <c r="X5" s="70"/>
      <c r="Y5" s="70"/>
      <c r="Z5" s="164"/>
      <c r="AA5" s="67">
        <v>30000</v>
      </c>
      <c r="AB5" s="67">
        <v>5000</v>
      </c>
      <c r="AC5" s="67" t="s">
        <v>4603</v>
      </c>
      <c r="AT5" s="82">
        <f t="shared" si="0"/>
        <v>25000</v>
      </c>
      <c r="AU5" s="68">
        <f t="shared" ref="AU5:AU25" si="1">AB5+AD5+AF5+AH5+AJ5+AN4+AP4</f>
        <v>5000</v>
      </c>
    </row>
    <row r="6" spans="1:48" ht="39.950000000000003" customHeight="1" x14ac:dyDescent="0.35">
      <c r="A6" s="159">
        <v>3</v>
      </c>
      <c r="B6" s="159">
        <v>2</v>
      </c>
      <c r="C6" s="157" t="s">
        <v>4253</v>
      </c>
      <c r="D6" s="157" t="s">
        <v>4254</v>
      </c>
      <c r="E6" s="157" t="s">
        <v>4239</v>
      </c>
      <c r="F6" s="163"/>
      <c r="G6" s="163">
        <v>3042578183</v>
      </c>
      <c r="H6" s="157"/>
      <c r="I6" s="157" t="s">
        <v>4392</v>
      </c>
      <c r="J6" s="163"/>
      <c r="K6" s="163">
        <f>9000+4000</f>
        <v>13000</v>
      </c>
      <c r="L6" s="163" t="s">
        <v>4593</v>
      </c>
      <c r="M6" s="163"/>
      <c r="N6" s="163"/>
      <c r="O6" s="165"/>
      <c r="X6" s="59"/>
      <c r="Y6" s="59"/>
      <c r="Z6" s="163"/>
      <c r="AA6" s="67">
        <v>30000</v>
      </c>
      <c r="AB6" s="67">
        <v>30000</v>
      </c>
      <c r="AC6" s="67" t="s">
        <v>4255</v>
      </c>
      <c r="AT6" s="82">
        <f t="shared" si="0"/>
        <v>0</v>
      </c>
      <c r="AU6" s="68">
        <f t="shared" si="1"/>
        <v>30000</v>
      </c>
    </row>
    <row r="7" spans="1:48" ht="39.75" customHeight="1" x14ac:dyDescent="0.35">
      <c r="A7" s="160"/>
      <c r="B7" s="160"/>
      <c r="C7" s="158"/>
      <c r="D7" s="158"/>
      <c r="E7" s="158"/>
      <c r="F7" s="164"/>
      <c r="G7" s="164"/>
      <c r="H7" s="158"/>
      <c r="I7" s="158"/>
      <c r="J7" s="164"/>
      <c r="K7" s="164"/>
      <c r="L7" s="164"/>
      <c r="M7" s="164"/>
      <c r="N7" s="164"/>
      <c r="O7" s="166"/>
      <c r="X7" s="70"/>
      <c r="Y7" s="70"/>
      <c r="Z7" s="164"/>
      <c r="AA7" s="67">
        <v>30000</v>
      </c>
      <c r="AB7" s="67">
        <v>30000</v>
      </c>
      <c r="AC7" s="67" t="s">
        <v>4593</v>
      </c>
      <c r="AT7" s="82">
        <f t="shared" si="0"/>
        <v>0</v>
      </c>
      <c r="AU7" s="68">
        <f t="shared" si="1"/>
        <v>30000</v>
      </c>
    </row>
    <row r="8" spans="1:48" ht="39.950000000000003" customHeight="1" x14ac:dyDescent="0.35">
      <c r="A8" s="159">
        <v>5</v>
      </c>
      <c r="B8" s="159">
        <v>3</v>
      </c>
      <c r="C8" s="157" t="s">
        <v>4425</v>
      </c>
      <c r="D8" s="157" t="s">
        <v>4264</v>
      </c>
      <c r="E8" s="157" t="s">
        <v>4239</v>
      </c>
      <c r="F8" s="163"/>
      <c r="G8" s="163">
        <v>3042578183</v>
      </c>
      <c r="H8" s="157"/>
      <c r="I8" s="157" t="s">
        <v>4392</v>
      </c>
      <c r="J8" s="163" t="s">
        <v>4452</v>
      </c>
      <c r="K8" s="163"/>
      <c r="L8" s="163"/>
      <c r="M8" s="184"/>
      <c r="N8" s="163"/>
      <c r="O8" s="165"/>
      <c r="X8" s="59"/>
      <c r="Y8" s="59"/>
      <c r="Z8" s="163"/>
      <c r="AA8" s="67">
        <v>30000</v>
      </c>
      <c r="AB8" s="67">
        <v>5000</v>
      </c>
      <c r="AC8" s="67" t="s">
        <v>4265</v>
      </c>
      <c r="AD8" s="67">
        <v>10000</v>
      </c>
      <c r="AE8" s="67" t="s">
        <v>4300</v>
      </c>
      <c r="AF8" s="67">
        <v>15000</v>
      </c>
      <c r="AG8" s="67" t="s">
        <v>4550</v>
      </c>
      <c r="AT8" s="82">
        <f t="shared" si="0"/>
        <v>0</v>
      </c>
      <c r="AU8" s="68">
        <f t="shared" si="1"/>
        <v>30000</v>
      </c>
    </row>
    <row r="9" spans="1:48" ht="39.75" customHeight="1" x14ac:dyDescent="0.35">
      <c r="A9" s="160"/>
      <c r="B9" s="160"/>
      <c r="C9" s="158"/>
      <c r="D9" s="158"/>
      <c r="E9" s="158"/>
      <c r="F9" s="164"/>
      <c r="G9" s="164"/>
      <c r="H9" s="158"/>
      <c r="I9" s="158"/>
      <c r="J9" s="164"/>
      <c r="K9" s="164"/>
      <c r="L9" s="164"/>
      <c r="M9" s="185"/>
      <c r="N9" s="164"/>
      <c r="O9" s="166"/>
      <c r="X9" s="70"/>
      <c r="Y9" s="70"/>
      <c r="Z9" s="164"/>
      <c r="AA9" s="67">
        <v>30000</v>
      </c>
      <c r="AB9" s="67">
        <v>9000</v>
      </c>
      <c r="AC9" s="67" t="s">
        <v>4592</v>
      </c>
      <c r="AD9" s="67">
        <v>12000</v>
      </c>
      <c r="AE9" s="67" t="s">
        <v>4627</v>
      </c>
      <c r="AT9" s="82">
        <f t="shared" si="0"/>
        <v>9000</v>
      </c>
      <c r="AU9" s="68">
        <f t="shared" si="1"/>
        <v>21000</v>
      </c>
    </row>
    <row r="10" spans="1:48" ht="39.950000000000003" customHeight="1" x14ac:dyDescent="0.35">
      <c r="A10" s="159">
        <v>6</v>
      </c>
      <c r="B10" s="159">
        <v>4</v>
      </c>
      <c r="C10" s="157" t="s">
        <v>4278</v>
      </c>
      <c r="D10" s="157" t="s">
        <v>4279</v>
      </c>
      <c r="E10" s="157" t="s">
        <v>4239</v>
      </c>
      <c r="F10" s="163"/>
      <c r="G10" s="163" t="s">
        <v>4314</v>
      </c>
      <c r="H10" s="163"/>
      <c r="I10" s="163" t="s">
        <v>4392</v>
      </c>
      <c r="J10" s="163" t="s">
        <v>4452</v>
      </c>
      <c r="K10" s="163"/>
      <c r="L10" s="163"/>
      <c r="M10" s="163"/>
      <c r="N10" s="163"/>
      <c r="O10" s="165"/>
      <c r="X10" s="59"/>
      <c r="Y10" s="59"/>
      <c r="Z10" s="163"/>
      <c r="AA10" s="67">
        <v>30000</v>
      </c>
      <c r="AB10" s="67">
        <v>5000</v>
      </c>
      <c r="AC10" s="67" t="s">
        <v>4273</v>
      </c>
      <c r="AD10" s="67">
        <v>16000</v>
      </c>
      <c r="AE10" s="67" t="s">
        <v>4551</v>
      </c>
      <c r="AF10" s="67">
        <v>9000</v>
      </c>
      <c r="AT10" s="82">
        <f t="shared" si="0"/>
        <v>0</v>
      </c>
      <c r="AU10" s="68">
        <f t="shared" si="1"/>
        <v>30000</v>
      </c>
    </row>
    <row r="11" spans="1:48" ht="39.950000000000003" customHeight="1" x14ac:dyDescent="0.35">
      <c r="A11" s="160"/>
      <c r="B11" s="160"/>
      <c r="C11" s="158"/>
      <c r="D11" s="158"/>
      <c r="E11" s="158"/>
      <c r="F11" s="164"/>
      <c r="G11" s="164"/>
      <c r="H11" s="164"/>
      <c r="I11" s="164"/>
      <c r="J11" s="164"/>
      <c r="K11" s="164"/>
      <c r="L11" s="164"/>
      <c r="M11" s="164"/>
      <c r="N11" s="164"/>
      <c r="O11" s="166"/>
      <c r="X11" s="70"/>
      <c r="Y11" s="70"/>
      <c r="Z11" s="164"/>
      <c r="AA11" s="67">
        <v>30000</v>
      </c>
      <c r="AB11" s="67">
        <v>9000</v>
      </c>
      <c r="AC11" s="67" t="s">
        <v>4569</v>
      </c>
      <c r="AD11" s="67">
        <v>10000</v>
      </c>
      <c r="AE11" s="67" t="s">
        <v>4643</v>
      </c>
      <c r="AF11" s="67">
        <v>11000</v>
      </c>
      <c r="AG11" s="67" t="s">
        <v>4668</v>
      </c>
      <c r="AT11" s="82">
        <f t="shared" si="0"/>
        <v>0</v>
      </c>
      <c r="AU11" s="68">
        <f t="shared" si="1"/>
        <v>30000</v>
      </c>
    </row>
    <row r="12" spans="1:48" ht="39.950000000000003" customHeight="1" x14ac:dyDescent="0.35">
      <c r="A12" s="159">
        <v>8</v>
      </c>
      <c r="B12" s="159">
        <v>6</v>
      </c>
      <c r="C12" s="157" t="s">
        <v>4294</v>
      </c>
      <c r="D12" s="157" t="s">
        <v>554</v>
      </c>
      <c r="E12" s="157" t="s">
        <v>4239</v>
      </c>
      <c r="F12" s="163"/>
      <c r="G12" s="163">
        <v>3036605730</v>
      </c>
      <c r="H12" s="163"/>
      <c r="I12" s="163" t="s">
        <v>4392</v>
      </c>
      <c r="J12" s="163" t="s">
        <v>4447</v>
      </c>
      <c r="K12" s="163">
        <v>9000</v>
      </c>
      <c r="L12" s="163" t="s">
        <v>4664</v>
      </c>
      <c r="M12" s="163"/>
      <c r="N12" s="163"/>
      <c r="O12" s="165"/>
      <c r="X12" s="165"/>
      <c r="Y12" s="165"/>
      <c r="Z12" s="163"/>
      <c r="AA12" s="67">
        <v>30000</v>
      </c>
      <c r="AB12" s="67">
        <v>3000</v>
      </c>
      <c r="AC12" s="67" t="s">
        <v>4295</v>
      </c>
      <c r="AD12" s="67">
        <v>11000</v>
      </c>
      <c r="AE12" s="67" t="s">
        <v>4446</v>
      </c>
      <c r="AF12" s="67">
        <v>16000</v>
      </c>
      <c r="AG12" s="67" t="s">
        <v>4666</v>
      </c>
      <c r="AT12" s="82">
        <f t="shared" si="0"/>
        <v>0</v>
      </c>
      <c r="AU12" s="68">
        <f t="shared" si="1"/>
        <v>30000</v>
      </c>
    </row>
    <row r="13" spans="1:48" ht="39.950000000000003" customHeight="1" x14ac:dyDescent="0.35">
      <c r="A13" s="160"/>
      <c r="B13" s="160"/>
      <c r="C13" s="158"/>
      <c r="D13" s="158"/>
      <c r="E13" s="158"/>
      <c r="F13" s="164"/>
      <c r="G13" s="164"/>
      <c r="H13" s="164"/>
      <c r="I13" s="164"/>
      <c r="J13" s="164"/>
      <c r="K13" s="164"/>
      <c r="L13" s="164"/>
      <c r="M13" s="164"/>
      <c r="N13" s="164"/>
      <c r="O13" s="166"/>
      <c r="X13" s="166"/>
      <c r="Y13" s="166"/>
      <c r="Z13" s="164"/>
      <c r="AA13" s="67">
        <v>30000</v>
      </c>
      <c r="AB13" s="67">
        <v>7000</v>
      </c>
      <c r="AC13" s="67" t="s">
        <v>4667</v>
      </c>
      <c r="AT13" s="82">
        <f t="shared" si="0"/>
        <v>23000</v>
      </c>
      <c r="AU13" s="68">
        <f t="shared" si="1"/>
        <v>7000</v>
      </c>
    </row>
    <row r="14" spans="1:48" ht="39.950000000000003" customHeight="1" x14ac:dyDescent="0.35">
      <c r="A14" s="159">
        <v>11</v>
      </c>
      <c r="B14" s="159">
        <v>7</v>
      </c>
      <c r="C14" s="157" t="s">
        <v>4322</v>
      </c>
      <c r="D14" s="157" t="s">
        <v>1433</v>
      </c>
      <c r="E14" s="157" t="s">
        <v>4239</v>
      </c>
      <c r="F14" s="163"/>
      <c r="G14" s="163">
        <v>30067811120</v>
      </c>
      <c r="H14" s="163"/>
      <c r="I14" s="163">
        <v>7000</v>
      </c>
      <c r="J14" s="163" t="s">
        <v>4323</v>
      </c>
      <c r="K14" s="163"/>
      <c r="L14" s="163"/>
      <c r="M14" s="163"/>
      <c r="N14" s="163"/>
      <c r="O14" s="165"/>
      <c r="X14" s="59"/>
      <c r="Y14" s="59"/>
      <c r="Z14" s="163"/>
      <c r="AA14" s="67">
        <v>30000</v>
      </c>
      <c r="AB14" s="67">
        <v>3000</v>
      </c>
      <c r="AC14" s="67" t="s">
        <v>4323</v>
      </c>
      <c r="AE14" s="69"/>
      <c r="AT14" s="82">
        <f t="shared" si="0"/>
        <v>27000</v>
      </c>
      <c r="AU14" s="68">
        <f t="shared" si="1"/>
        <v>3000</v>
      </c>
    </row>
    <row r="15" spans="1:48" ht="39.75" customHeight="1" x14ac:dyDescent="0.35">
      <c r="A15" s="160"/>
      <c r="B15" s="160"/>
      <c r="C15" s="158"/>
      <c r="D15" s="158"/>
      <c r="E15" s="158"/>
      <c r="F15" s="164"/>
      <c r="G15" s="164"/>
      <c r="H15" s="164"/>
      <c r="I15" s="164"/>
      <c r="J15" s="164"/>
      <c r="K15" s="164"/>
      <c r="L15" s="164"/>
      <c r="M15" s="164"/>
      <c r="N15" s="164"/>
      <c r="O15" s="166"/>
      <c r="X15" s="70"/>
      <c r="Y15" s="70"/>
      <c r="Z15" s="164"/>
      <c r="AT15" s="82">
        <f t="shared" si="0"/>
        <v>0</v>
      </c>
      <c r="AU15" s="68">
        <f t="shared" si="1"/>
        <v>0</v>
      </c>
    </row>
    <row r="16" spans="1:48" ht="39.950000000000003" customHeight="1" x14ac:dyDescent="0.35">
      <c r="A16" s="159">
        <v>22</v>
      </c>
      <c r="B16" s="159">
        <v>8</v>
      </c>
      <c r="C16" s="157" t="s">
        <v>520</v>
      </c>
      <c r="D16" s="157" t="s">
        <v>4366</v>
      </c>
      <c r="E16" s="157" t="s">
        <v>4239</v>
      </c>
      <c r="F16" s="163"/>
      <c r="G16" s="163" t="s">
        <v>4368</v>
      </c>
      <c r="H16" s="163"/>
      <c r="I16" s="163"/>
      <c r="J16" s="163"/>
      <c r="K16" s="163"/>
      <c r="L16" s="87"/>
      <c r="M16" s="163"/>
      <c r="N16" s="163"/>
      <c r="O16" s="157"/>
      <c r="P16" s="71"/>
      <c r="X16" s="59"/>
      <c r="Y16" s="59"/>
      <c r="Z16" s="163"/>
      <c r="AA16" s="67">
        <v>30000</v>
      </c>
      <c r="AB16" s="67">
        <v>10000</v>
      </c>
      <c r="AC16" s="67" t="s">
        <v>4367</v>
      </c>
      <c r="AT16" s="82">
        <f t="shared" si="0"/>
        <v>20000</v>
      </c>
      <c r="AU16" s="68">
        <f t="shared" si="1"/>
        <v>10000</v>
      </c>
    </row>
    <row r="17" spans="1:48" ht="39.950000000000003" customHeight="1" x14ac:dyDescent="0.35">
      <c r="A17" s="160"/>
      <c r="B17" s="160"/>
      <c r="C17" s="158"/>
      <c r="D17" s="158"/>
      <c r="E17" s="158"/>
      <c r="F17" s="164"/>
      <c r="G17" s="164"/>
      <c r="H17" s="164"/>
      <c r="I17" s="164"/>
      <c r="J17" s="164"/>
      <c r="K17" s="164"/>
      <c r="L17" s="88"/>
      <c r="M17" s="164"/>
      <c r="N17" s="164"/>
      <c r="O17" s="158"/>
      <c r="P17" s="71"/>
      <c r="X17" s="70"/>
      <c r="Y17" s="70"/>
      <c r="Z17" s="164"/>
      <c r="AT17" s="82">
        <f t="shared" si="0"/>
        <v>0</v>
      </c>
      <c r="AU17" s="68">
        <f t="shared" si="1"/>
        <v>0</v>
      </c>
    </row>
    <row r="18" spans="1:48" ht="39.950000000000003" customHeight="1" x14ac:dyDescent="0.35">
      <c r="A18" s="159">
        <v>28</v>
      </c>
      <c r="B18" s="159">
        <v>9</v>
      </c>
      <c r="C18" s="163" t="s">
        <v>4371</v>
      </c>
      <c r="D18" s="163" t="s">
        <v>4372</v>
      </c>
      <c r="E18" s="163" t="s">
        <v>4239</v>
      </c>
      <c r="F18" s="163"/>
      <c r="G18" s="163" t="s">
        <v>4373</v>
      </c>
      <c r="H18" s="163"/>
      <c r="I18" s="163" t="s">
        <v>4392</v>
      </c>
      <c r="J18" s="163" t="s">
        <v>4453</v>
      </c>
      <c r="K18" s="163">
        <v>9000</v>
      </c>
      <c r="L18" s="102" t="s">
        <v>4648</v>
      </c>
      <c r="M18" s="163"/>
      <c r="N18" s="163"/>
      <c r="O18" s="165"/>
      <c r="X18" s="165"/>
      <c r="Y18" s="165"/>
      <c r="AA18" s="67">
        <v>30000</v>
      </c>
      <c r="AB18" s="67">
        <v>9000</v>
      </c>
      <c r="AC18" s="67" t="s">
        <v>4374</v>
      </c>
      <c r="AD18" s="67">
        <v>26000</v>
      </c>
      <c r="AT18" s="82">
        <f t="shared" si="0"/>
        <v>-5000</v>
      </c>
      <c r="AU18" s="68">
        <f t="shared" si="1"/>
        <v>35000</v>
      </c>
      <c r="AV18" s="39" t="s">
        <v>4236</v>
      </c>
    </row>
    <row r="19" spans="1:48" ht="39.75" customHeight="1" x14ac:dyDescent="0.35">
      <c r="A19" s="160"/>
      <c r="B19" s="160"/>
      <c r="C19" s="164"/>
      <c r="D19" s="164"/>
      <c r="E19" s="164"/>
      <c r="F19" s="164"/>
      <c r="G19" s="164"/>
      <c r="H19" s="164"/>
      <c r="I19" s="164"/>
      <c r="J19" s="164"/>
      <c r="K19" s="164"/>
      <c r="L19" s="103"/>
      <c r="M19" s="164"/>
      <c r="N19" s="164"/>
      <c r="O19" s="166"/>
      <c r="X19" s="166"/>
      <c r="Y19" s="166"/>
      <c r="AA19" s="67">
        <v>30000</v>
      </c>
      <c r="AB19" s="67">
        <v>9000</v>
      </c>
      <c r="AC19" s="67" t="s">
        <v>4557</v>
      </c>
      <c r="AD19" s="67">
        <v>9000</v>
      </c>
      <c r="AE19" s="67" t="s">
        <v>4626</v>
      </c>
      <c r="AF19" s="67">
        <v>7000</v>
      </c>
      <c r="AG19" s="67" t="s">
        <v>4678</v>
      </c>
      <c r="AT19" s="82">
        <f t="shared" si="0"/>
        <v>5000</v>
      </c>
      <c r="AU19" s="68">
        <f t="shared" si="1"/>
        <v>25000</v>
      </c>
    </row>
    <row r="20" spans="1:48" ht="39.950000000000003" customHeight="1" x14ac:dyDescent="0.35">
      <c r="A20" s="159">
        <v>34</v>
      </c>
      <c r="B20" s="159">
        <v>10</v>
      </c>
      <c r="C20" s="157" t="s">
        <v>4419</v>
      </c>
      <c r="D20" s="157"/>
      <c r="E20" s="157" t="s">
        <v>4239</v>
      </c>
      <c r="F20" s="163"/>
      <c r="G20" s="163" t="s">
        <v>4433</v>
      </c>
      <c r="H20" s="163"/>
      <c r="I20" s="163"/>
      <c r="J20" s="163"/>
      <c r="K20" s="163"/>
      <c r="L20" s="87"/>
      <c r="M20" s="163"/>
      <c r="N20" s="163"/>
      <c r="O20" s="157"/>
      <c r="P20" s="70"/>
      <c r="Q20" s="70"/>
      <c r="R20" s="70"/>
      <c r="S20" s="70"/>
      <c r="T20" s="70"/>
      <c r="U20" s="70"/>
      <c r="V20" s="70"/>
      <c r="W20" s="70"/>
      <c r="X20" s="75"/>
      <c r="Y20" s="75"/>
      <c r="Z20" s="163"/>
      <c r="AA20" s="70">
        <v>30000</v>
      </c>
      <c r="AB20" s="70"/>
      <c r="AC20" s="70"/>
      <c r="AD20" s="70"/>
      <c r="AE20" s="70"/>
      <c r="AF20" s="75"/>
      <c r="AG20" s="75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83">
        <f t="shared" si="0"/>
        <v>30000</v>
      </c>
      <c r="AU20" s="68">
        <f t="shared" si="1"/>
        <v>0</v>
      </c>
    </row>
    <row r="21" spans="1:48" ht="39.75" customHeight="1" x14ac:dyDescent="0.35">
      <c r="A21" s="160"/>
      <c r="B21" s="160"/>
      <c r="C21" s="158"/>
      <c r="D21" s="158"/>
      <c r="E21" s="158"/>
      <c r="F21" s="164"/>
      <c r="G21" s="164"/>
      <c r="H21" s="164"/>
      <c r="I21" s="164"/>
      <c r="J21" s="164"/>
      <c r="K21" s="164"/>
      <c r="L21" s="88"/>
      <c r="M21" s="164"/>
      <c r="N21" s="164"/>
      <c r="O21" s="158"/>
      <c r="X21" s="70"/>
      <c r="Y21" s="70"/>
      <c r="Z21" s="164"/>
      <c r="AT21" s="82">
        <f t="shared" si="0"/>
        <v>0</v>
      </c>
      <c r="AU21" s="68">
        <f t="shared" si="1"/>
        <v>0</v>
      </c>
    </row>
    <row r="22" spans="1:48" ht="39.950000000000003" customHeight="1" x14ac:dyDescent="0.35">
      <c r="A22" s="159">
        <v>38</v>
      </c>
      <c r="B22" s="159">
        <v>11</v>
      </c>
      <c r="C22" s="157" t="s">
        <v>4420</v>
      </c>
      <c r="D22" s="157" t="s">
        <v>4665</v>
      </c>
      <c r="E22" s="169" t="s">
        <v>4239</v>
      </c>
      <c r="F22" s="157"/>
      <c r="G22" s="163" t="s">
        <v>4434</v>
      </c>
      <c r="H22" s="163"/>
      <c r="I22" s="163" t="s">
        <v>4515</v>
      </c>
      <c r="J22" s="163"/>
      <c r="K22" s="163">
        <v>9000</v>
      </c>
      <c r="L22" s="90" t="s">
        <v>4658</v>
      </c>
      <c r="M22" s="90"/>
      <c r="N22" s="163"/>
      <c r="O22" s="165"/>
      <c r="X22" s="59"/>
      <c r="Y22" s="59"/>
      <c r="Z22" s="163"/>
      <c r="AA22" s="67">
        <v>30000</v>
      </c>
      <c r="AB22" s="67">
        <v>30000</v>
      </c>
      <c r="AC22" s="67" t="s">
        <v>4519</v>
      </c>
      <c r="AT22" s="82">
        <f>AA22-AB22-AD22-AF22-AH22-AJ22-AL22-AN22-AP22-AR22+AS22</f>
        <v>0</v>
      </c>
      <c r="AU22" s="68">
        <f t="shared" si="1"/>
        <v>30000</v>
      </c>
      <c r="AV22" s="39" t="s">
        <v>4236</v>
      </c>
    </row>
    <row r="23" spans="1:48" ht="39.950000000000003" customHeight="1" x14ac:dyDescent="0.35">
      <c r="A23" s="160"/>
      <c r="B23" s="160"/>
      <c r="C23" s="158"/>
      <c r="D23" s="158"/>
      <c r="E23" s="169"/>
      <c r="F23" s="158"/>
      <c r="G23" s="164"/>
      <c r="H23" s="164"/>
      <c r="I23" s="164"/>
      <c r="J23" s="164"/>
      <c r="K23" s="164"/>
      <c r="L23" s="90"/>
      <c r="M23" s="90"/>
      <c r="N23" s="164"/>
      <c r="O23" s="166"/>
      <c r="X23" s="70"/>
      <c r="Y23" s="70"/>
      <c r="Z23" s="164"/>
      <c r="AA23" s="67">
        <v>30000</v>
      </c>
      <c r="AB23" s="67">
        <v>9000</v>
      </c>
      <c r="AC23" s="67" t="s">
        <v>4556</v>
      </c>
      <c r="AD23" s="67">
        <v>9000</v>
      </c>
      <c r="AE23" s="67" t="s">
        <v>4641</v>
      </c>
      <c r="AF23" s="67">
        <v>11000</v>
      </c>
      <c r="AG23" s="67" t="s">
        <v>4662</v>
      </c>
      <c r="AH23" s="67">
        <v>1000</v>
      </c>
      <c r="AI23" s="67" t="s">
        <v>4679</v>
      </c>
      <c r="AT23" s="82">
        <f>AA23-AB23-AD23-AF23-AH23-AJ23-AL23-AN23-AP23-AR23+AS23</f>
        <v>0</v>
      </c>
      <c r="AU23" s="68">
        <f t="shared" si="1"/>
        <v>30000</v>
      </c>
    </row>
    <row r="24" spans="1:48" ht="39.950000000000003" customHeight="1" x14ac:dyDescent="0.35">
      <c r="A24" s="159">
        <v>65</v>
      </c>
      <c r="B24" s="159">
        <v>12</v>
      </c>
      <c r="C24" s="157" t="s">
        <v>4535</v>
      </c>
      <c r="D24" s="157" t="s">
        <v>704</v>
      </c>
      <c r="E24" s="157" t="s">
        <v>4536</v>
      </c>
      <c r="F24" s="186"/>
      <c r="G24" s="163"/>
      <c r="H24" s="157"/>
      <c r="I24" s="163" t="s">
        <v>4566</v>
      </c>
      <c r="J24" s="163" t="s">
        <v>4567</v>
      </c>
      <c r="K24" s="157"/>
      <c r="L24" s="89"/>
      <c r="M24" s="157"/>
      <c r="N24" s="163"/>
      <c r="O24" s="165"/>
      <c r="X24" s="165"/>
      <c r="Y24" s="165"/>
      <c r="AA24" s="67">
        <v>30000</v>
      </c>
      <c r="AB24" s="67">
        <v>20000</v>
      </c>
      <c r="AC24" s="67" t="s">
        <v>4568</v>
      </c>
      <c r="AT24" s="82">
        <f>AA24-AB24-AD24-AF24-AH24-AJ24-AL24-AN24-AP24-AR24+AS24</f>
        <v>10000</v>
      </c>
      <c r="AU24" s="68">
        <f t="shared" si="1"/>
        <v>20000</v>
      </c>
    </row>
    <row r="25" spans="1:48" ht="39.75" customHeight="1" x14ac:dyDescent="0.35">
      <c r="A25" s="160"/>
      <c r="B25" s="160"/>
      <c r="C25" s="158"/>
      <c r="D25" s="158"/>
      <c r="E25" s="158"/>
      <c r="F25" s="187"/>
      <c r="G25" s="164"/>
      <c r="H25" s="158"/>
      <c r="I25" s="164"/>
      <c r="J25" s="164"/>
      <c r="K25" s="158"/>
      <c r="L25" s="123"/>
      <c r="M25" s="158"/>
      <c r="N25" s="164"/>
      <c r="O25" s="166"/>
      <c r="P25" s="59"/>
      <c r="Q25" s="59"/>
      <c r="R25" s="59"/>
      <c r="S25" s="59"/>
      <c r="T25" s="59"/>
      <c r="U25" s="59"/>
      <c r="V25" s="59"/>
      <c r="W25" s="59"/>
      <c r="X25" s="166"/>
      <c r="Y25" s="166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72">
        <f>AA25-AB25-AD25-AF25-AH25-AJ25-AL25-AN25-AP25-AR25+AS25</f>
        <v>0</v>
      </c>
      <c r="AU25" s="68">
        <f t="shared" si="1"/>
        <v>0</v>
      </c>
    </row>
    <row r="26" spans="1:48" s="56" customFormat="1" ht="39.950000000000003" customHeight="1" x14ac:dyDescent="0.35">
      <c r="A26" s="188">
        <v>78</v>
      </c>
      <c r="B26" s="188">
        <v>13</v>
      </c>
      <c r="C26" s="181"/>
      <c r="D26" s="181"/>
      <c r="E26" s="181"/>
      <c r="F26" s="181"/>
      <c r="G26" s="181"/>
      <c r="H26" s="181"/>
      <c r="I26" s="181"/>
      <c r="J26" s="181"/>
      <c r="K26" s="181"/>
      <c r="L26" s="140"/>
      <c r="M26" s="181"/>
      <c r="N26" s="181"/>
      <c r="O26" s="179"/>
      <c r="P26" s="58"/>
      <c r="Q26" s="58"/>
      <c r="R26" s="58"/>
      <c r="S26" s="58"/>
      <c r="T26" s="58"/>
      <c r="U26" s="58"/>
      <c r="V26" s="58"/>
      <c r="W26" s="58"/>
      <c r="X26" s="179"/>
      <c r="Y26" s="179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141"/>
      <c r="AU26" s="137"/>
    </row>
    <row r="27" spans="1:48" s="56" customFormat="1" ht="39.75" customHeight="1" x14ac:dyDescent="0.35">
      <c r="A27" s="188"/>
      <c r="B27" s="188"/>
      <c r="C27" s="181"/>
      <c r="D27" s="181"/>
      <c r="E27" s="181"/>
      <c r="F27" s="181"/>
      <c r="G27" s="181"/>
      <c r="H27" s="181"/>
      <c r="I27" s="181"/>
      <c r="J27" s="181"/>
      <c r="K27" s="181"/>
      <c r="L27" s="140"/>
      <c r="M27" s="181"/>
      <c r="N27" s="181"/>
      <c r="O27" s="179"/>
      <c r="P27" s="58"/>
      <c r="Q27" s="58"/>
      <c r="R27" s="58"/>
      <c r="S27" s="58"/>
      <c r="T27" s="58"/>
      <c r="U27" s="58"/>
      <c r="V27" s="58"/>
      <c r="W27" s="58"/>
      <c r="X27" s="179"/>
      <c r="Y27" s="179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141"/>
      <c r="AU27" s="137"/>
    </row>
    <row r="28" spans="1:48" s="56" customFormat="1" ht="39.950000000000003" customHeight="1" x14ac:dyDescent="0.35">
      <c r="A28" s="188">
        <v>79</v>
      </c>
      <c r="B28" s="188">
        <v>14</v>
      </c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58"/>
      <c r="Q28" s="58"/>
      <c r="R28" s="58"/>
      <c r="S28" s="58"/>
      <c r="T28" s="58"/>
      <c r="U28" s="58"/>
      <c r="V28" s="58"/>
      <c r="W28" s="58"/>
      <c r="X28" s="189"/>
      <c r="Y28" s="189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141"/>
      <c r="AU28" s="137"/>
    </row>
    <row r="29" spans="1:48" s="56" customFormat="1" ht="39.75" customHeight="1" x14ac:dyDescent="0.35">
      <c r="A29" s="188"/>
      <c r="B29" s="188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58"/>
      <c r="Q29" s="58"/>
      <c r="R29" s="58"/>
      <c r="S29" s="58"/>
      <c r="T29" s="58"/>
      <c r="U29" s="58"/>
      <c r="V29" s="58"/>
      <c r="W29" s="58"/>
      <c r="X29" s="189"/>
      <c r="Y29" s="189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141"/>
      <c r="AU29" s="137"/>
    </row>
    <row r="30" spans="1:48" s="56" customFormat="1" ht="47.25" customHeight="1" x14ac:dyDescent="0.35">
      <c r="A30" s="188">
        <v>81</v>
      </c>
      <c r="B30" s="188">
        <v>15</v>
      </c>
      <c r="C30" s="181"/>
      <c r="D30" s="181"/>
      <c r="E30" s="181"/>
      <c r="F30" s="181"/>
      <c r="G30" s="181"/>
      <c r="H30" s="181"/>
      <c r="I30" s="181"/>
      <c r="J30" s="181"/>
      <c r="K30" s="181"/>
      <c r="L30" s="140"/>
      <c r="M30" s="181"/>
      <c r="N30" s="181"/>
      <c r="O30" s="181"/>
      <c r="P30" s="58"/>
      <c r="Q30" s="58"/>
      <c r="R30" s="58"/>
      <c r="S30" s="58"/>
      <c r="T30" s="58"/>
      <c r="U30" s="58"/>
      <c r="V30" s="58"/>
      <c r="W30" s="58"/>
      <c r="X30" s="179"/>
      <c r="Y30" s="179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141"/>
      <c r="AU30" s="137"/>
    </row>
    <row r="31" spans="1:48" s="56" customFormat="1" ht="39.75" customHeight="1" x14ac:dyDescent="0.35">
      <c r="A31" s="188"/>
      <c r="B31" s="188"/>
      <c r="C31" s="181"/>
      <c r="D31" s="181"/>
      <c r="E31" s="181"/>
      <c r="F31" s="181"/>
      <c r="G31" s="181"/>
      <c r="H31" s="181"/>
      <c r="I31" s="181"/>
      <c r="J31" s="181"/>
      <c r="K31" s="181"/>
      <c r="L31" s="140"/>
      <c r="M31" s="181"/>
      <c r="N31" s="181"/>
      <c r="O31" s="181"/>
      <c r="P31" s="58"/>
      <c r="Q31" s="58"/>
      <c r="R31" s="58"/>
      <c r="S31" s="58"/>
      <c r="T31" s="58"/>
      <c r="U31" s="58"/>
      <c r="V31" s="58"/>
      <c r="W31" s="58"/>
      <c r="X31" s="179"/>
      <c r="Y31" s="179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141"/>
      <c r="AU31" s="137"/>
    </row>
    <row r="32" spans="1:48" s="56" customFormat="1" ht="48" customHeight="1" x14ac:dyDescent="0.35">
      <c r="A32" s="188">
        <v>82</v>
      </c>
      <c r="B32" s="188">
        <v>16</v>
      </c>
      <c r="C32" s="189"/>
      <c r="D32" s="189"/>
      <c r="E32" s="189"/>
      <c r="F32" s="181"/>
      <c r="G32" s="181"/>
      <c r="H32" s="181"/>
      <c r="I32" s="181"/>
      <c r="J32" s="181"/>
      <c r="K32" s="181"/>
      <c r="L32" s="140"/>
      <c r="M32" s="181"/>
      <c r="N32" s="181"/>
      <c r="O32" s="179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181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141"/>
      <c r="AU32" s="137"/>
    </row>
    <row r="33" spans="1:47" s="56" customFormat="1" ht="39.950000000000003" customHeight="1" x14ac:dyDescent="0.35">
      <c r="A33" s="188"/>
      <c r="B33" s="188"/>
      <c r="C33" s="189"/>
      <c r="D33" s="189"/>
      <c r="E33" s="189"/>
      <c r="F33" s="181"/>
      <c r="G33" s="181"/>
      <c r="H33" s="181"/>
      <c r="I33" s="181"/>
      <c r="J33" s="181"/>
      <c r="K33" s="181"/>
      <c r="L33" s="140"/>
      <c r="M33" s="181"/>
      <c r="N33" s="181"/>
      <c r="O33" s="179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181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141"/>
      <c r="AU33" s="137"/>
    </row>
    <row r="34" spans="1:47" s="56" customFormat="1" ht="39.950000000000003" customHeight="1" x14ac:dyDescent="0.35">
      <c r="A34" s="188">
        <v>83</v>
      </c>
      <c r="B34" s="188">
        <v>17</v>
      </c>
      <c r="C34" s="181"/>
      <c r="D34" s="181"/>
      <c r="E34" s="181"/>
      <c r="F34" s="181"/>
      <c r="G34" s="181"/>
      <c r="H34" s="181"/>
      <c r="I34" s="181"/>
      <c r="J34" s="181"/>
      <c r="K34" s="181"/>
      <c r="L34" s="179"/>
      <c r="M34" s="181"/>
      <c r="N34" s="181"/>
      <c r="O34" s="181"/>
      <c r="P34" s="58"/>
      <c r="Q34" s="58"/>
      <c r="R34" s="58"/>
      <c r="S34" s="58"/>
      <c r="T34" s="58"/>
      <c r="U34" s="58"/>
      <c r="V34" s="58"/>
      <c r="W34" s="58"/>
      <c r="X34" s="179"/>
      <c r="Y34" s="179"/>
      <c r="Z34" s="179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141"/>
      <c r="AU34" s="137"/>
    </row>
    <row r="35" spans="1:47" s="56" customFormat="1" ht="39.950000000000003" customHeight="1" x14ac:dyDescent="0.35">
      <c r="A35" s="188"/>
      <c r="B35" s="188"/>
      <c r="C35" s="181"/>
      <c r="D35" s="181"/>
      <c r="E35" s="181"/>
      <c r="F35" s="181"/>
      <c r="G35" s="181"/>
      <c r="H35" s="181"/>
      <c r="I35" s="181"/>
      <c r="J35" s="181"/>
      <c r="K35" s="181"/>
      <c r="L35" s="179"/>
      <c r="M35" s="181"/>
      <c r="N35" s="181"/>
      <c r="O35" s="181"/>
      <c r="P35" s="58"/>
      <c r="Q35" s="58"/>
      <c r="R35" s="58"/>
      <c r="S35" s="58"/>
      <c r="T35" s="58"/>
      <c r="U35" s="58"/>
      <c r="V35" s="58"/>
      <c r="W35" s="58"/>
      <c r="X35" s="179"/>
      <c r="Y35" s="179"/>
      <c r="Z35" s="179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141"/>
      <c r="AU35" s="137"/>
    </row>
    <row r="36" spans="1:47" s="56" customFormat="1" ht="39.950000000000003" customHeight="1" x14ac:dyDescent="0.35">
      <c r="A36" s="188">
        <v>84</v>
      </c>
      <c r="B36" s="188">
        <v>18</v>
      </c>
      <c r="C36" s="181"/>
      <c r="D36" s="181"/>
      <c r="E36" s="181"/>
      <c r="F36" s="181"/>
      <c r="G36" s="181"/>
      <c r="H36" s="181"/>
      <c r="I36" s="181"/>
      <c r="J36" s="181"/>
      <c r="K36" s="181"/>
      <c r="L36" s="140"/>
      <c r="M36" s="181"/>
      <c r="N36" s="181"/>
      <c r="O36" s="179"/>
      <c r="P36" s="58"/>
      <c r="Q36" s="58"/>
      <c r="R36" s="58"/>
      <c r="S36" s="58"/>
      <c r="T36" s="58"/>
      <c r="U36" s="58"/>
      <c r="V36" s="58"/>
      <c r="W36" s="58"/>
      <c r="X36" s="179"/>
      <c r="Y36" s="179"/>
      <c r="Z36" s="179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141"/>
      <c r="AU36" s="137"/>
    </row>
    <row r="37" spans="1:47" s="56" customFormat="1" ht="39.75" customHeight="1" x14ac:dyDescent="0.35">
      <c r="A37" s="188"/>
      <c r="B37" s="188"/>
      <c r="C37" s="181"/>
      <c r="D37" s="181"/>
      <c r="E37" s="181"/>
      <c r="F37" s="181"/>
      <c r="G37" s="181"/>
      <c r="H37" s="181"/>
      <c r="I37" s="181"/>
      <c r="J37" s="181"/>
      <c r="K37" s="181"/>
      <c r="L37" s="140"/>
      <c r="M37" s="181"/>
      <c r="N37" s="181"/>
      <c r="O37" s="179"/>
      <c r="P37" s="58"/>
      <c r="Q37" s="58"/>
      <c r="R37" s="58"/>
      <c r="S37" s="58"/>
      <c r="T37" s="58"/>
      <c r="U37" s="58"/>
      <c r="V37" s="58"/>
      <c r="W37" s="58"/>
      <c r="X37" s="179"/>
      <c r="Y37" s="179"/>
      <c r="Z37" s="179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141"/>
      <c r="AU37" s="137"/>
    </row>
    <row r="38" spans="1:47" s="56" customFormat="1" ht="39.950000000000003" customHeight="1" x14ac:dyDescent="0.35">
      <c r="A38" s="188">
        <v>85</v>
      </c>
      <c r="B38" s="188">
        <v>19</v>
      </c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58"/>
      <c r="Q38" s="58"/>
      <c r="R38" s="58"/>
      <c r="S38" s="58"/>
      <c r="T38" s="58"/>
      <c r="U38" s="58"/>
      <c r="V38" s="58"/>
      <c r="W38" s="58"/>
      <c r="X38" s="179"/>
      <c r="Y38" s="179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141"/>
      <c r="AU38" s="137"/>
    </row>
    <row r="39" spans="1:47" s="56" customFormat="1" ht="39.75" customHeight="1" x14ac:dyDescent="0.35">
      <c r="A39" s="188"/>
      <c r="B39" s="188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58"/>
      <c r="Q39" s="58"/>
      <c r="R39" s="58"/>
      <c r="S39" s="58"/>
      <c r="T39" s="58"/>
      <c r="U39" s="58"/>
      <c r="V39" s="58"/>
      <c r="W39" s="58"/>
      <c r="X39" s="179"/>
      <c r="Y39" s="179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141"/>
      <c r="AU39" s="137"/>
    </row>
    <row r="40" spans="1:47" s="56" customFormat="1" ht="39.950000000000003" customHeight="1" x14ac:dyDescent="0.35">
      <c r="A40" s="188">
        <v>86</v>
      </c>
      <c r="B40" s="188">
        <v>20</v>
      </c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58"/>
      <c r="Q40" s="58"/>
      <c r="R40" s="58"/>
      <c r="S40" s="58"/>
      <c r="T40" s="58"/>
      <c r="U40" s="58"/>
      <c r="V40" s="58"/>
      <c r="W40" s="58"/>
      <c r="X40" s="179"/>
      <c r="Y40" s="179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141"/>
      <c r="AU40" s="137"/>
    </row>
    <row r="41" spans="1:47" s="56" customFormat="1" ht="39.75" customHeight="1" x14ac:dyDescent="0.35">
      <c r="A41" s="188"/>
      <c r="B41" s="188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58"/>
      <c r="Q41" s="58"/>
      <c r="R41" s="58"/>
      <c r="S41" s="58"/>
      <c r="T41" s="58"/>
      <c r="U41" s="58"/>
      <c r="V41" s="58"/>
      <c r="W41" s="58"/>
      <c r="X41" s="179"/>
      <c r="Y41" s="179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141"/>
      <c r="AU41" s="137"/>
    </row>
    <row r="42" spans="1:47" s="56" customFormat="1" ht="49.5" customHeight="1" x14ac:dyDescent="0.35">
      <c r="A42" s="188">
        <v>87</v>
      </c>
      <c r="B42" s="188">
        <v>21</v>
      </c>
      <c r="C42" s="181"/>
      <c r="D42" s="181"/>
      <c r="E42" s="181"/>
      <c r="F42" s="181"/>
      <c r="G42" s="181"/>
      <c r="H42" s="181"/>
      <c r="I42" s="181"/>
      <c r="J42" s="181"/>
      <c r="K42" s="181"/>
      <c r="L42" s="140"/>
      <c r="M42" s="181"/>
      <c r="N42" s="181"/>
      <c r="O42" s="179"/>
      <c r="P42" s="58"/>
      <c r="Q42" s="58"/>
      <c r="R42" s="58"/>
      <c r="S42" s="58"/>
      <c r="T42" s="58"/>
      <c r="U42" s="58"/>
      <c r="V42" s="58"/>
      <c r="W42" s="58"/>
      <c r="X42" s="179"/>
      <c r="Y42" s="179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141"/>
      <c r="AU42" s="137"/>
    </row>
    <row r="43" spans="1:47" s="56" customFormat="1" ht="39.75" customHeight="1" x14ac:dyDescent="0.35">
      <c r="A43" s="188"/>
      <c r="B43" s="188"/>
      <c r="C43" s="181"/>
      <c r="D43" s="181"/>
      <c r="E43" s="181"/>
      <c r="F43" s="181"/>
      <c r="G43" s="181"/>
      <c r="H43" s="181"/>
      <c r="I43" s="181"/>
      <c r="J43" s="181"/>
      <c r="K43" s="181"/>
      <c r="L43" s="140"/>
      <c r="M43" s="181"/>
      <c r="N43" s="181"/>
      <c r="O43" s="179"/>
      <c r="P43" s="58"/>
      <c r="Q43" s="58"/>
      <c r="R43" s="58"/>
      <c r="S43" s="58"/>
      <c r="T43" s="58"/>
      <c r="U43" s="58"/>
      <c r="V43" s="58"/>
      <c r="W43" s="58"/>
      <c r="X43" s="179"/>
      <c r="Y43" s="179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141"/>
      <c r="AU43" s="137"/>
    </row>
    <row r="44" spans="1:47" s="56" customFormat="1" ht="39.950000000000003" customHeight="1" x14ac:dyDescent="0.35">
      <c r="A44" s="188">
        <v>88</v>
      </c>
      <c r="B44" s="188">
        <v>22</v>
      </c>
      <c r="C44" s="181"/>
      <c r="D44" s="181"/>
      <c r="E44" s="181"/>
      <c r="F44" s="181"/>
      <c r="G44" s="181"/>
      <c r="H44" s="181"/>
      <c r="I44" s="181"/>
      <c r="J44" s="181"/>
      <c r="K44" s="181"/>
      <c r="L44" s="140"/>
      <c r="M44" s="181"/>
      <c r="N44" s="181"/>
      <c r="O44" s="181"/>
      <c r="P44" s="58"/>
      <c r="Q44" s="58"/>
      <c r="R44" s="58"/>
      <c r="S44" s="58"/>
      <c r="T44" s="58"/>
      <c r="U44" s="58"/>
      <c r="V44" s="58"/>
      <c r="W44" s="58"/>
      <c r="X44" s="179"/>
      <c r="Y44" s="179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141"/>
      <c r="AU44" s="137"/>
    </row>
    <row r="45" spans="1:47" s="56" customFormat="1" ht="39.75" customHeight="1" x14ac:dyDescent="0.35">
      <c r="A45" s="188"/>
      <c r="B45" s="188"/>
      <c r="C45" s="181"/>
      <c r="D45" s="181"/>
      <c r="E45" s="181"/>
      <c r="F45" s="181"/>
      <c r="G45" s="181"/>
      <c r="H45" s="181"/>
      <c r="I45" s="181"/>
      <c r="J45" s="181"/>
      <c r="K45" s="181"/>
      <c r="L45" s="140"/>
      <c r="M45" s="181"/>
      <c r="N45" s="181"/>
      <c r="O45" s="181"/>
      <c r="P45" s="58"/>
      <c r="Q45" s="58"/>
      <c r="R45" s="58"/>
      <c r="S45" s="58"/>
      <c r="T45" s="58"/>
      <c r="U45" s="58"/>
      <c r="V45" s="58"/>
      <c r="W45" s="58"/>
      <c r="X45" s="179"/>
      <c r="Y45" s="179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141"/>
      <c r="AU45" s="137"/>
    </row>
    <row r="46" spans="1:47" s="56" customFormat="1" ht="39.75" customHeight="1" x14ac:dyDescent="0.35">
      <c r="A46" s="142"/>
      <c r="B46" s="142"/>
      <c r="C46" s="181"/>
      <c r="D46" s="181"/>
      <c r="E46" s="140"/>
      <c r="F46" s="181"/>
      <c r="G46" s="140"/>
      <c r="H46" s="181"/>
      <c r="I46" s="181"/>
      <c r="J46" s="140"/>
      <c r="K46" s="140"/>
      <c r="L46" s="140"/>
      <c r="M46" s="140"/>
      <c r="N46" s="140"/>
      <c r="O46" s="140"/>
      <c r="P46" s="58"/>
      <c r="Q46" s="58"/>
      <c r="R46" s="58"/>
      <c r="S46" s="58"/>
      <c r="T46" s="58"/>
      <c r="U46" s="58"/>
      <c r="V46" s="58"/>
      <c r="W46" s="58"/>
      <c r="X46" s="179"/>
      <c r="Y46" s="179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141"/>
      <c r="AU46" s="137"/>
    </row>
    <row r="47" spans="1:47" s="56" customFormat="1" ht="39.75" customHeight="1" x14ac:dyDescent="0.35">
      <c r="A47" s="142"/>
      <c r="B47" s="142"/>
      <c r="C47" s="181"/>
      <c r="D47" s="181"/>
      <c r="E47" s="140"/>
      <c r="F47" s="181"/>
      <c r="G47" s="140"/>
      <c r="H47" s="181"/>
      <c r="I47" s="181"/>
      <c r="J47" s="140"/>
      <c r="K47" s="140"/>
      <c r="L47" s="140"/>
      <c r="M47" s="140"/>
      <c r="N47" s="140"/>
      <c r="O47" s="140"/>
      <c r="P47" s="58"/>
      <c r="Q47" s="58"/>
      <c r="R47" s="58"/>
      <c r="S47" s="58"/>
      <c r="T47" s="58"/>
      <c r="U47" s="58"/>
      <c r="V47" s="58"/>
      <c r="W47" s="58"/>
      <c r="X47" s="179"/>
      <c r="Y47" s="179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141"/>
      <c r="AU47" s="137"/>
    </row>
    <row r="48" spans="1:47" s="56" customFormat="1" ht="39.950000000000003" customHeight="1" x14ac:dyDescent="0.35">
      <c r="A48" s="188">
        <v>89</v>
      </c>
      <c r="B48" s="188">
        <v>73</v>
      </c>
      <c r="C48" s="181"/>
      <c r="D48" s="181"/>
      <c r="E48" s="181"/>
      <c r="F48" s="181"/>
      <c r="G48" s="181"/>
      <c r="H48" s="181"/>
      <c r="I48" s="181"/>
      <c r="J48" s="181"/>
      <c r="K48" s="181"/>
      <c r="L48" s="140"/>
      <c r="M48" s="181"/>
      <c r="N48" s="181"/>
      <c r="O48" s="179"/>
      <c r="P48" s="58"/>
      <c r="Q48" s="58"/>
      <c r="R48" s="58"/>
      <c r="S48" s="58"/>
      <c r="T48" s="58"/>
      <c r="U48" s="58"/>
      <c r="V48" s="58"/>
      <c r="W48" s="58"/>
      <c r="X48" s="179"/>
      <c r="Y48" s="179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141"/>
      <c r="AU48" s="137"/>
    </row>
    <row r="49" spans="1:47" s="56" customFormat="1" ht="39.950000000000003" customHeight="1" x14ac:dyDescent="0.35">
      <c r="A49" s="188"/>
      <c r="B49" s="188"/>
      <c r="C49" s="181"/>
      <c r="D49" s="181"/>
      <c r="E49" s="181"/>
      <c r="F49" s="181"/>
      <c r="G49" s="181"/>
      <c r="H49" s="181"/>
      <c r="I49" s="181"/>
      <c r="J49" s="181"/>
      <c r="K49" s="181"/>
      <c r="L49" s="140"/>
      <c r="M49" s="181"/>
      <c r="N49" s="181"/>
      <c r="O49" s="179"/>
      <c r="P49" s="58"/>
      <c r="Q49" s="58"/>
      <c r="R49" s="58"/>
      <c r="S49" s="58"/>
      <c r="T49" s="58"/>
      <c r="U49" s="58"/>
      <c r="V49" s="58"/>
      <c r="W49" s="58"/>
      <c r="X49" s="179"/>
      <c r="Y49" s="179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141"/>
      <c r="AU49" s="137"/>
    </row>
    <row r="50" spans="1:47" s="56" customFormat="1" ht="51.75" customHeight="1" x14ac:dyDescent="0.35">
      <c r="A50" s="188">
        <v>91</v>
      </c>
      <c r="B50" s="188">
        <v>74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40"/>
      <c r="M50" s="181"/>
      <c r="N50" s="181"/>
      <c r="O50" s="179"/>
      <c r="P50" s="58"/>
      <c r="Q50" s="58"/>
      <c r="R50" s="58"/>
      <c r="S50" s="58"/>
      <c r="T50" s="58"/>
      <c r="U50" s="58"/>
      <c r="V50" s="58"/>
      <c r="W50" s="58"/>
      <c r="X50" s="179"/>
      <c r="Y50" s="179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141"/>
      <c r="AU50" s="137"/>
    </row>
    <row r="51" spans="1:47" s="56" customFormat="1" ht="39.950000000000003" customHeight="1" x14ac:dyDescent="0.35">
      <c r="A51" s="188"/>
      <c r="B51" s="188"/>
      <c r="C51" s="181"/>
      <c r="D51" s="181"/>
      <c r="E51" s="181"/>
      <c r="F51" s="181"/>
      <c r="G51" s="181"/>
      <c r="H51" s="181"/>
      <c r="I51" s="181"/>
      <c r="J51" s="181"/>
      <c r="K51" s="181"/>
      <c r="L51" s="140"/>
      <c r="M51" s="181"/>
      <c r="N51" s="181"/>
      <c r="O51" s="179"/>
      <c r="P51" s="58"/>
      <c r="Q51" s="58"/>
      <c r="R51" s="58"/>
      <c r="S51" s="58"/>
      <c r="T51" s="58"/>
      <c r="U51" s="58"/>
      <c r="V51" s="58"/>
      <c r="W51" s="58"/>
      <c r="X51" s="179"/>
      <c r="Y51" s="179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141"/>
      <c r="AU51" s="137"/>
    </row>
    <row r="52" spans="1:47" s="56" customFormat="1" ht="39.950000000000003" customHeight="1" x14ac:dyDescent="0.35">
      <c r="A52" s="188">
        <v>92</v>
      </c>
      <c r="B52" s="188">
        <v>75</v>
      </c>
      <c r="C52" s="181"/>
      <c r="D52" s="181"/>
      <c r="E52" s="181"/>
      <c r="F52" s="181"/>
      <c r="G52" s="181"/>
      <c r="H52" s="181"/>
      <c r="I52" s="181"/>
      <c r="J52" s="181"/>
      <c r="K52" s="181"/>
      <c r="L52" s="140"/>
      <c r="M52" s="181"/>
      <c r="N52" s="181"/>
      <c r="O52" s="181"/>
      <c r="P52" s="58"/>
      <c r="Q52" s="58"/>
      <c r="R52" s="58"/>
      <c r="S52" s="58"/>
      <c r="T52" s="58"/>
      <c r="U52" s="58"/>
      <c r="V52" s="58"/>
      <c r="W52" s="58"/>
      <c r="X52" s="179"/>
      <c r="Y52" s="179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141"/>
      <c r="AU52" s="137"/>
    </row>
    <row r="53" spans="1:47" s="56" customFormat="1" ht="39.950000000000003" customHeight="1" x14ac:dyDescent="0.35">
      <c r="A53" s="188"/>
      <c r="B53" s="188"/>
      <c r="C53" s="181"/>
      <c r="D53" s="181"/>
      <c r="E53" s="181"/>
      <c r="F53" s="181"/>
      <c r="G53" s="181"/>
      <c r="H53" s="181"/>
      <c r="I53" s="181"/>
      <c r="J53" s="181"/>
      <c r="K53" s="181"/>
      <c r="L53" s="140"/>
      <c r="M53" s="181"/>
      <c r="N53" s="181"/>
      <c r="O53" s="181"/>
      <c r="P53" s="58"/>
      <c r="Q53" s="58"/>
      <c r="R53" s="58"/>
      <c r="S53" s="58"/>
      <c r="T53" s="58"/>
      <c r="U53" s="58"/>
      <c r="V53" s="58"/>
      <c r="W53" s="58"/>
      <c r="X53" s="179"/>
      <c r="Y53" s="179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141"/>
      <c r="AU53" s="137"/>
    </row>
    <row r="54" spans="1:47" s="56" customFormat="1" ht="39.950000000000003" customHeight="1" x14ac:dyDescent="0.35">
      <c r="A54" s="188">
        <v>96</v>
      </c>
      <c r="B54" s="188">
        <v>76</v>
      </c>
      <c r="C54" s="189"/>
      <c r="D54" s="189"/>
      <c r="E54" s="143"/>
      <c r="F54" s="189"/>
      <c r="G54" s="143"/>
      <c r="H54" s="189"/>
      <c r="I54" s="189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89"/>
      <c r="Y54" s="179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141"/>
      <c r="AU54" s="137"/>
    </row>
    <row r="55" spans="1:47" s="56" customFormat="1" ht="39.75" customHeight="1" x14ac:dyDescent="0.35">
      <c r="A55" s="188"/>
      <c r="B55" s="188"/>
      <c r="C55" s="189"/>
      <c r="D55" s="189"/>
      <c r="E55" s="143"/>
      <c r="F55" s="189"/>
      <c r="G55" s="143"/>
      <c r="H55" s="189"/>
      <c r="I55" s="189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89"/>
      <c r="Y55" s="179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141"/>
      <c r="AU55" s="137"/>
    </row>
    <row r="56" spans="1:47" s="56" customFormat="1" ht="39.950000000000003" customHeight="1" x14ac:dyDescent="0.35">
      <c r="A56" s="188">
        <v>103</v>
      </c>
      <c r="B56" s="188">
        <v>77</v>
      </c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141"/>
      <c r="AC56" s="137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141"/>
      <c r="AU56" s="137"/>
    </row>
    <row r="57" spans="1:47" s="56" customFormat="1" ht="39.950000000000003" customHeight="1" x14ac:dyDescent="0.35">
      <c r="A57" s="188"/>
      <c r="B57" s="188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136"/>
      <c r="AU57" s="137"/>
    </row>
    <row r="58" spans="1:47" s="56" customFormat="1" ht="39.950000000000003" customHeight="1" x14ac:dyDescent="0.35">
      <c r="A58" s="188"/>
      <c r="B58" s="188">
        <v>78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136"/>
      <c r="AU58" s="137"/>
    </row>
    <row r="59" spans="1:47" s="56" customFormat="1" ht="39.950000000000003" customHeight="1" x14ac:dyDescent="0.35">
      <c r="A59" s="188"/>
      <c r="B59" s="188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136"/>
      <c r="AU59" s="137"/>
    </row>
    <row r="60" spans="1:47" s="56" customFormat="1" ht="39.950000000000003" customHeight="1" x14ac:dyDescent="0.35">
      <c r="A60" s="188"/>
      <c r="B60" s="188">
        <v>79</v>
      </c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136"/>
      <c r="AU60" s="137"/>
    </row>
    <row r="61" spans="1:47" s="56" customFormat="1" ht="39.950000000000003" customHeight="1" x14ac:dyDescent="0.35">
      <c r="A61" s="188"/>
      <c r="B61" s="188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136"/>
      <c r="AU61" s="137"/>
    </row>
    <row r="62" spans="1:47" s="56" customFormat="1" ht="39.950000000000003" customHeight="1" x14ac:dyDescent="0.35">
      <c r="A62" s="188"/>
      <c r="B62" s="188">
        <v>81</v>
      </c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136"/>
      <c r="AU62" s="137"/>
    </row>
    <row r="63" spans="1:47" s="56" customFormat="1" ht="39.950000000000003" customHeight="1" x14ac:dyDescent="0.35">
      <c r="A63" s="188"/>
      <c r="B63" s="188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136"/>
      <c r="AU63" s="137"/>
    </row>
    <row r="64" spans="1:47" s="56" customFormat="1" ht="39.950000000000003" customHeight="1" x14ac:dyDescent="0.35">
      <c r="A64" s="188"/>
      <c r="B64" s="188">
        <v>82</v>
      </c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136"/>
      <c r="AU64" s="137"/>
    </row>
    <row r="65" spans="1:48" s="56" customFormat="1" ht="39.950000000000003" customHeight="1" x14ac:dyDescent="0.35">
      <c r="A65" s="188"/>
      <c r="B65" s="188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136"/>
      <c r="AU65" s="137"/>
    </row>
    <row r="66" spans="1:48" s="56" customFormat="1" ht="39.950000000000003" customHeight="1" x14ac:dyDescent="0.35">
      <c r="B66" s="188">
        <v>83</v>
      </c>
      <c r="C66" s="179"/>
      <c r="D66" s="179"/>
      <c r="E66" s="179"/>
      <c r="F66" s="179"/>
      <c r="G66" s="179"/>
      <c r="H66" s="179"/>
      <c r="I66" s="181"/>
      <c r="J66" s="181"/>
      <c r="K66" s="179"/>
      <c r="L66" s="179"/>
      <c r="M66" s="179"/>
      <c r="N66" s="179"/>
      <c r="O66" s="179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136"/>
      <c r="AU66" s="137"/>
    </row>
    <row r="67" spans="1:48" s="56" customFormat="1" ht="39.950000000000003" customHeight="1" x14ac:dyDescent="0.35">
      <c r="B67" s="188"/>
      <c r="C67" s="179"/>
      <c r="D67" s="179"/>
      <c r="E67" s="179"/>
      <c r="F67" s="179"/>
      <c r="G67" s="179"/>
      <c r="H67" s="179"/>
      <c r="I67" s="181"/>
      <c r="J67" s="181"/>
      <c r="K67" s="179"/>
      <c r="L67" s="179"/>
      <c r="M67" s="179"/>
      <c r="N67" s="179"/>
      <c r="O67" s="179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136"/>
      <c r="AU67" s="137"/>
    </row>
    <row r="68" spans="1:48" s="56" customFormat="1" ht="39.950000000000003" customHeight="1" x14ac:dyDescent="0.35">
      <c r="B68" s="179">
        <v>84</v>
      </c>
      <c r="C68" s="179"/>
      <c r="D68" s="179"/>
      <c r="E68" s="179"/>
      <c r="F68" s="179"/>
      <c r="G68" s="179"/>
      <c r="H68" s="179"/>
      <c r="I68" s="181"/>
      <c r="J68" s="181"/>
      <c r="K68" s="179"/>
      <c r="L68" s="179"/>
      <c r="M68" s="179"/>
      <c r="N68" s="179"/>
      <c r="O68" s="179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136"/>
      <c r="AU68" s="137"/>
    </row>
    <row r="69" spans="1:48" s="56" customFormat="1" ht="39.950000000000003" customHeight="1" x14ac:dyDescent="0.35">
      <c r="B69" s="179"/>
      <c r="C69" s="179"/>
      <c r="D69" s="179"/>
      <c r="E69" s="179"/>
      <c r="F69" s="179"/>
      <c r="G69" s="179"/>
      <c r="H69" s="179"/>
      <c r="I69" s="181"/>
      <c r="J69" s="181"/>
      <c r="K69" s="179"/>
      <c r="L69" s="179"/>
      <c r="M69" s="179"/>
      <c r="N69" s="179"/>
      <c r="O69" s="179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136"/>
      <c r="AU69" s="137"/>
    </row>
    <row r="70" spans="1:48" s="56" customFormat="1" ht="39.950000000000003" customHeight="1" x14ac:dyDescent="0.35">
      <c r="B70" s="188">
        <v>85</v>
      </c>
      <c r="C70" s="179"/>
      <c r="D70" s="179"/>
      <c r="E70" s="179"/>
      <c r="F70" s="179"/>
      <c r="G70" s="179"/>
      <c r="H70" s="179"/>
      <c r="I70" s="181"/>
      <c r="J70" s="181"/>
      <c r="K70" s="179"/>
      <c r="L70" s="179"/>
      <c r="M70" s="179"/>
      <c r="N70" s="179"/>
      <c r="O70" s="179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136"/>
      <c r="AU70" s="137"/>
    </row>
    <row r="71" spans="1:48" s="56" customFormat="1" ht="39.950000000000003" customHeight="1" x14ac:dyDescent="0.35">
      <c r="B71" s="188"/>
      <c r="C71" s="179"/>
      <c r="D71" s="179"/>
      <c r="E71" s="179"/>
      <c r="F71" s="179"/>
      <c r="G71" s="179"/>
      <c r="H71" s="179"/>
      <c r="I71" s="181"/>
      <c r="J71" s="181"/>
      <c r="K71" s="179"/>
      <c r="L71" s="179"/>
      <c r="M71" s="179"/>
      <c r="N71" s="179"/>
      <c r="O71" s="179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136"/>
      <c r="AU71" s="137"/>
    </row>
    <row r="72" spans="1:48" s="56" customFormat="1" ht="39.950000000000003" customHeight="1" x14ac:dyDescent="0.35">
      <c r="B72" s="142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136"/>
      <c r="AU72" s="137"/>
    </row>
    <row r="73" spans="1:48" s="56" customFormat="1" ht="39.950000000000003" customHeight="1" x14ac:dyDescent="0.35">
      <c r="B73" s="142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136"/>
      <c r="AU73" s="137"/>
    </row>
    <row r="74" spans="1:48" s="56" customFormat="1" ht="39.950000000000003" customHeight="1" x14ac:dyDescent="0.35">
      <c r="B74" s="188">
        <v>86</v>
      </c>
      <c r="C74" s="179"/>
      <c r="D74" s="179"/>
      <c r="E74" s="179"/>
      <c r="F74" s="179"/>
      <c r="G74" s="179"/>
      <c r="H74" s="179"/>
      <c r="I74" s="181"/>
      <c r="J74" s="181"/>
      <c r="K74" s="179"/>
      <c r="L74" s="179"/>
      <c r="M74" s="179"/>
      <c r="N74" s="179"/>
      <c r="O74" s="179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136"/>
      <c r="AU74" s="137"/>
    </row>
    <row r="75" spans="1:48" s="56" customFormat="1" ht="39.950000000000003" customHeight="1" x14ac:dyDescent="0.35">
      <c r="B75" s="188"/>
      <c r="C75" s="179"/>
      <c r="D75" s="179"/>
      <c r="E75" s="179"/>
      <c r="F75" s="179"/>
      <c r="G75" s="179"/>
      <c r="H75" s="179"/>
      <c r="I75" s="181"/>
      <c r="J75" s="181"/>
      <c r="K75" s="179"/>
      <c r="L75" s="179"/>
      <c r="M75" s="179"/>
      <c r="N75" s="179"/>
      <c r="O75" s="179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136"/>
      <c r="AU75" s="137"/>
    </row>
    <row r="76" spans="1:48" s="56" customFormat="1" ht="39.950000000000003" customHeight="1" x14ac:dyDescent="0.35">
      <c r="B76" s="142">
        <v>87</v>
      </c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136"/>
      <c r="AU76" s="137"/>
    </row>
    <row r="77" spans="1:48" s="56" customFormat="1" ht="39.950000000000003" customHeight="1" x14ac:dyDescent="0.35">
      <c r="B77" s="142">
        <v>88</v>
      </c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136"/>
      <c r="AU77" s="137"/>
    </row>
    <row r="78" spans="1:48" s="56" customFormat="1" ht="39.950000000000003" customHeight="1" x14ac:dyDescent="0.35">
      <c r="B78" s="188">
        <v>89</v>
      </c>
      <c r="C78" s="179"/>
      <c r="D78" s="179"/>
      <c r="E78" s="179"/>
      <c r="F78" s="179"/>
      <c r="G78" s="179"/>
      <c r="H78" s="179"/>
      <c r="I78" s="181"/>
      <c r="J78" s="181"/>
      <c r="K78" s="179"/>
      <c r="L78" s="179"/>
      <c r="M78" s="179"/>
      <c r="N78" s="179"/>
      <c r="O78" s="179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136">
        <f>AA78-AB78-AD78-AF78-AH78-AJ78-AL78-AN78-AP78-AR78+AS78</f>
        <v>0</v>
      </c>
      <c r="AU78" s="137">
        <f>AB78+AD78+AF78+AH78+AJ78+AN75+AP75</f>
        <v>0</v>
      </c>
      <c r="AV78" s="138"/>
    </row>
    <row r="79" spans="1:48" s="56" customFormat="1" ht="39.950000000000003" customHeight="1" x14ac:dyDescent="0.35">
      <c r="B79" s="188"/>
      <c r="C79" s="179"/>
      <c r="D79" s="179"/>
      <c r="E79" s="179"/>
      <c r="F79" s="179"/>
      <c r="G79" s="179"/>
      <c r="H79" s="179"/>
      <c r="I79" s="181"/>
      <c r="J79" s="181"/>
      <c r="K79" s="179"/>
      <c r="L79" s="179"/>
      <c r="M79" s="179"/>
      <c r="N79" s="179"/>
      <c r="O79" s="179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136">
        <f>AA79-AB79-AD79-AF79-AH79-AJ79-AL79-AN79-AP79-AR79+AS79</f>
        <v>0</v>
      </c>
      <c r="AU79" s="137">
        <f t="shared" ref="AU79:AU80" si="2">AB79+AD79+AF79+AH79+AJ79+AN78+AP78</f>
        <v>0</v>
      </c>
    </row>
    <row r="80" spans="1:48" s="56" customFormat="1" ht="39.950000000000003" customHeight="1" x14ac:dyDescent="0.35">
      <c r="B80" s="56">
        <v>90</v>
      </c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136">
        <f>AA80-AB80-AD80-AF80-AH80-AJ80-AL80-AN80-AP80-AR80+AS80</f>
        <v>0</v>
      </c>
      <c r="AU80" s="137">
        <f t="shared" si="2"/>
        <v>0</v>
      </c>
    </row>
    <row r="81" spans="1:47" s="56" customFormat="1" x14ac:dyDescent="0.35">
      <c r="B81" s="56">
        <v>91</v>
      </c>
      <c r="C81" s="58"/>
      <c r="D81" s="58"/>
      <c r="E81" s="58"/>
      <c r="F81" s="58"/>
      <c r="G81" s="58"/>
      <c r="H81" s="58"/>
      <c r="I81" s="139"/>
      <c r="J81" s="58"/>
      <c r="K81" s="139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139"/>
      <c r="AB81" s="139"/>
      <c r="AC81" s="58"/>
      <c r="AD81" s="139"/>
      <c r="AE81" s="58"/>
      <c r="AF81" s="139"/>
      <c r="AG81" s="58"/>
      <c r="AH81" s="139"/>
      <c r="AI81" s="58"/>
      <c r="AJ81" s="139"/>
      <c r="AK81" s="58"/>
      <c r="AL81" s="139"/>
      <c r="AM81" s="58"/>
      <c r="AN81" s="139"/>
      <c r="AO81" s="58"/>
      <c r="AP81" s="139"/>
      <c r="AQ81" s="58"/>
      <c r="AR81" s="139"/>
      <c r="AS81" s="58"/>
      <c r="AT81" s="58"/>
      <c r="AU81" s="58"/>
    </row>
    <row r="82" spans="1:47" x14ac:dyDescent="0.35">
      <c r="A82" s="135"/>
      <c r="B82" s="135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124"/>
    </row>
  </sheetData>
  <mergeCells count="574">
    <mergeCell ref="N24:N25"/>
    <mergeCell ref="O24:O25"/>
    <mergeCell ref="X34:X35"/>
    <mergeCell ref="Y34:Y35"/>
    <mergeCell ref="X36:X37"/>
    <mergeCell ref="Y36:Y37"/>
    <mergeCell ref="Y40:Y41"/>
    <mergeCell ref="X28:X29"/>
    <mergeCell ref="O40:O41"/>
    <mergeCell ref="N36:N37"/>
    <mergeCell ref="X12:X13"/>
    <mergeCell ref="Y12:Y13"/>
    <mergeCell ref="Y28:Y29"/>
    <mergeCell ref="X30:X31"/>
    <mergeCell ref="Y30:Y31"/>
    <mergeCell ref="X26:X27"/>
    <mergeCell ref="X24:X25"/>
    <mergeCell ref="Y24:Y25"/>
    <mergeCell ref="Y26:Y27"/>
    <mergeCell ref="N68:N69"/>
    <mergeCell ref="O68:O69"/>
    <mergeCell ref="O64:O65"/>
    <mergeCell ref="X54:X55"/>
    <mergeCell ref="Y54:Y55"/>
    <mergeCell ref="X42:X43"/>
    <mergeCell ref="X44:X45"/>
    <mergeCell ref="X48:X49"/>
    <mergeCell ref="Y42:Y43"/>
    <mergeCell ref="Y44:Y45"/>
    <mergeCell ref="Y48:Y49"/>
    <mergeCell ref="X50:X51"/>
    <mergeCell ref="X52:X53"/>
    <mergeCell ref="Y52:Y53"/>
    <mergeCell ref="N60:N61"/>
    <mergeCell ref="O66:O67"/>
    <mergeCell ref="N62:N63"/>
    <mergeCell ref="O56:O57"/>
    <mergeCell ref="N56:N57"/>
    <mergeCell ref="O58:O59"/>
    <mergeCell ref="N58:N59"/>
    <mergeCell ref="O60:O61"/>
    <mergeCell ref="X46:X47"/>
    <mergeCell ref="Y46:Y47"/>
    <mergeCell ref="L56:L57"/>
    <mergeCell ref="M56:M57"/>
    <mergeCell ref="J56:J57"/>
    <mergeCell ref="K56:K57"/>
    <mergeCell ref="O78:O79"/>
    <mergeCell ref="I78:I79"/>
    <mergeCell ref="J78:J79"/>
    <mergeCell ref="K78:K79"/>
    <mergeCell ref="L78:L79"/>
    <mergeCell ref="M78:M79"/>
    <mergeCell ref="N78:N79"/>
    <mergeCell ref="N76:N77"/>
    <mergeCell ref="O76:O77"/>
    <mergeCell ref="I76:I77"/>
    <mergeCell ref="J76:J77"/>
    <mergeCell ref="K76:K77"/>
    <mergeCell ref="L76:L77"/>
    <mergeCell ref="M76:M77"/>
    <mergeCell ref="M74:M75"/>
    <mergeCell ref="N74:N75"/>
    <mergeCell ref="O74:O75"/>
    <mergeCell ref="O62:O63"/>
    <mergeCell ref="N64:N65"/>
    <mergeCell ref="L62:L63"/>
    <mergeCell ref="B78:B79"/>
    <mergeCell ref="C78:C79"/>
    <mergeCell ref="D78:D79"/>
    <mergeCell ref="E78:E79"/>
    <mergeCell ref="F78:F79"/>
    <mergeCell ref="G78:G79"/>
    <mergeCell ref="H78:H79"/>
    <mergeCell ref="H76:H77"/>
    <mergeCell ref="C76:C77"/>
    <mergeCell ref="D76:D77"/>
    <mergeCell ref="E76:E77"/>
    <mergeCell ref="F76:F77"/>
    <mergeCell ref="G76:G77"/>
    <mergeCell ref="G74:G75"/>
    <mergeCell ref="H74:H75"/>
    <mergeCell ref="I74:I75"/>
    <mergeCell ref="J74:J75"/>
    <mergeCell ref="K74:K75"/>
    <mergeCell ref="L74:L75"/>
    <mergeCell ref="B74:B75"/>
    <mergeCell ref="C74:C75"/>
    <mergeCell ref="D74:D75"/>
    <mergeCell ref="E74:E75"/>
    <mergeCell ref="F74:F75"/>
    <mergeCell ref="L66:L67"/>
    <mergeCell ref="G72:G73"/>
    <mergeCell ref="H72:H73"/>
    <mergeCell ref="N70:N71"/>
    <mergeCell ref="O70:O71"/>
    <mergeCell ref="C72:C73"/>
    <mergeCell ref="D72:D73"/>
    <mergeCell ref="E72:E73"/>
    <mergeCell ref="F72:F73"/>
    <mergeCell ref="F70:F71"/>
    <mergeCell ref="G70:G71"/>
    <mergeCell ref="H70:H71"/>
    <mergeCell ref="I70:I71"/>
    <mergeCell ref="J70:J71"/>
    <mergeCell ref="K70:K71"/>
    <mergeCell ref="M72:M73"/>
    <mergeCell ref="N72:N73"/>
    <mergeCell ref="O72:O73"/>
    <mergeCell ref="I72:I73"/>
    <mergeCell ref="J72:J73"/>
    <mergeCell ref="K72:K73"/>
    <mergeCell ref="L72:L73"/>
    <mergeCell ref="M70:M71"/>
    <mergeCell ref="M68:M69"/>
    <mergeCell ref="B68:B69"/>
    <mergeCell ref="C68:C69"/>
    <mergeCell ref="D68:D69"/>
    <mergeCell ref="E68:E69"/>
    <mergeCell ref="L70:L71"/>
    <mergeCell ref="B70:B71"/>
    <mergeCell ref="C70:C71"/>
    <mergeCell ref="D70:D71"/>
    <mergeCell ref="E70:E71"/>
    <mergeCell ref="F68:F69"/>
    <mergeCell ref="G68:G69"/>
    <mergeCell ref="H68:H69"/>
    <mergeCell ref="L68:L69"/>
    <mergeCell ref="I68:I69"/>
    <mergeCell ref="J68:J69"/>
    <mergeCell ref="K68:K69"/>
    <mergeCell ref="M66:M67"/>
    <mergeCell ref="N66:N67"/>
    <mergeCell ref="A62:A63"/>
    <mergeCell ref="B62:B63"/>
    <mergeCell ref="C62:C63"/>
    <mergeCell ref="D62:D63"/>
    <mergeCell ref="A64:A65"/>
    <mergeCell ref="B64:B65"/>
    <mergeCell ref="C64:C65"/>
    <mergeCell ref="D64:D65"/>
    <mergeCell ref="E64:E65"/>
    <mergeCell ref="I62:I63"/>
    <mergeCell ref="J62:J63"/>
    <mergeCell ref="K62:K63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E62:E63"/>
    <mergeCell ref="F62:F63"/>
    <mergeCell ref="G62:G63"/>
    <mergeCell ref="H62:H63"/>
    <mergeCell ref="I64:I65"/>
    <mergeCell ref="J64:J65"/>
    <mergeCell ref="K64:K65"/>
    <mergeCell ref="L64:L65"/>
    <mergeCell ref="M64:M65"/>
    <mergeCell ref="M62:M63"/>
    <mergeCell ref="G60:G61"/>
    <mergeCell ref="H60:H61"/>
    <mergeCell ref="L60:L61"/>
    <mergeCell ref="M60:M61"/>
    <mergeCell ref="L58:L59"/>
    <mergeCell ref="M58:M59"/>
    <mergeCell ref="F64:F65"/>
    <mergeCell ref="G64:G65"/>
    <mergeCell ref="H64:H65"/>
    <mergeCell ref="J58:J59"/>
    <mergeCell ref="K58:K59"/>
    <mergeCell ref="I60:I61"/>
    <mergeCell ref="J60:J61"/>
    <mergeCell ref="F58:F59"/>
    <mergeCell ref="G58:G59"/>
    <mergeCell ref="H58:H59"/>
    <mergeCell ref="K60:K61"/>
    <mergeCell ref="H54:H55"/>
    <mergeCell ref="I54:I55"/>
    <mergeCell ref="A54:A55"/>
    <mergeCell ref="B54:B55"/>
    <mergeCell ref="C54:C55"/>
    <mergeCell ref="D54:D55"/>
    <mergeCell ref="F54:F55"/>
    <mergeCell ref="C58:C59"/>
    <mergeCell ref="D58:D59"/>
    <mergeCell ref="I56:I57"/>
    <mergeCell ref="I58:I59"/>
    <mergeCell ref="F56:F57"/>
    <mergeCell ref="G56:G57"/>
    <mergeCell ref="H56:H57"/>
    <mergeCell ref="A60:A61"/>
    <mergeCell ref="B60:B61"/>
    <mergeCell ref="C60:C61"/>
    <mergeCell ref="D60:D61"/>
    <mergeCell ref="E60:E61"/>
    <mergeCell ref="F60:F61"/>
    <mergeCell ref="E50:E51"/>
    <mergeCell ref="A56:A57"/>
    <mergeCell ref="B56:B57"/>
    <mergeCell ref="C56:C57"/>
    <mergeCell ref="D56:D57"/>
    <mergeCell ref="E56:E57"/>
    <mergeCell ref="A58:A59"/>
    <mergeCell ref="B58:B59"/>
    <mergeCell ref="E58:E59"/>
    <mergeCell ref="F50:F51"/>
    <mergeCell ref="A52:A53"/>
    <mergeCell ref="B52:B53"/>
    <mergeCell ref="C52:C53"/>
    <mergeCell ref="D52:D53"/>
    <mergeCell ref="E52:E53"/>
    <mergeCell ref="F52:F53"/>
    <mergeCell ref="G52:G53"/>
    <mergeCell ref="H52:H53"/>
    <mergeCell ref="H50:H51"/>
    <mergeCell ref="A50:A51"/>
    <mergeCell ref="B50:B51"/>
    <mergeCell ref="C50:C51"/>
    <mergeCell ref="D50:D51"/>
    <mergeCell ref="O48:O49"/>
    <mergeCell ref="I52:I53"/>
    <mergeCell ref="J52:J53"/>
    <mergeCell ref="K52:K53"/>
    <mergeCell ref="M52:M53"/>
    <mergeCell ref="N52:N53"/>
    <mergeCell ref="O52:O53"/>
    <mergeCell ref="O50:O51"/>
    <mergeCell ref="I50:I51"/>
    <mergeCell ref="J50:J51"/>
    <mergeCell ref="K50:K51"/>
    <mergeCell ref="M50:M51"/>
    <mergeCell ref="N50:N51"/>
    <mergeCell ref="F48:F49"/>
    <mergeCell ref="F44:F45"/>
    <mergeCell ref="G44:G45"/>
    <mergeCell ref="H44:H45"/>
    <mergeCell ref="I44:I45"/>
    <mergeCell ref="J44:J45"/>
    <mergeCell ref="K44:K45"/>
    <mergeCell ref="A44:A45"/>
    <mergeCell ref="B44:B45"/>
    <mergeCell ref="C44:C45"/>
    <mergeCell ref="D44:D45"/>
    <mergeCell ref="E44:E45"/>
    <mergeCell ref="O42:O43"/>
    <mergeCell ref="H48:H49"/>
    <mergeCell ref="I48:I49"/>
    <mergeCell ref="J48:J49"/>
    <mergeCell ref="K48:K49"/>
    <mergeCell ref="M48:M49"/>
    <mergeCell ref="G50:G51"/>
    <mergeCell ref="G48:G49"/>
    <mergeCell ref="M44:M45"/>
    <mergeCell ref="N44:N45"/>
    <mergeCell ref="O44:O45"/>
    <mergeCell ref="A42:A43"/>
    <mergeCell ref="B42:B43"/>
    <mergeCell ref="C42:C43"/>
    <mergeCell ref="D42:D43"/>
    <mergeCell ref="E42:E43"/>
    <mergeCell ref="F42:F43"/>
    <mergeCell ref="G42:G43"/>
    <mergeCell ref="H42:H43"/>
    <mergeCell ref="N48:N49"/>
    <mergeCell ref="C46:C47"/>
    <mergeCell ref="D46:D47"/>
    <mergeCell ref="F46:F47"/>
    <mergeCell ref="H46:H47"/>
    <mergeCell ref="I46:I47"/>
    <mergeCell ref="I42:I43"/>
    <mergeCell ref="J42:J43"/>
    <mergeCell ref="K42:K43"/>
    <mergeCell ref="M42:M43"/>
    <mergeCell ref="N42:N43"/>
    <mergeCell ref="A48:A49"/>
    <mergeCell ref="B48:B49"/>
    <mergeCell ref="C48:C49"/>
    <mergeCell ref="D48:D49"/>
    <mergeCell ref="E48:E49"/>
    <mergeCell ref="A40:A41"/>
    <mergeCell ref="B40:B41"/>
    <mergeCell ref="C40:C41"/>
    <mergeCell ref="D40:D41"/>
    <mergeCell ref="E40:E41"/>
    <mergeCell ref="F40:F41"/>
    <mergeCell ref="G40:G41"/>
    <mergeCell ref="H40:H41"/>
    <mergeCell ref="I38:I39"/>
    <mergeCell ref="A38:A39"/>
    <mergeCell ref="B38:B39"/>
    <mergeCell ref="I40:I41"/>
    <mergeCell ref="J40:J41"/>
    <mergeCell ref="K40:K41"/>
    <mergeCell ref="L40:L41"/>
    <mergeCell ref="M40:M41"/>
    <mergeCell ref="N40:N41"/>
    <mergeCell ref="O38:O39"/>
    <mergeCell ref="J38:J39"/>
    <mergeCell ref="K38:K39"/>
    <mergeCell ref="L38:L39"/>
    <mergeCell ref="M38:M39"/>
    <mergeCell ref="N38:N39"/>
    <mergeCell ref="A36:A37"/>
    <mergeCell ref="B36:B37"/>
    <mergeCell ref="C36:C37"/>
    <mergeCell ref="D36:D37"/>
    <mergeCell ref="E36:E37"/>
    <mergeCell ref="F36:F37"/>
    <mergeCell ref="G36:G37"/>
    <mergeCell ref="H34:H35"/>
    <mergeCell ref="H36:H37"/>
    <mergeCell ref="A34:A35"/>
    <mergeCell ref="B34:B35"/>
    <mergeCell ref="C34:C35"/>
    <mergeCell ref="D34:D35"/>
    <mergeCell ref="E34:E35"/>
    <mergeCell ref="F34:F35"/>
    <mergeCell ref="G34:G35"/>
    <mergeCell ref="G32:G33"/>
    <mergeCell ref="O30:O31"/>
    <mergeCell ref="A32:A33"/>
    <mergeCell ref="B32:B33"/>
    <mergeCell ref="C32:C33"/>
    <mergeCell ref="D32:D33"/>
    <mergeCell ref="E32:E33"/>
    <mergeCell ref="F32:F33"/>
    <mergeCell ref="F30:F31"/>
    <mergeCell ref="G30:G31"/>
    <mergeCell ref="H30:H31"/>
    <mergeCell ref="I30:I31"/>
    <mergeCell ref="J30:J31"/>
    <mergeCell ref="K30:K31"/>
    <mergeCell ref="N32:N33"/>
    <mergeCell ref="O32:O33"/>
    <mergeCell ref="H32:H33"/>
    <mergeCell ref="I32:I33"/>
    <mergeCell ref="J32:J33"/>
    <mergeCell ref="K32:K33"/>
    <mergeCell ref="M32:M33"/>
    <mergeCell ref="L28:L29"/>
    <mergeCell ref="M28:M29"/>
    <mergeCell ref="N28:N29"/>
    <mergeCell ref="O28:O29"/>
    <mergeCell ref="A30:A31"/>
    <mergeCell ref="B30:B31"/>
    <mergeCell ref="C30:C31"/>
    <mergeCell ref="D30:D31"/>
    <mergeCell ref="E30:E31"/>
    <mergeCell ref="F28:F29"/>
    <mergeCell ref="G28:G29"/>
    <mergeCell ref="H28:H29"/>
    <mergeCell ref="I28:I29"/>
    <mergeCell ref="J28:J29"/>
    <mergeCell ref="K28:K29"/>
    <mergeCell ref="A28:A29"/>
    <mergeCell ref="B28:B29"/>
    <mergeCell ref="C28:C29"/>
    <mergeCell ref="D28:D29"/>
    <mergeCell ref="E28:E29"/>
    <mergeCell ref="M30:M31"/>
    <mergeCell ref="N30:N31"/>
    <mergeCell ref="I26:I27"/>
    <mergeCell ref="J26:J27"/>
    <mergeCell ref="K26:K27"/>
    <mergeCell ref="M26:M27"/>
    <mergeCell ref="N26:N27"/>
    <mergeCell ref="O26:O27"/>
    <mergeCell ref="A26:A27"/>
    <mergeCell ref="B26:B27"/>
    <mergeCell ref="C26:C27"/>
    <mergeCell ref="D26:D27"/>
    <mergeCell ref="E26:E27"/>
    <mergeCell ref="F26:F27"/>
    <mergeCell ref="G26:G27"/>
    <mergeCell ref="H26:H27"/>
    <mergeCell ref="G24:G25"/>
    <mergeCell ref="H24:H25"/>
    <mergeCell ref="I24:I25"/>
    <mergeCell ref="J24:J25"/>
    <mergeCell ref="K24:K25"/>
    <mergeCell ref="M24:M25"/>
    <mergeCell ref="A24:A25"/>
    <mergeCell ref="B24:B25"/>
    <mergeCell ref="C24:C25"/>
    <mergeCell ref="D24:D25"/>
    <mergeCell ref="E24:E25"/>
    <mergeCell ref="F24:F25"/>
    <mergeCell ref="Z22:Z23"/>
    <mergeCell ref="H22:H23"/>
    <mergeCell ref="I22:I23"/>
    <mergeCell ref="J22:J23"/>
    <mergeCell ref="K22:K23"/>
    <mergeCell ref="N22:N23"/>
    <mergeCell ref="O22:O23"/>
    <mergeCell ref="A22:A23"/>
    <mergeCell ref="B22:B23"/>
    <mergeCell ref="C22:C23"/>
    <mergeCell ref="D22:D23"/>
    <mergeCell ref="E22:E23"/>
    <mergeCell ref="F22:F23"/>
    <mergeCell ref="G22:G23"/>
    <mergeCell ref="O20:O21"/>
    <mergeCell ref="Z20:Z21"/>
    <mergeCell ref="G20:G21"/>
    <mergeCell ref="H20:H21"/>
    <mergeCell ref="I20:I21"/>
    <mergeCell ref="J20:J21"/>
    <mergeCell ref="K20:K21"/>
    <mergeCell ref="M20:M21"/>
    <mergeCell ref="A18:A19"/>
    <mergeCell ref="B18:B19"/>
    <mergeCell ref="C18:C19"/>
    <mergeCell ref="D18:D19"/>
    <mergeCell ref="E18:E19"/>
    <mergeCell ref="F18:F19"/>
    <mergeCell ref="A20:A21"/>
    <mergeCell ref="B20:B21"/>
    <mergeCell ref="C20:C21"/>
    <mergeCell ref="D20:D21"/>
    <mergeCell ref="E20:E21"/>
    <mergeCell ref="F20:F21"/>
    <mergeCell ref="N20:N21"/>
    <mergeCell ref="O16:O17"/>
    <mergeCell ref="Z16:Z17"/>
    <mergeCell ref="F16:F17"/>
    <mergeCell ref="G16:G17"/>
    <mergeCell ref="H16:H17"/>
    <mergeCell ref="I16:I17"/>
    <mergeCell ref="J16:J17"/>
    <mergeCell ref="G18:G19"/>
    <mergeCell ref="H18:H19"/>
    <mergeCell ref="I18:I19"/>
    <mergeCell ref="J18:J19"/>
    <mergeCell ref="K18:K19"/>
    <mergeCell ref="M18:M19"/>
    <mergeCell ref="N18:N19"/>
    <mergeCell ref="O18:O19"/>
    <mergeCell ref="X18:X19"/>
    <mergeCell ref="Y18:Y19"/>
    <mergeCell ref="A16:A17"/>
    <mergeCell ref="B16:B17"/>
    <mergeCell ref="C16:C17"/>
    <mergeCell ref="D16:D17"/>
    <mergeCell ref="E16:E17"/>
    <mergeCell ref="K14:K15"/>
    <mergeCell ref="L14:L15"/>
    <mergeCell ref="M14:M15"/>
    <mergeCell ref="N14:N15"/>
    <mergeCell ref="K16:K17"/>
    <mergeCell ref="M16:M17"/>
    <mergeCell ref="N16:N17"/>
    <mergeCell ref="F14:F15"/>
    <mergeCell ref="G14:G15"/>
    <mergeCell ref="H14:H15"/>
    <mergeCell ref="I14:I15"/>
    <mergeCell ref="J14:J15"/>
    <mergeCell ref="A14:A15"/>
    <mergeCell ref="B14:B15"/>
    <mergeCell ref="C14:C15"/>
    <mergeCell ref="D14:D15"/>
    <mergeCell ref="E14:E15"/>
    <mergeCell ref="A12:A13"/>
    <mergeCell ref="B12:B13"/>
    <mergeCell ref="C12:C13"/>
    <mergeCell ref="D12:D13"/>
    <mergeCell ref="E12:E13"/>
    <mergeCell ref="L12:L13"/>
    <mergeCell ref="M12:M13"/>
    <mergeCell ref="F12:F13"/>
    <mergeCell ref="G12:G13"/>
    <mergeCell ref="H12:H13"/>
    <mergeCell ref="I12:I13"/>
    <mergeCell ref="J12:J13"/>
    <mergeCell ref="K12:K13"/>
    <mergeCell ref="A10:A11"/>
    <mergeCell ref="B10:B11"/>
    <mergeCell ref="C10:C11"/>
    <mergeCell ref="D10:D11"/>
    <mergeCell ref="E10:E11"/>
    <mergeCell ref="L10:L11"/>
    <mergeCell ref="M10:M11"/>
    <mergeCell ref="N10:N11"/>
    <mergeCell ref="J10:J11"/>
    <mergeCell ref="K10:K11"/>
    <mergeCell ref="F10:F11"/>
    <mergeCell ref="G10:G11"/>
    <mergeCell ref="A8:A9"/>
    <mergeCell ref="B8:B9"/>
    <mergeCell ref="C8:C9"/>
    <mergeCell ref="D8:D9"/>
    <mergeCell ref="E8:E9"/>
    <mergeCell ref="K6:K7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K8:K9"/>
    <mergeCell ref="F8:F9"/>
    <mergeCell ref="Z10:Z11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Z4:Z5"/>
    <mergeCell ref="L6:L7"/>
    <mergeCell ref="M6:M7"/>
    <mergeCell ref="L8:L9"/>
    <mergeCell ref="M8:M9"/>
    <mergeCell ref="Z32:Z33"/>
    <mergeCell ref="O6:O7"/>
    <mergeCell ref="Z6:Z7"/>
    <mergeCell ref="F6:F7"/>
    <mergeCell ref="G6:G7"/>
    <mergeCell ref="H6:H7"/>
    <mergeCell ref="I6:I7"/>
    <mergeCell ref="J6:J7"/>
    <mergeCell ref="N6:N7"/>
    <mergeCell ref="H10:H11"/>
    <mergeCell ref="I10:I11"/>
    <mergeCell ref="N8:N9"/>
    <mergeCell ref="O8:O9"/>
    <mergeCell ref="Z8:Z9"/>
    <mergeCell ref="G8:G9"/>
    <mergeCell ref="H8:H9"/>
    <mergeCell ref="I8:I9"/>
    <mergeCell ref="J8:J9"/>
    <mergeCell ref="N12:N13"/>
    <mergeCell ref="O12:O13"/>
    <mergeCell ref="Z12:Z13"/>
    <mergeCell ref="O14:O15"/>
    <mergeCell ref="Z14:Z15"/>
    <mergeCell ref="O10:O11"/>
    <mergeCell ref="Y50:Y51"/>
    <mergeCell ref="Z34:Z35"/>
    <mergeCell ref="Z36:Z37"/>
    <mergeCell ref="X38:X39"/>
    <mergeCell ref="Y38:Y39"/>
    <mergeCell ref="X40:X41"/>
    <mergeCell ref="C38:C39"/>
    <mergeCell ref="D38:D39"/>
    <mergeCell ref="E38:E39"/>
    <mergeCell ref="F38:F39"/>
    <mergeCell ref="G38:G39"/>
    <mergeCell ref="H38:H39"/>
    <mergeCell ref="N34:N35"/>
    <mergeCell ref="O34:O35"/>
    <mergeCell ref="I34:I35"/>
    <mergeCell ref="J34:J35"/>
    <mergeCell ref="K34:K35"/>
    <mergeCell ref="L34:L35"/>
    <mergeCell ref="M34:M35"/>
    <mergeCell ref="O36:O37"/>
    <mergeCell ref="I36:I37"/>
    <mergeCell ref="J36:J37"/>
    <mergeCell ref="K36:K37"/>
    <mergeCell ref="M36:M37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418"/>
  <sheetViews>
    <sheetView topLeftCell="A164" zoomScale="80" zoomScaleNormal="80" workbookViewId="0">
      <selection activeCell="P174" sqref="P174"/>
    </sheetView>
  </sheetViews>
  <sheetFormatPr defaultColWidth="9.140625" defaultRowHeight="15" x14ac:dyDescent="0.25"/>
  <cols>
    <col min="1" max="1" width="4.7109375" style="20" customWidth="1"/>
    <col min="2" max="2" width="5.42578125" style="20" customWidth="1"/>
    <col min="3" max="3" width="12.85546875" style="20" customWidth="1"/>
    <col min="4" max="4" width="12.140625" style="20" customWidth="1"/>
    <col min="5" max="5" width="5.28515625" style="20" customWidth="1"/>
    <col min="6" max="6" width="11.7109375" style="20" customWidth="1"/>
    <col min="7" max="8" width="8.140625" style="23" hidden="1" customWidth="1"/>
    <col min="9" max="9" width="9.140625" style="23" hidden="1" customWidth="1"/>
    <col min="10" max="10" width="8" style="23" hidden="1" customWidth="1"/>
    <col min="11" max="14" width="9.140625" style="24" hidden="1" customWidth="1"/>
    <col min="15" max="18" width="9.140625" style="25"/>
    <col min="19" max="19" width="9.140625" style="26"/>
    <col min="20" max="21" width="9.140625" style="27"/>
    <col min="22" max="23" width="9.140625" style="28"/>
    <col min="24" max="25" width="9.140625" style="27"/>
    <col min="26" max="27" width="9.140625" style="29"/>
    <col min="28" max="30" width="9.140625" style="30"/>
    <col min="31" max="34" width="9.140625" style="31"/>
    <col min="35" max="16384" width="9.140625" style="20"/>
  </cols>
  <sheetData>
    <row r="1" spans="1:52" ht="49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18" t="s">
        <v>5</v>
      </c>
      <c r="T1" s="19" t="s">
        <v>6</v>
      </c>
      <c r="U1" s="19" t="s">
        <v>193</v>
      </c>
      <c r="V1" s="7" t="s">
        <v>7</v>
      </c>
      <c r="W1" s="7" t="s">
        <v>193</v>
      </c>
      <c r="X1" s="19" t="s">
        <v>8</v>
      </c>
      <c r="Y1" s="19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36" customHeight="1" x14ac:dyDescent="0.25">
      <c r="A2" s="2">
        <v>1</v>
      </c>
      <c r="B2" s="2"/>
      <c r="C2" s="2" t="s">
        <v>519</v>
      </c>
      <c r="D2" s="2" t="s">
        <v>187</v>
      </c>
      <c r="E2" s="2" t="s">
        <v>342</v>
      </c>
      <c r="F2" s="2">
        <v>3047509104</v>
      </c>
      <c r="G2" s="3"/>
      <c r="H2" s="3"/>
      <c r="I2" s="3">
        <v>5732</v>
      </c>
      <c r="J2" s="3"/>
      <c r="K2" s="4"/>
      <c r="L2" s="4"/>
      <c r="M2" s="4"/>
      <c r="N2" s="4"/>
      <c r="O2" s="5">
        <v>5000</v>
      </c>
      <c r="P2" s="5"/>
      <c r="Q2" s="5"/>
      <c r="R2" s="5"/>
      <c r="S2" s="18">
        <v>10000</v>
      </c>
      <c r="T2" s="19">
        <v>5000</v>
      </c>
      <c r="U2" s="19" t="s">
        <v>1058</v>
      </c>
      <c r="V2" s="7"/>
      <c r="W2" s="7"/>
      <c r="X2" s="19"/>
      <c r="Y2" s="19"/>
      <c r="Z2" s="8"/>
      <c r="AA2" s="8"/>
      <c r="AB2" s="10"/>
      <c r="AC2" s="10"/>
      <c r="AD2" s="10"/>
      <c r="AE2" s="11"/>
      <c r="AF2" s="11"/>
      <c r="AG2" s="11"/>
      <c r="AH2" s="11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36" customHeight="1" x14ac:dyDescent="0.25">
      <c r="A3" s="2">
        <v>2</v>
      </c>
      <c r="B3" s="2"/>
      <c r="C3" s="2" t="s">
        <v>520</v>
      </c>
      <c r="D3" s="2" t="s">
        <v>521</v>
      </c>
      <c r="E3" s="2" t="s">
        <v>342</v>
      </c>
      <c r="F3" s="2">
        <v>3062037514</v>
      </c>
      <c r="G3" s="3"/>
      <c r="H3" s="3"/>
      <c r="I3" s="3">
        <v>1975</v>
      </c>
      <c r="J3" s="3"/>
      <c r="K3" s="4"/>
      <c r="L3" s="4"/>
      <c r="M3" s="4"/>
      <c r="N3" s="4"/>
      <c r="O3" s="5">
        <v>0</v>
      </c>
      <c r="P3" s="5">
        <v>0</v>
      </c>
      <c r="Q3" s="5"/>
      <c r="R3" s="5"/>
      <c r="S3" s="18">
        <v>16000</v>
      </c>
      <c r="T3" s="19">
        <v>4000</v>
      </c>
      <c r="U3" s="19" t="s">
        <v>1083</v>
      </c>
      <c r="V3" s="7"/>
      <c r="W3" s="7"/>
      <c r="X3" s="19"/>
      <c r="Y3" s="19"/>
      <c r="Z3" s="8"/>
      <c r="AA3" s="8"/>
      <c r="AB3" s="10"/>
      <c r="AC3" s="10"/>
      <c r="AD3" s="10"/>
      <c r="AE3" s="11"/>
      <c r="AF3" s="11"/>
      <c r="AG3" s="11"/>
      <c r="AH3" s="11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36" customHeight="1" x14ac:dyDescent="0.25">
      <c r="A4" s="2">
        <v>3</v>
      </c>
      <c r="B4" s="2"/>
      <c r="C4" s="2" t="s">
        <v>522</v>
      </c>
      <c r="D4" s="2" t="s">
        <v>523</v>
      </c>
      <c r="E4" s="2" t="s">
        <v>342</v>
      </c>
      <c r="F4" s="2">
        <v>3064977342</v>
      </c>
      <c r="G4" s="3"/>
      <c r="H4" s="3"/>
      <c r="I4" s="3">
        <v>268</v>
      </c>
      <c r="J4" s="3"/>
      <c r="K4" s="4"/>
      <c r="L4" s="4"/>
      <c r="M4" s="4"/>
      <c r="N4" s="4"/>
      <c r="O4" s="5">
        <v>5000</v>
      </c>
      <c r="P4" s="5"/>
      <c r="Q4" s="5"/>
      <c r="R4" s="5"/>
      <c r="S4" s="18">
        <v>10000</v>
      </c>
      <c r="T4" s="19">
        <v>10000</v>
      </c>
      <c r="U4" s="19" t="s">
        <v>1146</v>
      </c>
      <c r="V4" s="7"/>
      <c r="W4" s="7"/>
      <c r="X4" s="19"/>
      <c r="Y4" s="19"/>
      <c r="Z4" s="8"/>
      <c r="AA4" s="8"/>
      <c r="AB4" s="10"/>
      <c r="AC4" s="10"/>
      <c r="AD4" s="10"/>
      <c r="AE4" s="11"/>
      <c r="AF4" s="11"/>
      <c r="AG4" s="11"/>
      <c r="AH4" s="11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36" customHeight="1" x14ac:dyDescent="0.25">
      <c r="A5" s="2">
        <v>4</v>
      </c>
      <c r="B5" s="2"/>
      <c r="C5" s="2" t="s">
        <v>524</v>
      </c>
      <c r="D5" s="2" t="s">
        <v>525</v>
      </c>
      <c r="E5" s="2" t="s">
        <v>342</v>
      </c>
      <c r="F5" s="2">
        <v>3017771750</v>
      </c>
      <c r="G5" s="3"/>
      <c r="H5" s="3"/>
      <c r="I5" s="3">
        <v>870</v>
      </c>
      <c r="J5" s="3"/>
      <c r="K5" s="4"/>
      <c r="L5" s="4"/>
      <c r="M5" s="4"/>
      <c r="N5" s="4"/>
      <c r="O5" s="5">
        <v>0</v>
      </c>
      <c r="P5" s="5">
        <v>0</v>
      </c>
      <c r="Q5" s="5"/>
      <c r="R5" s="5"/>
      <c r="S5" s="18">
        <v>18000</v>
      </c>
      <c r="T5" s="19">
        <v>2000</v>
      </c>
      <c r="U5" s="19" t="s">
        <v>996</v>
      </c>
      <c r="V5" s="7"/>
      <c r="W5" s="7"/>
      <c r="X5" s="19"/>
      <c r="Y5" s="19"/>
      <c r="Z5" s="8"/>
      <c r="AA5" s="8"/>
      <c r="AB5" s="10"/>
      <c r="AC5" s="10"/>
      <c r="AD5" s="10"/>
      <c r="AE5" s="11"/>
      <c r="AF5" s="11"/>
      <c r="AG5" s="11"/>
      <c r="AH5" s="11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36" customHeight="1" x14ac:dyDescent="0.25">
      <c r="A6" s="2">
        <v>5</v>
      </c>
      <c r="B6" s="2"/>
      <c r="C6" s="2" t="s">
        <v>526</v>
      </c>
      <c r="D6" s="2" t="s">
        <v>527</v>
      </c>
      <c r="E6" s="2" t="s">
        <v>342</v>
      </c>
      <c r="F6" s="2">
        <v>3236499234</v>
      </c>
      <c r="G6" s="3"/>
      <c r="H6" s="3"/>
      <c r="I6" s="3">
        <v>1960</v>
      </c>
      <c r="J6" s="3"/>
      <c r="K6" s="4"/>
      <c r="L6" s="4"/>
      <c r="M6" s="4"/>
      <c r="N6" s="4"/>
      <c r="O6" s="5">
        <v>0</v>
      </c>
      <c r="P6" s="5">
        <v>0</v>
      </c>
      <c r="Q6" s="5"/>
      <c r="R6" s="5"/>
      <c r="S6" s="18">
        <v>18000</v>
      </c>
      <c r="T6" s="19">
        <v>3000</v>
      </c>
      <c r="U6" s="19" t="s">
        <v>1112</v>
      </c>
      <c r="V6" s="7">
        <v>2000</v>
      </c>
      <c r="W6" s="7" t="s">
        <v>1531</v>
      </c>
      <c r="X6" s="19"/>
      <c r="Y6" s="19"/>
      <c r="Z6" s="8"/>
      <c r="AA6" s="8"/>
      <c r="AB6" s="10"/>
      <c r="AC6" s="10"/>
      <c r="AD6" s="10"/>
      <c r="AE6" s="11"/>
      <c r="AF6" s="11"/>
      <c r="AG6" s="11"/>
      <c r="AH6" s="11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36" customHeight="1" x14ac:dyDescent="0.25">
      <c r="A7" s="2">
        <v>6</v>
      </c>
      <c r="B7" s="2"/>
      <c r="C7" s="2" t="s">
        <v>528</v>
      </c>
      <c r="D7" s="2" t="s">
        <v>529</v>
      </c>
      <c r="E7" s="2" t="s">
        <v>342</v>
      </c>
      <c r="F7" s="2">
        <v>3055323186</v>
      </c>
      <c r="G7" s="3"/>
      <c r="H7" s="3"/>
      <c r="I7" s="3">
        <v>219</v>
      </c>
      <c r="J7" s="3"/>
      <c r="K7" s="4"/>
      <c r="L7" s="4"/>
      <c r="M7" s="4"/>
      <c r="N7" s="4"/>
      <c r="O7" s="5">
        <v>0</v>
      </c>
      <c r="P7" s="5"/>
      <c r="Q7" s="5"/>
      <c r="R7" s="5"/>
      <c r="S7" s="18">
        <v>18000</v>
      </c>
      <c r="T7" s="19">
        <v>5000</v>
      </c>
      <c r="U7" s="19" t="s">
        <v>993</v>
      </c>
      <c r="V7" s="7">
        <v>2000</v>
      </c>
      <c r="W7" s="7" t="s">
        <v>1686</v>
      </c>
      <c r="X7" s="19"/>
      <c r="Y7" s="19"/>
      <c r="Z7" s="8"/>
      <c r="AA7" s="8"/>
      <c r="AB7" s="10"/>
      <c r="AC7" s="10"/>
      <c r="AD7" s="10"/>
      <c r="AE7" s="11"/>
      <c r="AF7" s="11"/>
      <c r="AG7" s="11"/>
      <c r="AH7" s="11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36" customHeight="1" x14ac:dyDescent="0.25">
      <c r="A8" s="2">
        <v>7</v>
      </c>
      <c r="B8" s="2"/>
      <c r="C8" s="2" t="s">
        <v>530</v>
      </c>
      <c r="D8" s="2" t="s">
        <v>135</v>
      </c>
      <c r="E8" s="2" t="s">
        <v>342</v>
      </c>
      <c r="F8" s="2">
        <v>3075622051</v>
      </c>
      <c r="G8" s="3"/>
      <c r="H8" s="3"/>
      <c r="I8" s="3">
        <v>243</v>
      </c>
      <c r="J8" s="3"/>
      <c r="K8" s="4"/>
      <c r="L8" s="4"/>
      <c r="M8" s="4"/>
      <c r="N8" s="4"/>
      <c r="O8" s="5">
        <v>0</v>
      </c>
      <c r="P8" s="5">
        <v>0</v>
      </c>
      <c r="Q8" s="5">
        <v>0</v>
      </c>
      <c r="R8" s="5"/>
      <c r="S8" s="18">
        <v>18000</v>
      </c>
      <c r="T8" s="19">
        <v>5000</v>
      </c>
      <c r="U8" s="19" t="s">
        <v>953</v>
      </c>
      <c r="V8" s="7"/>
      <c r="W8" s="7"/>
      <c r="X8" s="19"/>
      <c r="Y8" s="19"/>
      <c r="Z8" s="8"/>
      <c r="AA8" s="8"/>
      <c r="AB8" s="10"/>
      <c r="AC8" s="10"/>
      <c r="AD8" s="10"/>
      <c r="AE8" s="11"/>
      <c r="AF8" s="11"/>
      <c r="AG8" s="11"/>
      <c r="AH8" s="11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36" customHeight="1" x14ac:dyDescent="0.25">
      <c r="A9" s="2">
        <v>8</v>
      </c>
      <c r="B9" s="2"/>
      <c r="C9" s="2" t="s">
        <v>531</v>
      </c>
      <c r="D9" s="2" t="s">
        <v>61</v>
      </c>
      <c r="E9" s="2" t="s">
        <v>342</v>
      </c>
      <c r="F9" s="2">
        <v>3077517586</v>
      </c>
      <c r="G9" s="3"/>
      <c r="H9" s="3"/>
      <c r="I9" s="3">
        <v>871</v>
      </c>
      <c r="J9" s="3"/>
      <c r="K9" s="4"/>
      <c r="L9" s="4"/>
      <c r="M9" s="4"/>
      <c r="N9" s="4"/>
      <c r="O9" s="5">
        <v>0</v>
      </c>
      <c r="P9" s="5">
        <v>0</v>
      </c>
      <c r="Q9" s="5"/>
      <c r="R9" s="5"/>
      <c r="S9" s="18">
        <v>24000</v>
      </c>
      <c r="T9" s="19">
        <v>5000</v>
      </c>
      <c r="U9" s="19" t="s">
        <v>958</v>
      </c>
      <c r="V9" s="7">
        <v>4000</v>
      </c>
      <c r="W9" s="7" t="s">
        <v>1737</v>
      </c>
      <c r="X9" s="19"/>
      <c r="Y9" s="19"/>
      <c r="Z9" s="8"/>
      <c r="AA9" s="8"/>
      <c r="AB9" s="10"/>
      <c r="AC9" s="10"/>
      <c r="AD9" s="10"/>
      <c r="AE9" s="11"/>
      <c r="AF9" s="11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36" customHeight="1" x14ac:dyDescent="0.25">
      <c r="A10" s="2">
        <v>9</v>
      </c>
      <c r="B10" s="2"/>
      <c r="C10" s="2" t="s">
        <v>532</v>
      </c>
      <c r="D10" s="2" t="s">
        <v>533</v>
      </c>
      <c r="E10" s="2" t="s">
        <v>342</v>
      </c>
      <c r="F10" s="2">
        <v>3007842371</v>
      </c>
      <c r="G10" s="3"/>
      <c r="H10" s="3"/>
      <c r="I10" s="3">
        <v>272</v>
      </c>
      <c r="J10" s="3"/>
      <c r="K10" s="4"/>
      <c r="L10" s="4"/>
      <c r="M10" s="4"/>
      <c r="N10" s="4"/>
      <c r="O10" s="5">
        <v>5000</v>
      </c>
      <c r="P10" s="5"/>
      <c r="Q10" s="5"/>
      <c r="R10" s="5"/>
      <c r="S10" s="18">
        <v>12000</v>
      </c>
      <c r="T10" s="19">
        <v>5000</v>
      </c>
      <c r="U10" s="19" t="s">
        <v>1119</v>
      </c>
      <c r="V10" s="7"/>
      <c r="W10" s="7"/>
      <c r="X10" s="19"/>
      <c r="Y10" s="19"/>
      <c r="Z10" s="8"/>
      <c r="AA10" s="8"/>
      <c r="AB10" s="10"/>
      <c r="AC10" s="10"/>
      <c r="AD10" s="10"/>
      <c r="AE10" s="11"/>
      <c r="AF10" s="11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36" customHeight="1" x14ac:dyDescent="0.25">
      <c r="A11" s="2">
        <v>10</v>
      </c>
      <c r="B11" s="2"/>
      <c r="C11" s="2" t="s">
        <v>534</v>
      </c>
      <c r="D11" s="2" t="s">
        <v>153</v>
      </c>
      <c r="E11" s="2" t="s">
        <v>342</v>
      </c>
      <c r="F11" s="2">
        <v>3017821828</v>
      </c>
      <c r="G11" s="3"/>
      <c r="H11" s="3"/>
      <c r="I11" s="3">
        <v>848</v>
      </c>
      <c r="J11" s="3"/>
      <c r="K11" s="4"/>
      <c r="L11" s="4"/>
      <c r="M11" s="4"/>
      <c r="N11" s="4"/>
      <c r="O11" s="5">
        <v>5000</v>
      </c>
      <c r="P11" s="5"/>
      <c r="Q11" s="5"/>
      <c r="R11" s="5"/>
      <c r="S11" s="18">
        <v>25000</v>
      </c>
      <c r="T11" s="19">
        <v>5000</v>
      </c>
      <c r="U11" s="19" t="s">
        <v>1379</v>
      </c>
      <c r="V11" s="7">
        <v>5000</v>
      </c>
      <c r="W11" s="7" t="s">
        <v>1632</v>
      </c>
      <c r="X11" s="19"/>
      <c r="Y11" s="19"/>
      <c r="Z11" s="8"/>
      <c r="AA11" s="8"/>
      <c r="AB11" s="10"/>
      <c r="AC11" s="10"/>
      <c r="AD11" s="10"/>
      <c r="AE11" s="11"/>
      <c r="AF11" s="11"/>
      <c r="AG11" s="11"/>
      <c r="AH11" s="11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36" customHeight="1" x14ac:dyDescent="0.25">
      <c r="A12" s="2">
        <v>11</v>
      </c>
      <c r="B12" s="2"/>
      <c r="C12" s="2" t="s">
        <v>535</v>
      </c>
      <c r="D12" s="2" t="s">
        <v>375</v>
      </c>
      <c r="E12" s="2" t="s">
        <v>342</v>
      </c>
      <c r="F12" s="2"/>
      <c r="G12" s="3"/>
      <c r="H12" s="3"/>
      <c r="I12" s="3">
        <v>373</v>
      </c>
      <c r="J12" s="3"/>
      <c r="K12" s="4"/>
      <c r="L12" s="4"/>
      <c r="M12" s="4"/>
      <c r="N12" s="4"/>
      <c r="O12" s="5"/>
      <c r="P12" s="5"/>
      <c r="Q12" s="5"/>
      <c r="R12" s="5"/>
      <c r="S12" s="18">
        <v>12000</v>
      </c>
      <c r="T12" s="19">
        <v>5000</v>
      </c>
      <c r="U12" s="19" t="s">
        <v>949</v>
      </c>
      <c r="V12" s="7"/>
      <c r="W12" s="7"/>
      <c r="X12" s="19"/>
      <c r="Y12" s="19"/>
      <c r="Z12" s="8"/>
      <c r="AA12" s="8"/>
      <c r="AB12" s="10"/>
      <c r="AC12" s="10"/>
      <c r="AD12" s="10"/>
      <c r="AE12" s="11"/>
      <c r="AF12" s="11"/>
      <c r="AG12" s="11"/>
      <c r="AH12" s="1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36" customHeight="1" x14ac:dyDescent="0.25">
      <c r="A13" s="2">
        <v>12</v>
      </c>
      <c r="B13" s="2"/>
      <c r="C13" s="2" t="s">
        <v>536</v>
      </c>
      <c r="D13" s="2" t="s">
        <v>537</v>
      </c>
      <c r="E13" s="2" t="s">
        <v>342</v>
      </c>
      <c r="F13" s="2">
        <v>3017596364</v>
      </c>
      <c r="G13" s="3"/>
      <c r="H13" s="3"/>
      <c r="I13" s="3">
        <v>220</v>
      </c>
      <c r="J13" s="3"/>
      <c r="K13" s="4"/>
      <c r="L13" s="4"/>
      <c r="M13" s="4"/>
      <c r="N13" s="4"/>
      <c r="O13" s="5">
        <v>5000</v>
      </c>
      <c r="P13" s="5"/>
      <c r="Q13" s="5"/>
      <c r="R13" s="5"/>
      <c r="S13" s="18">
        <v>20000</v>
      </c>
      <c r="T13" s="19">
        <v>5000</v>
      </c>
      <c r="U13" s="19" t="s">
        <v>1041</v>
      </c>
      <c r="V13" s="7">
        <v>5000</v>
      </c>
      <c r="W13" s="7" t="s">
        <v>1633</v>
      </c>
      <c r="X13" s="19"/>
      <c r="Y13" s="19"/>
      <c r="Z13" s="8"/>
      <c r="AA13" s="8"/>
      <c r="AB13" s="10"/>
      <c r="AC13" s="10"/>
      <c r="AD13" s="10"/>
      <c r="AE13" s="11"/>
      <c r="AF13" s="11"/>
      <c r="AG13" s="11"/>
      <c r="AH13" s="11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36" customHeight="1" x14ac:dyDescent="0.25">
      <c r="A14" s="2">
        <v>13</v>
      </c>
      <c r="B14" s="2"/>
      <c r="C14" s="2" t="s">
        <v>538</v>
      </c>
      <c r="D14" s="2" t="s">
        <v>135</v>
      </c>
      <c r="E14" s="2" t="s">
        <v>342</v>
      </c>
      <c r="F14" s="2">
        <v>3024571650</v>
      </c>
      <c r="G14" s="3"/>
      <c r="H14" s="3"/>
      <c r="I14" s="3"/>
      <c r="J14" s="3"/>
      <c r="K14" s="4"/>
      <c r="L14" s="4"/>
      <c r="M14" s="4"/>
      <c r="N14" s="4"/>
      <c r="O14" s="5">
        <v>0</v>
      </c>
      <c r="P14" s="5">
        <v>0</v>
      </c>
      <c r="Q14" s="5"/>
      <c r="R14" s="5"/>
      <c r="S14" s="18">
        <v>29000</v>
      </c>
      <c r="T14" s="19">
        <v>5000</v>
      </c>
      <c r="U14" s="19" t="s">
        <v>1085</v>
      </c>
      <c r="V14" s="7">
        <v>10000</v>
      </c>
      <c r="W14" s="7" t="s">
        <v>1438</v>
      </c>
      <c r="X14" s="19"/>
      <c r="Y14" s="19"/>
      <c r="Z14" s="8"/>
      <c r="AA14" s="8"/>
      <c r="AB14" s="10"/>
      <c r="AC14" s="10"/>
      <c r="AD14" s="10"/>
      <c r="AE14" s="11"/>
      <c r="AF14" s="11"/>
      <c r="AG14" s="11"/>
      <c r="AH14" s="11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36" customHeight="1" x14ac:dyDescent="0.25">
      <c r="A15" s="2">
        <v>14</v>
      </c>
      <c r="B15" s="2"/>
      <c r="C15" s="2" t="s">
        <v>539</v>
      </c>
      <c r="D15" s="2" t="s">
        <v>540</v>
      </c>
      <c r="E15" s="2" t="s">
        <v>342</v>
      </c>
      <c r="F15" s="22">
        <v>3038028387</v>
      </c>
      <c r="G15" s="3"/>
      <c r="H15" s="3"/>
      <c r="I15" s="3">
        <v>356</v>
      </c>
      <c r="J15" s="3"/>
      <c r="K15" s="4"/>
      <c r="L15" s="4"/>
      <c r="M15" s="4"/>
      <c r="N15" s="4"/>
      <c r="O15" s="5">
        <v>0</v>
      </c>
      <c r="P15" s="5">
        <v>0</v>
      </c>
      <c r="Q15" s="5"/>
      <c r="R15" s="5"/>
      <c r="S15" s="18">
        <v>12000</v>
      </c>
      <c r="T15" s="19">
        <v>6000</v>
      </c>
      <c r="U15" s="19" t="s">
        <v>957</v>
      </c>
      <c r="V15" s="7">
        <v>6000</v>
      </c>
      <c r="W15" s="7" t="s">
        <v>972</v>
      </c>
      <c r="X15" s="19"/>
      <c r="Y15" s="19"/>
      <c r="Z15" s="8"/>
      <c r="AA15" s="8"/>
      <c r="AB15" s="10"/>
      <c r="AC15" s="10"/>
      <c r="AD15" s="10"/>
      <c r="AE15" s="11"/>
      <c r="AF15" s="11"/>
      <c r="AG15" s="11"/>
      <c r="AH15" s="1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36" customHeight="1" x14ac:dyDescent="0.25">
      <c r="A16" s="2">
        <v>15</v>
      </c>
      <c r="B16" s="2"/>
      <c r="C16" s="2" t="s">
        <v>541</v>
      </c>
      <c r="D16" s="2" t="s">
        <v>542</v>
      </c>
      <c r="E16" s="2" t="s">
        <v>342</v>
      </c>
      <c r="F16" s="2">
        <v>3014747010</v>
      </c>
      <c r="G16" s="3"/>
      <c r="H16" s="3"/>
      <c r="I16" s="3">
        <v>779</v>
      </c>
      <c r="J16" s="3"/>
      <c r="K16" s="4"/>
      <c r="L16" s="4"/>
      <c r="M16" s="4"/>
      <c r="N16" s="4"/>
      <c r="O16" s="5">
        <v>5000</v>
      </c>
      <c r="P16" s="5"/>
      <c r="Q16" s="5"/>
      <c r="R16" s="5"/>
      <c r="S16" s="18">
        <v>20000</v>
      </c>
      <c r="T16" s="19">
        <v>5000</v>
      </c>
      <c r="U16" s="19" t="s">
        <v>1043</v>
      </c>
      <c r="V16" s="7">
        <v>5000</v>
      </c>
      <c r="W16" s="7" t="s">
        <v>1567</v>
      </c>
      <c r="X16" s="19"/>
      <c r="Y16" s="19"/>
      <c r="Z16" s="8"/>
      <c r="AA16" s="8"/>
      <c r="AB16" s="10"/>
      <c r="AC16" s="10"/>
      <c r="AD16" s="10"/>
      <c r="AE16" s="11"/>
      <c r="AF16" s="11"/>
      <c r="AG16" s="11"/>
      <c r="AH16" s="1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36" customHeight="1" x14ac:dyDescent="0.25">
      <c r="A17" s="2">
        <v>16</v>
      </c>
      <c r="B17" s="2"/>
      <c r="C17" s="2" t="s">
        <v>543</v>
      </c>
      <c r="D17" s="2" t="s">
        <v>361</v>
      </c>
      <c r="E17" s="2" t="s">
        <v>342</v>
      </c>
      <c r="F17" s="2">
        <v>3070597118</v>
      </c>
      <c r="G17" s="3"/>
      <c r="H17" s="3"/>
      <c r="I17" s="3">
        <v>267</v>
      </c>
      <c r="J17" s="3"/>
      <c r="K17" s="4"/>
      <c r="L17" s="4"/>
      <c r="M17" s="4"/>
      <c r="N17" s="4"/>
      <c r="O17" s="5">
        <v>5000</v>
      </c>
      <c r="P17" s="5"/>
      <c r="Q17" s="5"/>
      <c r="R17" s="5"/>
      <c r="S17" s="18">
        <v>18000</v>
      </c>
      <c r="T17" s="19">
        <v>2000</v>
      </c>
      <c r="U17" s="19" t="s">
        <v>1139</v>
      </c>
      <c r="V17" s="7">
        <v>2000</v>
      </c>
      <c r="W17" s="7" t="s">
        <v>1549</v>
      </c>
      <c r="X17" s="19">
        <v>2000</v>
      </c>
      <c r="Y17" s="19" t="s">
        <v>1819</v>
      </c>
      <c r="Z17" s="8"/>
      <c r="AA17" s="8"/>
      <c r="AB17" s="10"/>
      <c r="AC17" s="10"/>
      <c r="AD17" s="10"/>
      <c r="AE17" s="11"/>
      <c r="AF17" s="11"/>
      <c r="AG17" s="11"/>
      <c r="AH17" s="1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36" customHeight="1" x14ac:dyDescent="0.25">
      <c r="A18" s="2">
        <v>17</v>
      </c>
      <c r="B18" s="2"/>
      <c r="C18" s="2" t="s">
        <v>544</v>
      </c>
      <c r="D18" s="2" t="s">
        <v>545</v>
      </c>
      <c r="E18" s="2" t="s">
        <v>342</v>
      </c>
      <c r="F18" s="2">
        <v>3142614981</v>
      </c>
      <c r="G18" s="3"/>
      <c r="H18" s="3"/>
      <c r="I18" s="3">
        <v>361</v>
      </c>
      <c r="J18" s="3"/>
      <c r="K18" s="4"/>
      <c r="L18" s="4"/>
      <c r="M18" s="4"/>
      <c r="N18" s="4"/>
      <c r="O18" s="5">
        <v>0</v>
      </c>
      <c r="P18" s="5">
        <v>0</v>
      </c>
      <c r="Q18" s="5"/>
      <c r="R18" s="5"/>
      <c r="S18" s="18"/>
      <c r="T18" s="19">
        <v>3000</v>
      </c>
      <c r="U18" s="19" t="s">
        <v>1198</v>
      </c>
      <c r="V18" s="7"/>
      <c r="W18" s="7"/>
      <c r="X18" s="19"/>
      <c r="Y18" s="19"/>
      <c r="Z18" s="8"/>
      <c r="AA18" s="8"/>
      <c r="AB18" s="10"/>
      <c r="AC18" s="10"/>
      <c r="AD18" s="10"/>
      <c r="AE18" s="11"/>
      <c r="AF18" s="11"/>
      <c r="AG18" s="11"/>
      <c r="AH18" s="11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36" customHeight="1" x14ac:dyDescent="0.25">
      <c r="A19" s="2">
        <v>18</v>
      </c>
      <c r="B19" s="2"/>
      <c r="C19" s="2" t="s">
        <v>546</v>
      </c>
      <c r="D19" s="2" t="s">
        <v>547</v>
      </c>
      <c r="E19" s="2" t="s">
        <v>342</v>
      </c>
      <c r="F19" s="2"/>
      <c r="G19" s="3"/>
      <c r="H19" s="3"/>
      <c r="I19" s="21">
        <v>5712</v>
      </c>
      <c r="J19" s="3"/>
      <c r="K19" s="4"/>
      <c r="L19" s="4"/>
      <c r="M19" s="4"/>
      <c r="N19" s="4"/>
      <c r="O19" s="5">
        <v>5000</v>
      </c>
      <c r="P19" s="5"/>
      <c r="Q19" s="5"/>
      <c r="R19" s="5"/>
      <c r="S19" s="18">
        <v>10000</v>
      </c>
      <c r="T19" s="19"/>
      <c r="U19" s="19"/>
      <c r="V19" s="7"/>
      <c r="W19" s="7"/>
      <c r="X19" s="19"/>
      <c r="Y19" s="19"/>
      <c r="Z19" s="8"/>
      <c r="AA19" s="8"/>
      <c r="AB19" s="10"/>
      <c r="AC19" s="10"/>
      <c r="AD19" s="10"/>
      <c r="AE19" s="11"/>
      <c r="AF19" s="11"/>
      <c r="AG19" s="11"/>
      <c r="AH19" s="1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36" customHeight="1" x14ac:dyDescent="0.25">
      <c r="A20" s="2">
        <v>19</v>
      </c>
      <c r="B20" s="2"/>
      <c r="C20" s="2" t="s">
        <v>548</v>
      </c>
      <c r="D20" s="2" t="s">
        <v>391</v>
      </c>
      <c r="E20" s="2" t="s">
        <v>342</v>
      </c>
      <c r="F20" s="2">
        <v>3014960211</v>
      </c>
      <c r="G20" s="3"/>
      <c r="H20" s="3"/>
      <c r="I20" s="3">
        <v>1974</v>
      </c>
      <c r="J20" s="3"/>
      <c r="K20" s="4"/>
      <c r="L20" s="4"/>
      <c r="M20" s="4"/>
      <c r="N20" s="4"/>
      <c r="O20" s="5">
        <v>0</v>
      </c>
      <c r="P20" s="5">
        <v>0</v>
      </c>
      <c r="Q20" s="5"/>
      <c r="R20" s="5"/>
      <c r="S20" s="18">
        <v>25000</v>
      </c>
      <c r="T20" s="19">
        <v>5000</v>
      </c>
      <c r="U20" s="19" t="s">
        <v>961</v>
      </c>
      <c r="V20" s="7">
        <v>5000</v>
      </c>
      <c r="W20" s="7" t="s">
        <v>1797</v>
      </c>
      <c r="X20" s="19"/>
      <c r="Y20" s="19"/>
      <c r="Z20" s="8"/>
      <c r="AA20" s="8"/>
      <c r="AB20" s="10"/>
      <c r="AC20" s="10"/>
      <c r="AD20" s="10"/>
      <c r="AE20" s="11"/>
      <c r="AF20" s="11"/>
      <c r="AG20" s="11"/>
      <c r="AH20" s="11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36" customHeight="1" x14ac:dyDescent="0.25">
      <c r="A21" s="2">
        <v>20</v>
      </c>
      <c r="B21" s="2"/>
      <c r="C21" s="2" t="s">
        <v>549</v>
      </c>
      <c r="D21" s="2" t="s">
        <v>87</v>
      </c>
      <c r="E21" s="2" t="s">
        <v>342</v>
      </c>
      <c r="F21" s="2">
        <v>3041524301</v>
      </c>
      <c r="G21" s="3"/>
      <c r="H21" s="3"/>
      <c r="I21" s="3">
        <v>1994</v>
      </c>
      <c r="J21" s="3"/>
      <c r="K21" s="4"/>
      <c r="L21" s="4"/>
      <c r="M21" s="4"/>
      <c r="N21" s="4"/>
      <c r="O21" s="5">
        <v>0</v>
      </c>
      <c r="P21" s="5">
        <v>0</v>
      </c>
      <c r="Q21" s="5"/>
      <c r="R21" s="5"/>
      <c r="S21" s="18">
        <v>20000</v>
      </c>
      <c r="T21" s="19">
        <v>10000</v>
      </c>
      <c r="U21" s="19" t="s">
        <v>1088</v>
      </c>
      <c r="V21" s="7"/>
      <c r="W21" s="7"/>
      <c r="X21" s="19"/>
      <c r="Y21" s="19"/>
      <c r="Z21" s="8"/>
      <c r="AA21" s="8"/>
      <c r="AB21" s="10"/>
      <c r="AC21" s="10"/>
      <c r="AD21" s="10"/>
      <c r="AE21" s="11"/>
      <c r="AF21" s="11"/>
      <c r="AG21" s="11"/>
      <c r="AH21" s="1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36" customHeight="1" x14ac:dyDescent="0.25">
      <c r="A22" s="2">
        <v>21</v>
      </c>
      <c r="B22" s="2"/>
      <c r="C22" s="2" t="s">
        <v>550</v>
      </c>
      <c r="D22" s="2" t="s">
        <v>551</v>
      </c>
      <c r="E22" s="2" t="s">
        <v>342</v>
      </c>
      <c r="F22" s="2">
        <v>3017608843</v>
      </c>
      <c r="G22" s="3"/>
      <c r="H22" s="3"/>
      <c r="I22" s="3"/>
      <c r="J22" s="3"/>
      <c r="K22" s="4"/>
      <c r="L22" s="4"/>
      <c r="M22" s="4"/>
      <c r="N22" s="4"/>
      <c r="O22" s="5">
        <v>0</v>
      </c>
      <c r="P22" s="5">
        <v>0</v>
      </c>
      <c r="Q22" s="5"/>
      <c r="R22" s="5"/>
      <c r="S22" s="18">
        <v>18000</v>
      </c>
      <c r="T22" s="19">
        <v>5000</v>
      </c>
      <c r="U22" s="19" t="s">
        <v>965</v>
      </c>
      <c r="V22" s="7">
        <v>3000</v>
      </c>
      <c r="W22" s="7" t="s">
        <v>1322</v>
      </c>
      <c r="X22" s="19"/>
      <c r="Y22" s="19"/>
      <c r="Z22" s="8"/>
      <c r="AA22" s="8"/>
      <c r="AB22" s="10"/>
      <c r="AC22" s="10"/>
      <c r="AD22" s="10"/>
      <c r="AE22" s="11"/>
      <c r="AF22" s="11"/>
      <c r="AG22" s="11"/>
      <c r="AH22" s="11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36" customHeight="1" x14ac:dyDescent="0.25">
      <c r="A23" s="2">
        <v>22</v>
      </c>
      <c r="B23" s="2"/>
      <c r="C23" s="2" t="s">
        <v>552</v>
      </c>
      <c r="D23" s="2" t="s">
        <v>553</v>
      </c>
      <c r="E23" s="2" t="s">
        <v>342</v>
      </c>
      <c r="F23" s="2">
        <v>3006879607</v>
      </c>
      <c r="G23" s="3"/>
      <c r="H23" s="3"/>
      <c r="I23" s="3">
        <v>359</v>
      </c>
      <c r="J23" s="3"/>
      <c r="K23" s="4"/>
      <c r="L23" s="4"/>
      <c r="M23" s="4"/>
      <c r="N23" s="4"/>
      <c r="O23" s="5">
        <v>0</v>
      </c>
      <c r="P23" s="5">
        <v>0</v>
      </c>
      <c r="Q23" s="5"/>
      <c r="R23" s="5"/>
      <c r="S23" s="18">
        <v>30000</v>
      </c>
      <c r="T23" s="19">
        <v>5000</v>
      </c>
      <c r="U23" s="19" t="s">
        <v>966</v>
      </c>
      <c r="V23" s="7">
        <v>5000</v>
      </c>
      <c r="W23" s="7" t="s">
        <v>1701</v>
      </c>
      <c r="X23" s="19"/>
      <c r="Y23" s="19"/>
      <c r="Z23" s="8"/>
      <c r="AA23" s="8"/>
      <c r="AB23" s="10"/>
      <c r="AC23" s="10"/>
      <c r="AD23" s="10"/>
      <c r="AE23" s="11"/>
      <c r="AF23" s="11"/>
      <c r="AG23" s="11"/>
      <c r="AH23" s="1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36" customHeight="1" x14ac:dyDescent="0.25">
      <c r="A24" s="2">
        <v>23</v>
      </c>
      <c r="B24" s="2"/>
      <c r="C24" s="2" t="s">
        <v>1081</v>
      </c>
      <c r="D24" s="2" t="s">
        <v>554</v>
      </c>
      <c r="E24" s="2" t="s">
        <v>342</v>
      </c>
      <c r="F24" s="2">
        <v>3033131296</v>
      </c>
      <c r="G24" s="3"/>
      <c r="H24" s="3"/>
      <c r="I24" s="3">
        <v>830</v>
      </c>
      <c r="J24" s="3"/>
      <c r="K24" s="4"/>
      <c r="L24" s="4"/>
      <c r="M24" s="4"/>
      <c r="N24" s="4"/>
      <c r="O24" s="5">
        <v>0</v>
      </c>
      <c r="P24" s="5">
        <v>0</v>
      </c>
      <c r="Q24" s="5"/>
      <c r="R24" s="5"/>
      <c r="S24" s="18">
        <v>21000</v>
      </c>
      <c r="T24" s="19">
        <v>3000</v>
      </c>
      <c r="U24" s="19" t="s">
        <v>1082</v>
      </c>
      <c r="V24" s="7">
        <v>6000</v>
      </c>
      <c r="W24" s="7" t="s">
        <v>1714</v>
      </c>
      <c r="X24" s="19"/>
      <c r="Y24" s="19"/>
      <c r="Z24" s="8"/>
      <c r="AA24" s="8"/>
      <c r="AB24" s="10"/>
      <c r="AC24" s="10"/>
      <c r="AD24" s="10"/>
      <c r="AE24" s="11"/>
      <c r="AF24" s="11"/>
      <c r="AG24" s="11"/>
      <c r="AH24" s="1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36" customHeight="1" x14ac:dyDescent="0.25">
      <c r="A25" s="2">
        <v>24</v>
      </c>
      <c r="B25" s="2"/>
      <c r="C25" s="2" t="s">
        <v>555</v>
      </c>
      <c r="D25" s="2" t="s">
        <v>130</v>
      </c>
      <c r="E25" s="2" t="s">
        <v>342</v>
      </c>
      <c r="F25" s="2">
        <v>3086019140</v>
      </c>
      <c r="G25" s="3"/>
      <c r="H25" s="3"/>
      <c r="I25" s="3">
        <v>342</v>
      </c>
      <c r="J25" s="3"/>
      <c r="K25" s="4"/>
      <c r="L25" s="4"/>
      <c r="M25" s="4"/>
      <c r="N25" s="4"/>
      <c r="O25" s="5">
        <v>0</v>
      </c>
      <c r="P25" s="5"/>
      <c r="Q25" s="5">
        <v>0</v>
      </c>
      <c r="R25" s="5"/>
      <c r="S25" s="18">
        <v>12000</v>
      </c>
      <c r="T25" s="19">
        <v>4000</v>
      </c>
      <c r="U25" s="19" t="s">
        <v>973</v>
      </c>
      <c r="V25" s="7">
        <v>8000</v>
      </c>
      <c r="W25" s="7" t="s">
        <v>1324</v>
      </c>
      <c r="X25" s="19"/>
      <c r="Y25" s="19"/>
      <c r="Z25" s="8"/>
      <c r="AA25" s="8"/>
      <c r="AB25" s="10"/>
      <c r="AC25" s="10"/>
      <c r="AD25" s="10"/>
      <c r="AE25" s="11"/>
      <c r="AF25" s="11"/>
      <c r="AG25" s="11"/>
      <c r="AH25" s="11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36" customHeight="1" x14ac:dyDescent="0.25">
      <c r="A26" s="2">
        <v>25</v>
      </c>
      <c r="B26" s="2"/>
      <c r="C26" s="2" t="s">
        <v>556</v>
      </c>
      <c r="D26" s="2" t="s">
        <v>557</v>
      </c>
      <c r="E26" s="2" t="s">
        <v>342</v>
      </c>
      <c r="F26" s="2">
        <v>3002148117</v>
      </c>
      <c r="G26" s="3"/>
      <c r="H26" s="3"/>
      <c r="I26" s="3">
        <v>5740</v>
      </c>
      <c r="J26" s="3"/>
      <c r="K26" s="4"/>
      <c r="L26" s="4"/>
      <c r="M26" s="4"/>
      <c r="N26" s="4"/>
      <c r="O26" s="5">
        <v>5000</v>
      </c>
      <c r="P26" s="5"/>
      <c r="Q26" s="5"/>
      <c r="R26" s="5"/>
      <c r="S26" s="18">
        <v>18000</v>
      </c>
      <c r="T26" s="19">
        <v>5000</v>
      </c>
      <c r="U26" s="19" t="s">
        <v>1022</v>
      </c>
      <c r="V26" s="7"/>
      <c r="W26" s="7"/>
      <c r="X26" s="19"/>
      <c r="Y26" s="19"/>
      <c r="Z26" s="8"/>
      <c r="AA26" s="8"/>
      <c r="AB26" s="10"/>
      <c r="AC26" s="10"/>
      <c r="AD26" s="10"/>
      <c r="AE26" s="11"/>
      <c r="AF26" s="11"/>
      <c r="AG26" s="11"/>
      <c r="AH26" s="11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36" customHeight="1" x14ac:dyDescent="0.25">
      <c r="A27" s="2">
        <v>26</v>
      </c>
      <c r="B27" s="2"/>
      <c r="C27" s="2" t="s">
        <v>558</v>
      </c>
      <c r="D27" s="2" t="s">
        <v>98</v>
      </c>
      <c r="E27" s="2" t="s">
        <v>342</v>
      </c>
      <c r="F27" s="2">
        <v>3007304196</v>
      </c>
      <c r="G27" s="3"/>
      <c r="H27" s="3"/>
      <c r="I27" s="3">
        <v>889</v>
      </c>
      <c r="J27" s="3"/>
      <c r="K27" s="4"/>
      <c r="L27" s="4"/>
      <c r="M27" s="4"/>
      <c r="N27" s="4"/>
      <c r="O27" s="5">
        <v>0</v>
      </c>
      <c r="P27" s="5">
        <v>0</v>
      </c>
      <c r="Q27" s="5"/>
      <c r="R27" s="5"/>
      <c r="S27" s="18">
        <v>20000</v>
      </c>
      <c r="T27" s="19">
        <v>20000</v>
      </c>
      <c r="U27" s="19" t="s">
        <v>977</v>
      </c>
      <c r="V27" s="7"/>
      <c r="W27" s="7"/>
      <c r="X27" s="19"/>
      <c r="Y27" s="19"/>
      <c r="Z27" s="8"/>
      <c r="AA27" s="8"/>
      <c r="AB27" s="10"/>
      <c r="AC27" s="10"/>
      <c r="AD27" s="10"/>
      <c r="AE27" s="11"/>
      <c r="AF27" s="11"/>
      <c r="AG27" s="11"/>
      <c r="AH27" s="1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36" customHeight="1" x14ac:dyDescent="0.25">
      <c r="A28" s="2">
        <v>27</v>
      </c>
      <c r="B28" s="2"/>
      <c r="C28" s="2" t="s">
        <v>1409</v>
      </c>
      <c r="D28" s="2" t="s">
        <v>111</v>
      </c>
      <c r="E28" s="2" t="s">
        <v>342</v>
      </c>
      <c r="F28" s="2">
        <v>3002037137</v>
      </c>
      <c r="G28" s="3"/>
      <c r="H28" s="3"/>
      <c r="I28" s="3">
        <v>210</v>
      </c>
      <c r="J28" s="3"/>
      <c r="K28" s="4"/>
      <c r="L28" s="4"/>
      <c r="M28" s="4"/>
      <c r="N28" s="4"/>
      <c r="O28" s="5">
        <v>5000</v>
      </c>
      <c r="P28" s="5"/>
      <c r="Q28" s="5"/>
      <c r="R28" s="5"/>
      <c r="S28" s="18">
        <v>15000</v>
      </c>
      <c r="T28" s="19">
        <v>5000</v>
      </c>
      <c r="U28" s="19" t="s">
        <v>1408</v>
      </c>
      <c r="V28" s="7"/>
      <c r="W28" s="7"/>
      <c r="X28" s="19"/>
      <c r="Y28" s="19"/>
      <c r="Z28" s="8"/>
      <c r="AA28" s="8"/>
      <c r="AB28" s="10"/>
      <c r="AC28" s="10"/>
      <c r="AD28" s="10"/>
      <c r="AE28" s="11"/>
      <c r="AF28" s="11"/>
      <c r="AG28" s="11"/>
      <c r="AH28" s="1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36" customHeight="1" x14ac:dyDescent="0.25">
      <c r="A29" s="2">
        <v>28</v>
      </c>
      <c r="B29" s="2"/>
      <c r="C29" s="2" t="s">
        <v>559</v>
      </c>
      <c r="D29" s="2" t="s">
        <v>560</v>
      </c>
      <c r="E29" s="2" t="s">
        <v>342</v>
      </c>
      <c r="F29" s="2">
        <v>3049489766</v>
      </c>
      <c r="G29" s="3"/>
      <c r="H29" s="3"/>
      <c r="I29" s="3">
        <v>838</v>
      </c>
      <c r="J29" s="3"/>
      <c r="K29" s="4"/>
      <c r="L29" s="4"/>
      <c r="M29" s="4"/>
      <c r="N29" s="4"/>
      <c r="O29" s="5">
        <v>5000</v>
      </c>
      <c r="P29" s="5"/>
      <c r="Q29" s="5"/>
      <c r="R29" s="5"/>
      <c r="S29" s="18">
        <v>15000</v>
      </c>
      <c r="T29" s="19">
        <v>5000</v>
      </c>
      <c r="U29" s="19" t="s">
        <v>1089</v>
      </c>
      <c r="V29" s="7">
        <v>5000</v>
      </c>
      <c r="W29" s="7" t="s">
        <v>1730</v>
      </c>
      <c r="X29" s="19"/>
      <c r="Y29" s="19"/>
      <c r="Z29" s="8"/>
      <c r="AA29" s="8"/>
      <c r="AB29" s="10"/>
      <c r="AC29" s="10"/>
      <c r="AD29" s="10"/>
      <c r="AE29" s="11"/>
      <c r="AF29" s="11"/>
      <c r="AG29" s="11"/>
      <c r="AH29" s="1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36" customHeight="1" x14ac:dyDescent="0.25">
      <c r="A30" s="2">
        <v>29</v>
      </c>
      <c r="B30" s="2"/>
      <c r="C30" s="2" t="s">
        <v>561</v>
      </c>
      <c r="D30" s="2" t="s">
        <v>367</v>
      </c>
      <c r="E30" s="2" t="s">
        <v>342</v>
      </c>
      <c r="F30" s="2">
        <v>3047436138</v>
      </c>
      <c r="G30" s="3"/>
      <c r="H30" s="3"/>
      <c r="I30" s="3">
        <v>873</v>
      </c>
      <c r="J30" s="3"/>
      <c r="K30" s="4"/>
      <c r="L30" s="4"/>
      <c r="M30" s="4"/>
      <c r="N30" s="4"/>
      <c r="O30" s="5">
        <v>5000</v>
      </c>
      <c r="P30" s="5"/>
      <c r="Q30" s="5"/>
      <c r="R30" s="5"/>
      <c r="S30" s="18">
        <v>20000</v>
      </c>
      <c r="T30" s="19">
        <v>10000</v>
      </c>
      <c r="U30" s="19" t="s">
        <v>1212</v>
      </c>
      <c r="V30" s="7"/>
      <c r="W30" s="7"/>
      <c r="X30" s="19"/>
      <c r="Y30" s="19"/>
      <c r="Z30" s="8"/>
      <c r="AA30" s="8"/>
      <c r="AB30" s="10"/>
      <c r="AC30" s="10"/>
      <c r="AD30" s="10"/>
      <c r="AE30" s="11"/>
      <c r="AF30" s="11"/>
      <c r="AG30" s="11"/>
      <c r="AH30" s="1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36" customHeight="1" x14ac:dyDescent="0.25">
      <c r="A31" s="2">
        <v>30</v>
      </c>
      <c r="B31" s="2"/>
      <c r="C31" s="2" t="s">
        <v>562</v>
      </c>
      <c r="D31" s="2" t="s">
        <v>563</v>
      </c>
      <c r="E31" s="2" t="s">
        <v>342</v>
      </c>
      <c r="F31" s="2">
        <v>3087706577</v>
      </c>
      <c r="G31" s="3"/>
      <c r="H31" s="3"/>
      <c r="I31" s="3">
        <v>1961</v>
      </c>
      <c r="J31" s="3"/>
      <c r="K31" s="4"/>
      <c r="L31" s="4"/>
      <c r="M31" s="4"/>
      <c r="N31" s="4"/>
      <c r="O31" s="5">
        <v>5000</v>
      </c>
      <c r="P31" s="5"/>
      <c r="Q31" s="5"/>
      <c r="R31" s="5"/>
      <c r="S31" s="18">
        <v>18000</v>
      </c>
      <c r="T31" s="19">
        <v>6000</v>
      </c>
      <c r="U31" s="19" t="s">
        <v>1163</v>
      </c>
      <c r="V31" s="7">
        <v>6000</v>
      </c>
      <c r="W31" s="7" t="s">
        <v>1685</v>
      </c>
      <c r="X31" s="19"/>
      <c r="Y31" s="19"/>
      <c r="Z31" s="8"/>
      <c r="AA31" s="8"/>
      <c r="AB31" s="10"/>
      <c r="AC31" s="10"/>
      <c r="AD31" s="10"/>
      <c r="AE31" s="11"/>
      <c r="AF31" s="11"/>
      <c r="AG31" s="11"/>
      <c r="AH31" s="1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36" customHeight="1" x14ac:dyDescent="0.25">
      <c r="A32" s="2">
        <v>31</v>
      </c>
      <c r="B32" s="2"/>
      <c r="C32" s="2" t="s">
        <v>564</v>
      </c>
      <c r="D32" s="2" t="s">
        <v>98</v>
      </c>
      <c r="E32" s="2" t="s">
        <v>342</v>
      </c>
      <c r="F32" s="2">
        <v>3015435957</v>
      </c>
      <c r="G32" s="3"/>
      <c r="H32" s="3"/>
      <c r="I32" s="3">
        <v>1985</v>
      </c>
      <c r="J32" s="3"/>
      <c r="K32" s="4"/>
      <c r="L32" s="4"/>
      <c r="M32" s="4"/>
      <c r="N32" s="4"/>
      <c r="O32" s="5">
        <v>5000</v>
      </c>
      <c r="P32" s="5">
        <v>5000</v>
      </c>
      <c r="Q32" s="5" t="s">
        <v>1758</v>
      </c>
      <c r="R32" s="5"/>
      <c r="S32" s="18">
        <v>17000</v>
      </c>
      <c r="T32" s="19">
        <v>3000</v>
      </c>
      <c r="U32" s="19" t="s">
        <v>1684</v>
      </c>
      <c r="V32" s="7"/>
      <c r="W32" s="7"/>
      <c r="X32" s="19"/>
      <c r="Y32" s="19"/>
      <c r="Z32" s="8"/>
      <c r="AA32" s="8"/>
      <c r="AB32" s="10"/>
      <c r="AC32" s="10"/>
      <c r="AD32" s="10"/>
      <c r="AE32" s="11"/>
      <c r="AF32" s="11"/>
      <c r="AG32" s="11"/>
      <c r="AH32" s="1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36" customHeight="1" x14ac:dyDescent="0.25">
      <c r="A33" s="2">
        <v>32</v>
      </c>
      <c r="B33" s="2"/>
      <c r="C33" s="2" t="s">
        <v>565</v>
      </c>
      <c r="D33" s="2" t="s">
        <v>566</v>
      </c>
      <c r="E33" s="2" t="s">
        <v>342</v>
      </c>
      <c r="F33" s="2">
        <v>3036779297</v>
      </c>
      <c r="G33" s="3"/>
      <c r="H33" s="3"/>
      <c r="I33" s="3">
        <v>369</v>
      </c>
      <c r="J33" s="3"/>
      <c r="K33" s="4"/>
      <c r="L33" s="4"/>
      <c r="M33" s="4"/>
      <c r="N33" s="4"/>
      <c r="O33" s="5">
        <v>10000</v>
      </c>
      <c r="P33" s="5">
        <v>5000</v>
      </c>
      <c r="Q33" s="5" t="s">
        <v>1764</v>
      </c>
      <c r="R33" s="5"/>
      <c r="S33" s="18">
        <v>0</v>
      </c>
      <c r="T33" s="19">
        <v>0</v>
      </c>
      <c r="U33" s="19">
        <v>0</v>
      </c>
      <c r="V33" s="7"/>
      <c r="W33" s="7"/>
      <c r="X33" s="19"/>
      <c r="Y33" s="19"/>
      <c r="Z33" s="8"/>
      <c r="AA33" s="8"/>
      <c r="AB33" s="10"/>
      <c r="AC33" s="10"/>
      <c r="AD33" s="10"/>
      <c r="AE33" s="11"/>
      <c r="AF33" s="11"/>
      <c r="AG33" s="11"/>
      <c r="AH33" s="1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36" customHeight="1" x14ac:dyDescent="0.25">
      <c r="A34" s="2">
        <v>33</v>
      </c>
      <c r="B34" s="2"/>
      <c r="C34" s="2" t="s">
        <v>1511</v>
      </c>
      <c r="D34" s="2" t="s">
        <v>135</v>
      </c>
      <c r="E34" s="2" t="s">
        <v>342</v>
      </c>
      <c r="F34" s="2">
        <v>3467928304</v>
      </c>
      <c r="G34" s="3"/>
      <c r="H34" s="3"/>
      <c r="I34" s="3">
        <v>811</v>
      </c>
      <c r="J34" s="3"/>
      <c r="K34" s="4"/>
      <c r="L34" s="4"/>
      <c r="M34" s="4"/>
      <c r="N34" s="4"/>
      <c r="O34" s="5">
        <v>0</v>
      </c>
      <c r="P34" s="5">
        <v>0</v>
      </c>
      <c r="Q34" s="5"/>
      <c r="R34" s="5"/>
      <c r="S34" s="18">
        <v>34000</v>
      </c>
      <c r="T34" s="19">
        <v>5000</v>
      </c>
      <c r="U34" s="19" t="s">
        <v>1090</v>
      </c>
      <c r="V34" s="7">
        <v>10000</v>
      </c>
      <c r="W34" s="7" t="s">
        <v>1512</v>
      </c>
      <c r="X34" s="19"/>
      <c r="Y34" s="19"/>
      <c r="Z34" s="8"/>
      <c r="AA34" s="8"/>
      <c r="AB34" s="10"/>
      <c r="AC34" s="10"/>
      <c r="AD34" s="10"/>
      <c r="AE34" s="11"/>
      <c r="AF34" s="11"/>
      <c r="AG34" s="11"/>
      <c r="AH34" s="1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36" customHeight="1" x14ac:dyDescent="0.25">
      <c r="A35" s="2">
        <v>34</v>
      </c>
      <c r="B35" s="2"/>
      <c r="C35" s="2" t="s">
        <v>568</v>
      </c>
      <c r="D35" s="2" t="s">
        <v>1433</v>
      </c>
      <c r="E35" s="2" t="s">
        <v>342</v>
      </c>
      <c r="F35" s="2">
        <v>3087831137</v>
      </c>
      <c r="G35" s="3"/>
      <c r="H35" s="3"/>
      <c r="I35" s="3">
        <v>229</v>
      </c>
      <c r="J35" s="3"/>
      <c r="K35" s="4"/>
      <c r="L35" s="4"/>
      <c r="M35" s="4"/>
      <c r="N35" s="4"/>
      <c r="O35" s="5">
        <v>5000</v>
      </c>
      <c r="P35" s="5"/>
      <c r="Q35" s="5"/>
      <c r="R35" s="5"/>
      <c r="S35" s="18">
        <v>15000</v>
      </c>
      <c r="T35" s="19">
        <v>5000</v>
      </c>
      <c r="U35" s="19" t="s">
        <v>1434</v>
      </c>
      <c r="V35" s="7"/>
      <c r="W35" s="7"/>
      <c r="X35" s="19"/>
      <c r="Y35" s="19"/>
      <c r="Z35" s="8"/>
      <c r="AA35" s="8"/>
      <c r="AB35" s="10"/>
      <c r="AC35" s="10"/>
      <c r="AD35" s="10"/>
      <c r="AE35" s="11"/>
      <c r="AF35" s="11"/>
      <c r="AG35" s="11"/>
      <c r="AH35" s="1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36" customHeight="1" x14ac:dyDescent="0.25">
      <c r="A36" s="2">
        <v>35</v>
      </c>
      <c r="B36" s="2"/>
      <c r="C36" s="2" t="s">
        <v>569</v>
      </c>
      <c r="D36" s="2" t="s">
        <v>570</v>
      </c>
      <c r="E36" s="2" t="s">
        <v>342</v>
      </c>
      <c r="F36" s="2">
        <v>3062066140</v>
      </c>
      <c r="G36" s="3"/>
      <c r="H36" s="3"/>
      <c r="I36" s="3"/>
      <c r="J36" s="3"/>
      <c r="K36" s="4"/>
      <c r="L36" s="4"/>
      <c r="M36" s="4"/>
      <c r="N36" s="4"/>
      <c r="O36" s="5">
        <v>5000</v>
      </c>
      <c r="P36" s="5"/>
      <c r="Q36" s="5"/>
      <c r="R36" s="5"/>
      <c r="S36" s="18">
        <v>10000</v>
      </c>
      <c r="T36" s="19">
        <v>3000</v>
      </c>
      <c r="U36" s="19" t="s">
        <v>1419</v>
      </c>
      <c r="V36" s="7"/>
      <c r="W36" s="7"/>
      <c r="X36" s="19"/>
      <c r="Y36" s="19"/>
      <c r="Z36" s="8"/>
      <c r="AA36" s="8"/>
      <c r="AB36" s="10"/>
      <c r="AC36" s="10"/>
      <c r="AD36" s="10"/>
      <c r="AE36" s="11"/>
      <c r="AF36" s="11"/>
      <c r="AG36" s="11"/>
      <c r="AH36" s="1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36" customHeight="1" x14ac:dyDescent="0.25">
      <c r="A37" s="2">
        <v>36</v>
      </c>
      <c r="B37" s="2"/>
      <c r="C37" s="2" t="s">
        <v>571</v>
      </c>
      <c r="D37" s="2" t="s">
        <v>572</v>
      </c>
      <c r="E37" s="2" t="s">
        <v>342</v>
      </c>
      <c r="F37" s="2">
        <v>3004573554</v>
      </c>
      <c r="G37" s="3"/>
      <c r="H37" s="3"/>
      <c r="I37" s="3">
        <v>271</v>
      </c>
      <c r="J37" s="3"/>
      <c r="K37" s="4"/>
      <c r="L37" s="4"/>
      <c r="M37" s="4"/>
      <c r="N37" s="4"/>
      <c r="O37" s="5">
        <v>5000</v>
      </c>
      <c r="P37" s="5"/>
      <c r="Q37" s="5"/>
      <c r="R37" s="5"/>
      <c r="S37" s="18">
        <v>12000</v>
      </c>
      <c r="T37" s="19">
        <v>5000</v>
      </c>
      <c r="U37" s="19" t="s">
        <v>1120</v>
      </c>
      <c r="V37" s="7"/>
      <c r="W37" s="7"/>
      <c r="X37" s="19"/>
      <c r="Y37" s="19"/>
      <c r="Z37" s="8"/>
      <c r="AA37" s="8"/>
      <c r="AB37" s="10"/>
      <c r="AC37" s="10"/>
      <c r="AD37" s="10"/>
      <c r="AE37" s="11"/>
      <c r="AF37" s="11"/>
      <c r="AG37" s="11"/>
      <c r="AH37" s="1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36" customHeight="1" x14ac:dyDescent="0.25">
      <c r="A38" s="2">
        <v>37</v>
      </c>
      <c r="B38" s="2"/>
      <c r="C38" s="2" t="s">
        <v>573</v>
      </c>
      <c r="D38" s="2" t="s">
        <v>574</v>
      </c>
      <c r="E38" s="2" t="s">
        <v>342</v>
      </c>
      <c r="F38" s="2">
        <v>3014625898</v>
      </c>
      <c r="G38" s="3"/>
      <c r="H38" s="3"/>
      <c r="I38" s="3">
        <v>856</v>
      </c>
      <c r="J38" s="3"/>
      <c r="K38" s="4"/>
      <c r="L38" s="4"/>
      <c r="M38" s="4"/>
      <c r="N38" s="4"/>
      <c r="O38" s="5">
        <v>5000</v>
      </c>
      <c r="P38" s="5"/>
      <c r="Q38" s="5"/>
      <c r="R38" s="5"/>
      <c r="S38" s="18">
        <v>10000</v>
      </c>
      <c r="T38" s="19">
        <v>5000</v>
      </c>
      <c r="U38" s="19" t="s">
        <v>1214</v>
      </c>
      <c r="V38" s="7">
        <v>5000</v>
      </c>
      <c r="W38" s="7" t="s">
        <v>1672</v>
      </c>
      <c r="X38" s="19"/>
      <c r="Y38" s="19"/>
      <c r="Z38" s="8"/>
      <c r="AA38" s="8"/>
      <c r="AB38" s="10"/>
      <c r="AC38" s="10"/>
      <c r="AD38" s="10"/>
      <c r="AE38" s="11"/>
      <c r="AF38" s="11"/>
      <c r="AG38" s="11"/>
      <c r="AH38" s="1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36" customHeight="1" x14ac:dyDescent="0.25">
      <c r="A39" s="2">
        <v>38</v>
      </c>
      <c r="B39" s="2"/>
      <c r="C39" s="2" t="s">
        <v>575</v>
      </c>
      <c r="D39" s="2" t="s">
        <v>504</v>
      </c>
      <c r="E39" s="2" t="s">
        <v>342</v>
      </c>
      <c r="F39" s="2">
        <v>3227157257</v>
      </c>
      <c r="G39" s="3"/>
      <c r="H39" s="3"/>
      <c r="I39" s="3">
        <v>391</v>
      </c>
      <c r="J39" s="3"/>
      <c r="K39" s="4"/>
      <c r="L39" s="4"/>
      <c r="M39" s="4"/>
      <c r="N39" s="4"/>
      <c r="O39" s="5">
        <v>5000</v>
      </c>
      <c r="P39" s="5"/>
      <c r="Q39" s="5"/>
      <c r="R39" s="5"/>
      <c r="S39" s="18">
        <v>12000</v>
      </c>
      <c r="T39" s="19">
        <v>3000</v>
      </c>
      <c r="U39" s="19" t="s">
        <v>1155</v>
      </c>
      <c r="V39" s="7">
        <v>5000</v>
      </c>
      <c r="W39" s="7" t="s">
        <v>1746</v>
      </c>
      <c r="X39" s="19"/>
      <c r="Y39" s="19"/>
      <c r="Z39" s="8"/>
      <c r="AA39" s="8"/>
      <c r="AB39" s="10"/>
      <c r="AC39" s="10"/>
      <c r="AD39" s="10"/>
      <c r="AE39" s="11"/>
      <c r="AF39" s="11"/>
      <c r="AG39" s="11"/>
      <c r="AH39" s="1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36" customHeight="1" x14ac:dyDescent="0.25">
      <c r="A40" s="2">
        <v>39</v>
      </c>
      <c r="B40" s="2"/>
      <c r="C40" s="2" t="s">
        <v>576</v>
      </c>
      <c r="D40" s="2" t="s">
        <v>577</v>
      </c>
      <c r="E40" s="2" t="s">
        <v>342</v>
      </c>
      <c r="F40" s="2">
        <v>3059176401</v>
      </c>
      <c r="G40" s="3"/>
      <c r="H40" s="3"/>
      <c r="I40" s="3">
        <v>207</v>
      </c>
      <c r="J40" s="3"/>
      <c r="K40" s="4"/>
      <c r="L40" s="4"/>
      <c r="M40" s="4"/>
      <c r="N40" s="4"/>
      <c r="O40" s="5">
        <v>5000</v>
      </c>
      <c r="P40" s="5"/>
      <c r="Q40" s="5"/>
      <c r="R40" s="5"/>
      <c r="S40" s="18">
        <v>12000</v>
      </c>
      <c r="T40" s="19">
        <v>3000</v>
      </c>
      <c r="U40" s="19" t="s">
        <v>1156</v>
      </c>
      <c r="V40" s="7"/>
      <c r="W40" s="7"/>
      <c r="X40" s="19"/>
      <c r="Y40" s="19"/>
      <c r="Z40" s="8"/>
      <c r="AA40" s="8"/>
      <c r="AB40" s="10"/>
      <c r="AC40" s="10"/>
      <c r="AD40" s="10"/>
      <c r="AE40" s="11"/>
      <c r="AF40" s="11"/>
      <c r="AG40" s="11"/>
      <c r="AH40" s="1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36" customHeight="1" x14ac:dyDescent="0.25">
      <c r="A41" s="2">
        <v>40</v>
      </c>
      <c r="B41" s="2"/>
      <c r="C41" s="2" t="s">
        <v>578</v>
      </c>
      <c r="D41" s="2" t="s">
        <v>579</v>
      </c>
      <c r="E41" s="2" t="s">
        <v>342</v>
      </c>
      <c r="F41" s="2">
        <v>3008132533</v>
      </c>
      <c r="G41" s="3"/>
      <c r="H41" s="3"/>
      <c r="I41" s="3">
        <v>206</v>
      </c>
      <c r="J41" s="3"/>
      <c r="K41" s="4"/>
      <c r="L41" s="4"/>
      <c r="M41" s="4"/>
      <c r="N41" s="4"/>
      <c r="O41" s="5">
        <v>5000</v>
      </c>
      <c r="P41" s="5"/>
      <c r="Q41" s="5"/>
      <c r="R41" s="5"/>
      <c r="S41" s="18">
        <v>12000</v>
      </c>
      <c r="T41" s="19">
        <v>3000</v>
      </c>
      <c r="U41" s="19" t="s">
        <v>1154</v>
      </c>
      <c r="V41" s="7"/>
      <c r="W41" s="7"/>
      <c r="X41" s="19"/>
      <c r="Y41" s="19"/>
      <c r="Z41" s="8"/>
      <c r="AA41" s="8"/>
      <c r="AB41" s="10"/>
      <c r="AC41" s="10"/>
      <c r="AD41" s="10"/>
      <c r="AE41" s="11"/>
      <c r="AF41" s="11"/>
      <c r="AG41" s="11"/>
      <c r="AH41" s="1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36" customHeight="1" x14ac:dyDescent="0.25">
      <c r="A42" s="2">
        <v>43</v>
      </c>
      <c r="B42" s="2"/>
      <c r="C42" s="2" t="s">
        <v>61</v>
      </c>
      <c r="D42" s="2" t="s">
        <v>581</v>
      </c>
      <c r="E42" s="2" t="s">
        <v>342</v>
      </c>
      <c r="F42" s="2">
        <v>3099180726</v>
      </c>
      <c r="G42" s="3"/>
      <c r="H42" s="3"/>
      <c r="I42" s="3"/>
      <c r="J42" s="3"/>
      <c r="K42" s="4"/>
      <c r="L42" s="4"/>
      <c r="M42" s="4"/>
      <c r="N42" s="4"/>
      <c r="O42" s="5">
        <v>5000</v>
      </c>
      <c r="P42" s="5"/>
      <c r="Q42" s="5"/>
      <c r="R42" s="5"/>
      <c r="S42" s="18">
        <v>20000</v>
      </c>
      <c r="T42" s="19">
        <v>3000</v>
      </c>
      <c r="U42" s="19" t="s">
        <v>1153</v>
      </c>
      <c r="V42" s="7"/>
      <c r="W42" s="7"/>
      <c r="X42" s="19"/>
      <c r="Y42" s="19"/>
      <c r="Z42" s="8"/>
      <c r="AA42" s="8"/>
      <c r="AB42" s="10"/>
      <c r="AC42" s="10"/>
      <c r="AD42" s="10"/>
      <c r="AE42" s="11"/>
      <c r="AF42" s="11"/>
      <c r="AG42" s="11"/>
      <c r="AH42" s="1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36" customHeight="1" x14ac:dyDescent="0.25">
      <c r="A43" s="2">
        <v>44</v>
      </c>
      <c r="B43" s="2"/>
      <c r="C43" s="2" t="s">
        <v>798</v>
      </c>
      <c r="D43" s="2" t="s">
        <v>111</v>
      </c>
      <c r="E43" s="2" t="s">
        <v>342</v>
      </c>
      <c r="F43" s="2">
        <v>3006083114</v>
      </c>
      <c r="G43" s="3"/>
      <c r="H43" s="3"/>
      <c r="I43" s="3">
        <v>5705</v>
      </c>
      <c r="J43" s="3"/>
      <c r="K43" s="4"/>
      <c r="L43" s="4"/>
      <c r="M43" s="4"/>
      <c r="N43" s="4"/>
      <c r="O43" s="5">
        <v>5000</v>
      </c>
      <c r="P43" s="5"/>
      <c r="Q43" s="5"/>
      <c r="R43" s="5"/>
      <c r="S43" s="18">
        <v>15000</v>
      </c>
      <c r="T43" s="19">
        <v>5000</v>
      </c>
      <c r="U43" s="19" t="s">
        <v>1253</v>
      </c>
      <c r="V43" s="7"/>
      <c r="W43" s="7"/>
      <c r="X43" s="19"/>
      <c r="Y43" s="19"/>
      <c r="Z43" s="8"/>
      <c r="AA43" s="8"/>
      <c r="AB43" s="10"/>
      <c r="AC43" s="10"/>
      <c r="AD43" s="10"/>
      <c r="AE43" s="11"/>
      <c r="AF43" s="11"/>
      <c r="AG43" s="11"/>
      <c r="AH43" s="1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36" customHeight="1" x14ac:dyDescent="0.25">
      <c r="A44" s="2">
        <v>45</v>
      </c>
      <c r="B44" s="2"/>
      <c r="C44" s="2" t="s">
        <v>582</v>
      </c>
      <c r="D44" s="2" t="s">
        <v>1781</v>
      </c>
      <c r="E44" s="2" t="s">
        <v>342</v>
      </c>
      <c r="F44" s="2">
        <v>3032992157</v>
      </c>
      <c r="G44" s="3"/>
      <c r="H44" s="3"/>
      <c r="I44" s="3" t="s">
        <v>591</v>
      </c>
      <c r="J44" s="3"/>
      <c r="K44" s="4"/>
      <c r="L44" s="4"/>
      <c r="M44" s="4"/>
      <c r="N44" s="4"/>
      <c r="O44" s="5">
        <v>5000</v>
      </c>
      <c r="P44" s="5"/>
      <c r="Q44" s="5"/>
      <c r="R44" s="5"/>
      <c r="S44" s="18">
        <v>12000</v>
      </c>
      <c r="T44" s="19"/>
      <c r="U44" s="19"/>
      <c r="V44" s="7"/>
      <c r="W44" s="7"/>
      <c r="X44" s="19"/>
      <c r="Y44" s="19"/>
      <c r="Z44" s="8"/>
      <c r="AA44" s="8"/>
      <c r="AB44" s="10"/>
      <c r="AC44" s="10"/>
      <c r="AD44" s="10"/>
      <c r="AE44" s="11"/>
      <c r="AF44" s="11"/>
      <c r="AG44" s="11"/>
      <c r="AH44" s="1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36" customHeight="1" x14ac:dyDescent="0.25">
      <c r="A45" s="2">
        <v>46</v>
      </c>
      <c r="B45" s="2"/>
      <c r="C45" s="2" t="s">
        <v>583</v>
      </c>
      <c r="D45" s="2" t="s">
        <v>584</v>
      </c>
      <c r="E45" s="2" t="s">
        <v>342</v>
      </c>
      <c r="F45" s="2">
        <v>3099180726</v>
      </c>
      <c r="G45" s="3"/>
      <c r="H45" s="3"/>
      <c r="I45" s="3" t="s">
        <v>591</v>
      </c>
      <c r="J45" s="3"/>
      <c r="K45" s="4"/>
      <c r="L45" s="4"/>
      <c r="M45" s="4"/>
      <c r="N45" s="4"/>
      <c r="O45" s="5">
        <v>5000</v>
      </c>
      <c r="P45" s="5"/>
      <c r="Q45" s="5"/>
      <c r="R45" s="5"/>
      <c r="S45" s="18">
        <v>20000</v>
      </c>
      <c r="T45" s="19"/>
      <c r="U45" s="19"/>
      <c r="V45" s="7"/>
      <c r="W45" s="7"/>
      <c r="X45" s="19"/>
      <c r="Y45" s="19"/>
      <c r="Z45" s="8"/>
      <c r="AA45" s="8"/>
      <c r="AB45" s="10"/>
      <c r="AC45" s="10"/>
      <c r="AD45" s="10"/>
      <c r="AE45" s="11"/>
      <c r="AF45" s="11"/>
      <c r="AG45" s="11"/>
      <c r="AH45" s="1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36" customHeight="1" x14ac:dyDescent="0.25">
      <c r="A46" s="2">
        <v>47</v>
      </c>
      <c r="B46" s="2"/>
      <c r="C46" s="2" t="s">
        <v>585</v>
      </c>
      <c r="D46" s="2" t="s">
        <v>523</v>
      </c>
      <c r="E46" s="2" t="s">
        <v>342</v>
      </c>
      <c r="F46" s="2">
        <v>3063910139</v>
      </c>
      <c r="G46" s="3"/>
      <c r="H46" s="3"/>
      <c r="I46" s="3">
        <v>1993</v>
      </c>
      <c r="J46" s="3"/>
      <c r="K46" s="4"/>
      <c r="L46" s="4"/>
      <c r="M46" s="4"/>
      <c r="N46" s="4"/>
      <c r="O46" s="5">
        <v>5000</v>
      </c>
      <c r="P46" s="5"/>
      <c r="Q46" s="5"/>
      <c r="R46" s="5"/>
      <c r="S46" s="18">
        <v>20000</v>
      </c>
      <c r="T46" s="19">
        <v>4000</v>
      </c>
      <c r="U46" s="19" t="s">
        <v>1194</v>
      </c>
      <c r="V46" s="7">
        <v>4000</v>
      </c>
      <c r="W46" s="7" t="s">
        <v>1396</v>
      </c>
      <c r="X46" s="19">
        <v>4000</v>
      </c>
      <c r="Y46" s="19" t="s">
        <v>1791</v>
      </c>
      <c r="Z46" s="8"/>
      <c r="AA46" s="8"/>
      <c r="AB46" s="10"/>
      <c r="AC46" s="10"/>
      <c r="AD46" s="10"/>
      <c r="AE46" s="11"/>
      <c r="AF46" s="11"/>
      <c r="AG46" s="11"/>
      <c r="AH46" s="1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36" customHeight="1" x14ac:dyDescent="0.25">
      <c r="A47" s="2">
        <v>48</v>
      </c>
      <c r="B47" s="2"/>
      <c r="C47" s="2" t="s">
        <v>76</v>
      </c>
      <c r="D47" s="2" t="s">
        <v>586</v>
      </c>
      <c r="E47" s="2" t="s">
        <v>342</v>
      </c>
      <c r="F47" s="2">
        <v>3077269981</v>
      </c>
      <c r="G47" s="3"/>
      <c r="H47" s="3"/>
      <c r="I47" s="3">
        <v>874</v>
      </c>
      <c r="J47" s="3"/>
      <c r="K47" s="4"/>
      <c r="L47" s="4"/>
      <c r="M47" s="4"/>
      <c r="N47" s="4"/>
      <c r="O47" s="5">
        <v>0</v>
      </c>
      <c r="P47" s="5">
        <v>0</v>
      </c>
      <c r="Q47" s="5"/>
      <c r="R47" s="5"/>
      <c r="S47" s="18">
        <v>13000</v>
      </c>
      <c r="T47" s="19">
        <v>13000</v>
      </c>
      <c r="U47" s="19" t="s">
        <v>1044</v>
      </c>
      <c r="V47" s="7"/>
      <c r="W47" s="7"/>
      <c r="X47" s="19"/>
      <c r="Y47" s="19"/>
      <c r="Z47" s="8"/>
      <c r="AA47" s="8"/>
      <c r="AB47" s="10"/>
      <c r="AC47" s="10"/>
      <c r="AD47" s="10"/>
      <c r="AE47" s="11"/>
      <c r="AF47" s="11"/>
      <c r="AG47" s="11"/>
      <c r="AH47" s="11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36" customHeight="1" x14ac:dyDescent="0.25">
      <c r="A48" s="2">
        <v>49</v>
      </c>
      <c r="B48" s="2"/>
      <c r="C48" s="2" t="s">
        <v>587</v>
      </c>
      <c r="D48" s="2" t="s">
        <v>588</v>
      </c>
      <c r="E48" s="2" t="s">
        <v>342</v>
      </c>
      <c r="F48" s="2">
        <v>3437334046</v>
      </c>
      <c r="G48" s="3"/>
      <c r="H48" s="3"/>
      <c r="I48" s="3">
        <v>5737</v>
      </c>
      <c r="J48" s="3"/>
      <c r="K48" s="4"/>
      <c r="L48" s="4"/>
      <c r="M48" s="4"/>
      <c r="N48" s="4"/>
      <c r="O48" s="5">
        <v>5000</v>
      </c>
      <c r="P48" s="5"/>
      <c r="Q48" s="5"/>
      <c r="R48" s="5"/>
      <c r="S48" s="18">
        <v>13000</v>
      </c>
      <c r="T48" s="19">
        <v>5000</v>
      </c>
      <c r="U48" s="19" t="s">
        <v>1152</v>
      </c>
      <c r="V48" s="7">
        <v>2000</v>
      </c>
      <c r="W48" s="7" t="s">
        <v>1683</v>
      </c>
      <c r="X48" s="19"/>
      <c r="Y48" s="19"/>
      <c r="Z48" s="8"/>
      <c r="AA48" s="8"/>
      <c r="AB48" s="10"/>
      <c r="AC48" s="10"/>
      <c r="AD48" s="10"/>
      <c r="AE48" s="11"/>
      <c r="AF48" s="11"/>
      <c r="AG48" s="11"/>
      <c r="AH48" s="11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36" customHeight="1" x14ac:dyDescent="0.25">
      <c r="A49" s="2">
        <v>50</v>
      </c>
      <c r="B49" s="2"/>
      <c r="C49" s="2" t="s">
        <v>589</v>
      </c>
      <c r="D49" s="2" t="s">
        <v>135</v>
      </c>
      <c r="E49" s="2" t="s">
        <v>342</v>
      </c>
      <c r="F49" s="2">
        <v>3479599518</v>
      </c>
      <c r="G49" s="3"/>
      <c r="H49" s="3"/>
      <c r="I49" s="3">
        <v>5736</v>
      </c>
      <c r="J49" s="3"/>
      <c r="K49" s="4"/>
      <c r="L49" s="4"/>
      <c r="M49" s="4"/>
      <c r="N49" s="4"/>
      <c r="O49" s="5">
        <v>5000</v>
      </c>
      <c r="P49" s="5"/>
      <c r="Q49" s="5"/>
      <c r="R49" s="5"/>
      <c r="S49" s="18"/>
      <c r="T49" s="19">
        <v>2000</v>
      </c>
      <c r="U49" s="19" t="s">
        <v>1309</v>
      </c>
      <c r="V49" s="7"/>
      <c r="W49" s="7"/>
      <c r="X49" s="19"/>
      <c r="Y49" s="19"/>
      <c r="Z49" s="8"/>
      <c r="AA49" s="8"/>
      <c r="AB49" s="10"/>
      <c r="AC49" s="10"/>
      <c r="AD49" s="10"/>
      <c r="AE49" s="11"/>
      <c r="AF49" s="11"/>
      <c r="AG49" s="11"/>
      <c r="AH49" s="11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36" customHeight="1" x14ac:dyDescent="0.25">
      <c r="A50" s="2">
        <v>51</v>
      </c>
      <c r="B50" s="2"/>
      <c r="C50" s="2" t="s">
        <v>590</v>
      </c>
      <c r="D50" s="2" t="s">
        <v>495</v>
      </c>
      <c r="E50" s="2" t="s">
        <v>342</v>
      </c>
      <c r="F50" s="2">
        <v>3089218837</v>
      </c>
      <c r="G50" s="3"/>
      <c r="H50" s="3"/>
      <c r="I50" s="3">
        <v>5741</v>
      </c>
      <c r="J50" s="3"/>
      <c r="K50" s="4"/>
      <c r="L50" s="4"/>
      <c r="M50" s="4"/>
      <c r="N50" s="4"/>
      <c r="O50" s="5">
        <v>5000</v>
      </c>
      <c r="P50" s="5"/>
      <c r="Q50" s="5"/>
      <c r="R50" s="5"/>
      <c r="S50" s="18">
        <v>15000</v>
      </c>
      <c r="T50" s="19">
        <v>5000</v>
      </c>
      <c r="U50" s="19" t="s">
        <v>1280</v>
      </c>
      <c r="V50" s="7"/>
      <c r="W50" s="7"/>
      <c r="X50" s="19"/>
      <c r="Y50" s="19"/>
      <c r="Z50" s="8"/>
      <c r="AA50" s="8"/>
      <c r="AB50" s="10"/>
      <c r="AC50" s="10"/>
      <c r="AD50" s="10"/>
      <c r="AE50" s="11"/>
      <c r="AF50" s="11"/>
      <c r="AG50" s="11"/>
      <c r="AH50" s="11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36" customHeight="1" x14ac:dyDescent="0.25">
      <c r="A51" s="2">
        <v>52</v>
      </c>
      <c r="B51" s="2"/>
      <c r="C51" s="2" t="s">
        <v>593</v>
      </c>
      <c r="D51" s="2" t="s">
        <v>594</v>
      </c>
      <c r="E51" s="2" t="s">
        <v>342</v>
      </c>
      <c r="F51" s="2"/>
      <c r="G51" s="3"/>
      <c r="H51" s="3"/>
      <c r="I51" s="3">
        <v>367</v>
      </c>
      <c r="J51" s="3"/>
      <c r="K51" s="4"/>
      <c r="L51" s="4"/>
      <c r="M51" s="4"/>
      <c r="N51" s="4"/>
      <c r="O51" s="5">
        <v>5000</v>
      </c>
      <c r="P51" s="5"/>
      <c r="Q51" s="5"/>
      <c r="R51" s="5"/>
      <c r="S51" s="18">
        <v>15000</v>
      </c>
      <c r="T51" s="19">
        <v>7000</v>
      </c>
      <c r="U51" s="19" t="s">
        <v>1296</v>
      </c>
      <c r="V51" s="7">
        <v>3000</v>
      </c>
      <c r="W51" s="7" t="s">
        <v>1565</v>
      </c>
      <c r="X51" s="19"/>
      <c r="Y51" s="19"/>
      <c r="Z51" s="8"/>
      <c r="AA51" s="8"/>
      <c r="AB51" s="10"/>
      <c r="AC51" s="10"/>
      <c r="AD51" s="10"/>
      <c r="AE51" s="11"/>
      <c r="AF51" s="11"/>
      <c r="AG51" s="11"/>
      <c r="AH51" s="1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36" customHeight="1" x14ac:dyDescent="0.25">
      <c r="A52" s="2">
        <v>53</v>
      </c>
      <c r="B52" s="2"/>
      <c r="C52" s="2" t="s">
        <v>595</v>
      </c>
      <c r="D52" s="2" t="s">
        <v>596</v>
      </c>
      <c r="E52" s="2" t="s">
        <v>342</v>
      </c>
      <c r="F52" s="2">
        <v>3046497808</v>
      </c>
      <c r="G52" s="3"/>
      <c r="H52" s="3"/>
      <c r="I52" s="3"/>
      <c r="J52" s="3"/>
      <c r="K52" s="4"/>
      <c r="L52" s="4"/>
      <c r="M52" s="4"/>
      <c r="N52" s="4"/>
      <c r="O52" s="5">
        <v>5000</v>
      </c>
      <c r="P52" s="5"/>
      <c r="Q52" s="5"/>
      <c r="R52" s="5"/>
      <c r="S52" s="18">
        <v>20000</v>
      </c>
      <c r="T52" s="19">
        <v>2000</v>
      </c>
      <c r="U52" s="19" t="s">
        <v>1297</v>
      </c>
      <c r="V52" s="7">
        <v>3000</v>
      </c>
      <c r="W52" s="7" t="s">
        <v>1416</v>
      </c>
      <c r="X52" s="19">
        <v>3000</v>
      </c>
      <c r="Y52" s="19" t="s">
        <v>1660</v>
      </c>
      <c r="Z52" s="8"/>
      <c r="AA52" s="8"/>
      <c r="AB52" s="10"/>
      <c r="AC52" s="10"/>
      <c r="AD52" s="10"/>
      <c r="AE52" s="11"/>
      <c r="AF52" s="11"/>
      <c r="AG52" s="11"/>
      <c r="AH52" s="11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36" customHeight="1" x14ac:dyDescent="0.25">
      <c r="A53" s="2">
        <v>54</v>
      </c>
      <c r="B53" s="2"/>
      <c r="C53" s="2" t="s">
        <v>520</v>
      </c>
      <c r="D53" s="2" t="s">
        <v>162</v>
      </c>
      <c r="E53" s="2" t="s">
        <v>342</v>
      </c>
      <c r="F53" s="2">
        <v>3036522136</v>
      </c>
      <c r="G53" s="3"/>
      <c r="H53" s="3"/>
      <c r="I53" s="3"/>
      <c r="J53" s="3"/>
      <c r="K53" s="4"/>
      <c r="L53" s="4"/>
      <c r="M53" s="4"/>
      <c r="N53" s="4"/>
      <c r="O53" s="5">
        <v>5000</v>
      </c>
      <c r="P53" s="5"/>
      <c r="Q53" s="5"/>
      <c r="R53" s="5"/>
      <c r="S53" s="18">
        <v>20000</v>
      </c>
      <c r="T53" s="19">
        <v>5000</v>
      </c>
      <c r="U53" s="19" t="s">
        <v>1318</v>
      </c>
      <c r="V53" s="7"/>
      <c r="W53" s="7"/>
      <c r="X53" s="19"/>
      <c r="Y53" s="19"/>
      <c r="Z53" s="8"/>
      <c r="AA53" s="8"/>
      <c r="AB53" s="10"/>
      <c r="AC53" s="10"/>
      <c r="AD53" s="10"/>
      <c r="AE53" s="11"/>
      <c r="AF53" s="11"/>
      <c r="AG53" s="11"/>
      <c r="AH53" s="1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36" customHeight="1" x14ac:dyDescent="0.25">
      <c r="A54" s="2">
        <v>55</v>
      </c>
      <c r="B54" s="2"/>
      <c r="C54" s="2" t="s">
        <v>597</v>
      </c>
      <c r="D54" s="2" t="s">
        <v>598</v>
      </c>
      <c r="E54" s="2" t="s">
        <v>342</v>
      </c>
      <c r="F54" s="2">
        <v>3075436452</v>
      </c>
      <c r="G54" s="3"/>
      <c r="H54" s="3"/>
      <c r="I54" s="3">
        <v>266</v>
      </c>
      <c r="J54" s="3"/>
      <c r="K54" s="4"/>
      <c r="L54" s="4"/>
      <c r="M54" s="4"/>
      <c r="N54" s="4"/>
      <c r="O54" s="5">
        <v>5000</v>
      </c>
      <c r="P54" s="5"/>
      <c r="Q54" s="5"/>
      <c r="R54" s="5"/>
      <c r="S54" s="18">
        <v>21000</v>
      </c>
      <c r="T54" s="19">
        <v>5000</v>
      </c>
      <c r="U54" s="19" t="s">
        <v>1313</v>
      </c>
      <c r="V54" s="7">
        <v>3000</v>
      </c>
      <c r="W54" s="7" t="s">
        <v>1734</v>
      </c>
      <c r="X54" s="19"/>
      <c r="Y54" s="19"/>
      <c r="Z54" s="8"/>
      <c r="AA54" s="8"/>
      <c r="AB54" s="10"/>
      <c r="AC54" s="10"/>
      <c r="AD54" s="10"/>
      <c r="AE54" s="11"/>
      <c r="AF54" s="11"/>
      <c r="AG54" s="11"/>
      <c r="AH54" s="1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36" customHeight="1" x14ac:dyDescent="0.25">
      <c r="A55" s="2">
        <v>56</v>
      </c>
      <c r="B55" s="2"/>
      <c r="C55" s="2" t="s">
        <v>564</v>
      </c>
      <c r="D55" s="2" t="s">
        <v>599</v>
      </c>
      <c r="E55" s="2" t="s">
        <v>342</v>
      </c>
      <c r="F55" s="2">
        <v>3055168770</v>
      </c>
      <c r="G55" s="3"/>
      <c r="H55" s="3"/>
      <c r="I55" s="3"/>
      <c r="J55" s="3"/>
      <c r="K55" s="4"/>
      <c r="L55" s="4"/>
      <c r="M55" s="4"/>
      <c r="N55" s="4"/>
      <c r="O55" s="5">
        <v>5000</v>
      </c>
      <c r="P55" s="5"/>
      <c r="Q55" s="5"/>
      <c r="R55" s="5"/>
      <c r="S55" s="18">
        <v>20000</v>
      </c>
      <c r="T55" s="19">
        <v>10000</v>
      </c>
      <c r="U55" s="19" t="s">
        <v>1365</v>
      </c>
      <c r="V55" s="7"/>
      <c r="W55" s="7"/>
      <c r="X55" s="19"/>
      <c r="Y55" s="19"/>
      <c r="Z55" s="8"/>
      <c r="AA55" s="8"/>
      <c r="AB55" s="10"/>
      <c r="AC55" s="10"/>
      <c r="AD55" s="10"/>
      <c r="AE55" s="11"/>
      <c r="AF55" s="11"/>
      <c r="AG55" s="11"/>
      <c r="AH55" s="1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36" customHeight="1" x14ac:dyDescent="0.25">
      <c r="A56" s="2">
        <v>57</v>
      </c>
      <c r="B56" s="2"/>
      <c r="C56" s="2" t="s">
        <v>600</v>
      </c>
      <c r="D56" s="2" t="s">
        <v>601</v>
      </c>
      <c r="E56" s="2" t="s">
        <v>342</v>
      </c>
      <c r="F56" s="2">
        <v>3017364166</v>
      </c>
      <c r="G56" s="3"/>
      <c r="H56" s="3"/>
      <c r="I56" s="3"/>
      <c r="J56" s="3"/>
      <c r="K56" s="4"/>
      <c r="L56" s="4"/>
      <c r="M56" s="4"/>
      <c r="N56" s="4"/>
      <c r="O56" s="5">
        <v>5000</v>
      </c>
      <c r="P56" s="5"/>
      <c r="Q56" s="5"/>
      <c r="R56" s="5"/>
      <c r="S56" s="18">
        <v>25000</v>
      </c>
      <c r="T56" s="19">
        <v>5000</v>
      </c>
      <c r="U56" s="19" t="s">
        <v>1376</v>
      </c>
      <c r="V56" s="7"/>
      <c r="W56" s="7"/>
      <c r="X56" s="19"/>
      <c r="Y56" s="19"/>
      <c r="Z56" s="8"/>
      <c r="AA56" s="8"/>
      <c r="AB56" s="10"/>
      <c r="AC56" s="10"/>
      <c r="AD56" s="10"/>
      <c r="AE56" s="11"/>
      <c r="AF56" s="11"/>
      <c r="AG56" s="11"/>
      <c r="AH56" s="11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36" customHeight="1" x14ac:dyDescent="0.25">
      <c r="A57" s="2">
        <v>58</v>
      </c>
      <c r="B57" s="2"/>
      <c r="C57" s="2" t="s">
        <v>602</v>
      </c>
      <c r="D57" s="2" t="s">
        <v>361</v>
      </c>
      <c r="E57" s="2" t="s">
        <v>342</v>
      </c>
      <c r="F57" s="2">
        <v>3024444720</v>
      </c>
      <c r="G57" s="3"/>
      <c r="H57" s="3"/>
      <c r="I57" s="3">
        <v>237</v>
      </c>
      <c r="J57" s="3"/>
      <c r="K57" s="4"/>
      <c r="L57" s="4"/>
      <c r="M57" s="4"/>
      <c r="N57" s="4"/>
      <c r="O57" s="5">
        <v>5000</v>
      </c>
      <c r="P57" s="5"/>
      <c r="Q57" s="5"/>
      <c r="R57" s="5"/>
      <c r="S57" s="18">
        <v>15000</v>
      </c>
      <c r="T57" s="19">
        <v>5000</v>
      </c>
      <c r="U57" s="19" t="s">
        <v>1363</v>
      </c>
      <c r="V57" s="7"/>
      <c r="W57" s="7"/>
      <c r="X57" s="19"/>
      <c r="Y57" s="19"/>
      <c r="Z57" s="8"/>
      <c r="AA57" s="8"/>
      <c r="AB57" s="10"/>
      <c r="AC57" s="10"/>
      <c r="AD57" s="10"/>
      <c r="AE57" s="11"/>
      <c r="AF57" s="11"/>
      <c r="AG57" s="11"/>
      <c r="AH57" s="11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36" customHeight="1" x14ac:dyDescent="0.25">
      <c r="A58" s="2">
        <v>59</v>
      </c>
      <c r="B58" s="2"/>
      <c r="C58" s="2" t="s">
        <v>426</v>
      </c>
      <c r="D58" s="2" t="s">
        <v>603</v>
      </c>
      <c r="E58" s="2" t="s">
        <v>342</v>
      </c>
      <c r="F58" s="2">
        <v>3017833177</v>
      </c>
      <c r="G58" s="3"/>
      <c r="H58" s="3"/>
      <c r="I58" s="3">
        <v>764</v>
      </c>
      <c r="J58" s="3"/>
      <c r="K58" s="4"/>
      <c r="L58" s="4"/>
      <c r="M58" s="4"/>
      <c r="N58" s="4"/>
      <c r="O58" s="5">
        <v>5000</v>
      </c>
      <c r="P58" s="5"/>
      <c r="Q58" s="5"/>
      <c r="R58" s="5"/>
      <c r="S58" s="18">
        <v>18000</v>
      </c>
      <c r="T58" s="19">
        <v>5000</v>
      </c>
      <c r="U58" s="19" t="s">
        <v>1566</v>
      </c>
      <c r="V58" s="7"/>
      <c r="W58" s="7"/>
      <c r="X58" s="19"/>
      <c r="Y58" s="19"/>
      <c r="Z58" s="8"/>
      <c r="AA58" s="8"/>
      <c r="AB58" s="10"/>
      <c r="AC58" s="10"/>
      <c r="AD58" s="10"/>
      <c r="AE58" s="11"/>
      <c r="AF58" s="11"/>
      <c r="AG58" s="11"/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36" customHeight="1" x14ac:dyDescent="0.25">
      <c r="A59" s="2"/>
      <c r="B59" s="2"/>
      <c r="C59" s="2" t="s">
        <v>604</v>
      </c>
      <c r="D59" s="2" t="s">
        <v>605</v>
      </c>
      <c r="E59" s="2" t="s">
        <v>226</v>
      </c>
      <c r="F59" s="2">
        <v>3037371466</v>
      </c>
      <c r="G59" s="3"/>
      <c r="H59" s="3"/>
      <c r="I59" s="3"/>
      <c r="J59" s="3">
        <v>894</v>
      </c>
      <c r="K59" s="4"/>
      <c r="L59" s="4"/>
      <c r="M59" s="4"/>
      <c r="N59" s="4"/>
      <c r="O59" s="5"/>
      <c r="P59" s="5"/>
      <c r="Q59" s="5"/>
      <c r="R59" s="5"/>
      <c r="S59" s="18"/>
      <c r="T59" s="19"/>
      <c r="U59" s="19"/>
      <c r="V59" s="7"/>
      <c r="W59" s="7"/>
      <c r="X59" s="19"/>
      <c r="Y59" s="19"/>
      <c r="Z59" s="8"/>
      <c r="AA59" s="8"/>
      <c r="AB59" s="10"/>
      <c r="AC59" s="10"/>
      <c r="AD59" s="10"/>
      <c r="AE59" s="11"/>
      <c r="AF59" s="11"/>
      <c r="AG59" s="11"/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36" customHeight="1" x14ac:dyDescent="0.25">
      <c r="A60" s="2"/>
      <c r="B60" s="2"/>
      <c r="C60" s="2" t="s">
        <v>606</v>
      </c>
      <c r="D60" s="2" t="s">
        <v>607</v>
      </c>
      <c r="E60" s="2" t="s">
        <v>226</v>
      </c>
      <c r="F60" s="2">
        <v>3467368988</v>
      </c>
      <c r="G60" s="3"/>
      <c r="H60" s="3"/>
      <c r="I60" s="3"/>
      <c r="J60" s="3">
        <v>349</v>
      </c>
      <c r="K60" s="4"/>
      <c r="L60" s="4"/>
      <c r="M60" s="4"/>
      <c r="N60" s="4"/>
      <c r="O60" s="5">
        <v>0</v>
      </c>
      <c r="P60" s="5">
        <v>0</v>
      </c>
      <c r="Q60" s="5"/>
      <c r="R60" s="5"/>
      <c r="S60" s="18">
        <v>12000</v>
      </c>
      <c r="T60" s="19">
        <v>2000</v>
      </c>
      <c r="U60" s="19" t="s">
        <v>1615</v>
      </c>
      <c r="V60" s="7"/>
      <c r="W60" s="7"/>
      <c r="X60" s="19"/>
      <c r="Y60" s="19"/>
      <c r="Z60" s="8"/>
      <c r="AA60" s="8"/>
      <c r="AB60" s="10"/>
      <c r="AC60" s="10"/>
      <c r="AD60" s="10"/>
      <c r="AE60" s="11"/>
      <c r="AF60" s="11"/>
      <c r="AG60" s="11"/>
      <c r="AH60" s="11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36" customHeight="1" x14ac:dyDescent="0.25">
      <c r="A61" s="2"/>
      <c r="B61" s="2"/>
      <c r="C61" s="2" t="s">
        <v>601</v>
      </c>
      <c r="D61" s="2" t="s">
        <v>608</v>
      </c>
      <c r="E61" s="2" t="s">
        <v>226</v>
      </c>
      <c r="F61" s="2">
        <v>3007583121</v>
      </c>
      <c r="G61" s="3"/>
      <c r="H61" s="3"/>
      <c r="I61" s="3"/>
      <c r="J61" s="3">
        <v>855</v>
      </c>
      <c r="K61" s="4"/>
      <c r="L61" s="4"/>
      <c r="M61" s="4"/>
      <c r="N61" s="4"/>
      <c r="O61" s="5">
        <v>5000</v>
      </c>
      <c r="P61" s="5"/>
      <c r="Q61" s="5"/>
      <c r="R61" s="5"/>
      <c r="S61" s="18">
        <v>12000</v>
      </c>
      <c r="T61" s="19">
        <v>2000</v>
      </c>
      <c r="U61" s="33" t="s">
        <v>1410</v>
      </c>
      <c r="V61" s="7">
        <v>5000</v>
      </c>
      <c r="W61" s="7" t="s">
        <v>1729</v>
      </c>
      <c r="X61" s="19"/>
      <c r="Y61" s="19"/>
      <c r="Z61" s="8"/>
      <c r="AA61" s="8"/>
      <c r="AB61" s="10"/>
      <c r="AC61" s="10"/>
      <c r="AD61" s="10"/>
      <c r="AE61" s="11"/>
      <c r="AF61" s="11"/>
      <c r="AG61" s="11"/>
      <c r="AH61" s="1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36" customHeight="1" x14ac:dyDescent="0.25">
      <c r="A62" s="2"/>
      <c r="B62" s="2"/>
      <c r="C62" s="2" t="s">
        <v>609</v>
      </c>
      <c r="D62" s="2" t="s">
        <v>610</v>
      </c>
      <c r="E62" s="2" t="s">
        <v>226</v>
      </c>
      <c r="F62" s="2">
        <v>3037395894</v>
      </c>
      <c r="G62" s="3"/>
      <c r="H62" s="3"/>
      <c r="I62" s="3"/>
      <c r="J62" s="3">
        <v>392</v>
      </c>
      <c r="K62" s="4"/>
      <c r="L62" s="4"/>
      <c r="M62" s="4"/>
      <c r="N62" s="4"/>
      <c r="O62" s="5">
        <v>0</v>
      </c>
      <c r="P62" s="5">
        <v>0</v>
      </c>
      <c r="Q62" s="5"/>
      <c r="R62" s="5"/>
      <c r="S62" s="18">
        <v>12000</v>
      </c>
      <c r="T62" s="19">
        <v>5000</v>
      </c>
      <c r="U62" s="19" t="s">
        <v>994</v>
      </c>
      <c r="V62" s="7">
        <v>3500</v>
      </c>
      <c r="W62" s="7" t="s">
        <v>1704</v>
      </c>
      <c r="X62" s="19"/>
      <c r="Y62" s="19"/>
      <c r="Z62" s="8"/>
      <c r="AA62" s="8"/>
      <c r="AB62" s="10"/>
      <c r="AC62" s="10"/>
      <c r="AD62" s="10"/>
      <c r="AE62" s="11"/>
      <c r="AF62" s="11"/>
      <c r="AG62" s="11"/>
      <c r="AH62" s="11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36" customHeight="1" x14ac:dyDescent="0.25">
      <c r="A63" s="2"/>
      <c r="B63" s="2"/>
      <c r="C63" s="2" t="s">
        <v>611</v>
      </c>
      <c r="D63" s="2" t="s">
        <v>612</v>
      </c>
      <c r="E63" s="2" t="s">
        <v>226</v>
      </c>
      <c r="F63" s="2">
        <v>3039851881</v>
      </c>
      <c r="G63" s="3"/>
      <c r="H63" s="3"/>
      <c r="I63" s="3"/>
      <c r="J63" s="3">
        <v>332</v>
      </c>
      <c r="K63" s="4"/>
      <c r="L63" s="4"/>
      <c r="M63" s="4"/>
      <c r="N63" s="4"/>
      <c r="O63" s="5">
        <v>0</v>
      </c>
      <c r="P63" s="5">
        <v>0</v>
      </c>
      <c r="Q63" s="5"/>
      <c r="R63" s="5"/>
      <c r="S63" s="18">
        <v>12000</v>
      </c>
      <c r="T63" s="19">
        <v>5000</v>
      </c>
      <c r="U63" s="19" t="s">
        <v>974</v>
      </c>
      <c r="V63" s="7">
        <v>7000</v>
      </c>
      <c r="W63" s="7" t="s">
        <v>1262</v>
      </c>
      <c r="X63" s="19"/>
      <c r="Y63" s="19"/>
      <c r="Z63" s="8"/>
      <c r="AA63" s="8"/>
      <c r="AB63" s="10"/>
      <c r="AC63" s="10"/>
      <c r="AD63" s="10"/>
      <c r="AE63" s="11"/>
      <c r="AF63" s="11"/>
      <c r="AG63" s="11"/>
      <c r="AH63" s="11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36" customHeight="1" x14ac:dyDescent="0.25">
      <c r="A64" s="2"/>
      <c r="B64" s="2"/>
      <c r="C64" s="2" t="s">
        <v>613</v>
      </c>
      <c r="D64" s="2" t="s">
        <v>614</v>
      </c>
      <c r="E64" s="2" t="s">
        <v>226</v>
      </c>
      <c r="F64" s="2">
        <v>3017838959</v>
      </c>
      <c r="G64" s="3"/>
      <c r="H64" s="3"/>
      <c r="I64" s="3"/>
      <c r="J64" s="3">
        <v>232</v>
      </c>
      <c r="K64" s="4"/>
      <c r="L64" s="4"/>
      <c r="M64" s="4"/>
      <c r="N64" s="4"/>
      <c r="O64" s="5">
        <v>0</v>
      </c>
      <c r="P64" s="5"/>
      <c r="Q64" s="5"/>
      <c r="R64" s="5"/>
      <c r="S64" s="18">
        <v>12000</v>
      </c>
      <c r="T64" s="19">
        <v>4000</v>
      </c>
      <c r="U64" s="19" t="s">
        <v>1003</v>
      </c>
      <c r="V64" s="7">
        <v>4000</v>
      </c>
      <c r="W64" s="7" t="s">
        <v>1667</v>
      </c>
      <c r="X64" s="19"/>
      <c r="Y64" s="19"/>
      <c r="Z64" s="8"/>
      <c r="AA64" s="8"/>
      <c r="AB64" s="10"/>
      <c r="AC64" s="10"/>
      <c r="AD64" s="10"/>
      <c r="AE64" s="11"/>
      <c r="AF64" s="11"/>
      <c r="AG64" s="11"/>
      <c r="AH64" s="11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36" customHeight="1" x14ac:dyDescent="0.25">
      <c r="A65" s="2"/>
      <c r="B65" s="2"/>
      <c r="C65" s="2" t="s">
        <v>615</v>
      </c>
      <c r="D65" s="2" t="s">
        <v>529</v>
      </c>
      <c r="E65" s="2" t="s">
        <v>226</v>
      </c>
      <c r="F65" s="2">
        <v>3006881907</v>
      </c>
      <c r="G65" s="3"/>
      <c r="H65" s="3"/>
      <c r="I65" s="3"/>
      <c r="J65" s="3">
        <v>898</v>
      </c>
      <c r="K65" s="4"/>
      <c r="L65" s="4"/>
      <c r="M65" s="4"/>
      <c r="N65" s="4"/>
      <c r="O65" s="5">
        <v>10000</v>
      </c>
      <c r="P65" s="5">
        <v>5000</v>
      </c>
      <c r="Q65" s="5" t="s">
        <v>1763</v>
      </c>
      <c r="R65" s="5"/>
      <c r="S65" s="18">
        <v>0</v>
      </c>
      <c r="T65" s="19">
        <v>0</v>
      </c>
      <c r="U65" s="19">
        <v>0</v>
      </c>
      <c r="V65" s="7"/>
      <c r="W65" s="7"/>
      <c r="X65" s="19"/>
      <c r="Y65" s="19"/>
      <c r="Z65" s="8"/>
      <c r="AA65" s="8"/>
      <c r="AB65" s="10"/>
      <c r="AC65" s="10"/>
      <c r="AD65" s="10"/>
      <c r="AE65" s="11"/>
      <c r="AF65" s="11"/>
      <c r="AG65" s="11"/>
      <c r="AH65" s="11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36" customHeight="1" x14ac:dyDescent="0.25">
      <c r="A66" s="2"/>
      <c r="B66" s="2"/>
      <c r="C66" s="2" t="s">
        <v>616</v>
      </c>
      <c r="D66" s="2" t="s">
        <v>617</v>
      </c>
      <c r="E66" s="2" t="s">
        <v>226</v>
      </c>
      <c r="F66" s="2">
        <v>3005020185</v>
      </c>
      <c r="G66" s="3"/>
      <c r="H66" s="3"/>
      <c r="I66" s="3"/>
      <c r="J66" s="3"/>
      <c r="K66" s="4"/>
      <c r="L66" s="4"/>
      <c r="M66" s="4"/>
      <c r="N66" s="4"/>
      <c r="O66" s="5">
        <v>5000</v>
      </c>
      <c r="P66" s="5"/>
      <c r="Q66" s="5"/>
      <c r="R66" s="5"/>
      <c r="S66" s="18">
        <v>7000</v>
      </c>
      <c r="T66" s="19">
        <v>3000</v>
      </c>
      <c r="U66" s="19" t="s">
        <v>1585</v>
      </c>
      <c r="V66" s="7">
        <v>3000</v>
      </c>
      <c r="W66" s="7" t="s">
        <v>1728</v>
      </c>
      <c r="X66" s="19"/>
      <c r="Y66" s="19"/>
      <c r="Z66" s="8"/>
      <c r="AA66" s="8"/>
      <c r="AB66" s="10"/>
      <c r="AC66" s="10"/>
      <c r="AD66" s="10"/>
      <c r="AE66" s="11"/>
      <c r="AF66" s="11"/>
      <c r="AG66" s="11"/>
      <c r="AH66" s="11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36" customHeight="1" x14ac:dyDescent="0.25">
      <c r="A67" s="2"/>
      <c r="B67" s="2"/>
      <c r="C67" s="2" t="s">
        <v>618</v>
      </c>
      <c r="D67" s="2" t="s">
        <v>619</v>
      </c>
      <c r="E67" s="2" t="s">
        <v>226</v>
      </c>
      <c r="F67" s="2">
        <v>3037590804</v>
      </c>
      <c r="G67" s="3"/>
      <c r="H67" s="3"/>
      <c r="I67" s="3"/>
      <c r="J67" s="3">
        <v>887</v>
      </c>
      <c r="K67" s="4"/>
      <c r="L67" s="4"/>
      <c r="M67" s="4"/>
      <c r="N67" s="4"/>
      <c r="O67" s="5">
        <v>5000</v>
      </c>
      <c r="P67" s="5"/>
      <c r="Q67" s="5"/>
      <c r="R67" s="5"/>
      <c r="S67" s="18">
        <v>15000</v>
      </c>
      <c r="T67" s="19">
        <v>5000</v>
      </c>
      <c r="U67" s="19" t="s">
        <v>1053</v>
      </c>
      <c r="V67" s="7">
        <v>5000</v>
      </c>
      <c r="W67" s="7" t="s">
        <v>1652</v>
      </c>
      <c r="X67" s="19"/>
      <c r="Y67" s="19"/>
      <c r="Z67" s="8"/>
      <c r="AA67" s="8"/>
      <c r="AB67" s="10"/>
      <c r="AC67" s="10"/>
      <c r="AD67" s="10"/>
      <c r="AE67" s="11"/>
      <c r="AF67" s="11"/>
      <c r="AG67" s="11"/>
      <c r="AH67" s="11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36" customHeight="1" x14ac:dyDescent="0.25">
      <c r="A68" s="2"/>
      <c r="B68" s="2"/>
      <c r="C68" s="2" t="s">
        <v>620</v>
      </c>
      <c r="D68" s="2" t="s">
        <v>621</v>
      </c>
      <c r="E68" s="2" t="s">
        <v>226</v>
      </c>
      <c r="F68" s="2">
        <v>3003605200</v>
      </c>
      <c r="G68" s="3"/>
      <c r="H68" s="3"/>
      <c r="I68" s="3"/>
      <c r="J68" s="3"/>
      <c r="K68" s="4"/>
      <c r="L68" s="4"/>
      <c r="M68" s="4"/>
      <c r="N68" s="4"/>
      <c r="O68" s="5">
        <v>0</v>
      </c>
      <c r="P68" s="5">
        <v>0</v>
      </c>
      <c r="Q68" s="5"/>
      <c r="R68" s="5"/>
      <c r="S68" s="18">
        <v>18000</v>
      </c>
      <c r="T68" s="19"/>
      <c r="U68" s="19">
        <v>1761</v>
      </c>
      <c r="V68" s="7">
        <v>7000</v>
      </c>
      <c r="W68" s="7" t="s">
        <v>1794</v>
      </c>
      <c r="X68" s="19"/>
      <c r="Y68" s="19"/>
      <c r="Z68" s="8"/>
      <c r="AA68" s="8"/>
      <c r="AB68" s="10"/>
      <c r="AC68" s="10"/>
      <c r="AD68" s="10"/>
      <c r="AE68" s="11"/>
      <c r="AF68" s="11"/>
      <c r="AG68" s="11"/>
      <c r="AH68" s="11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36" customHeight="1" x14ac:dyDescent="0.25">
      <c r="A69" s="2"/>
      <c r="B69" s="2"/>
      <c r="C69" s="2" t="s">
        <v>622</v>
      </c>
      <c r="D69" s="2" t="s">
        <v>159</v>
      </c>
      <c r="E69" s="2" t="s">
        <v>226</v>
      </c>
      <c r="F69" s="2">
        <v>3336243989</v>
      </c>
      <c r="G69" s="3"/>
      <c r="H69" s="3"/>
      <c r="I69" s="3"/>
      <c r="J69" s="3">
        <v>897</v>
      </c>
      <c r="K69" s="4"/>
      <c r="L69" s="4"/>
      <c r="M69" s="4"/>
      <c r="N69" s="4"/>
      <c r="O69" s="5">
        <v>0</v>
      </c>
      <c r="P69" s="5">
        <v>0</v>
      </c>
      <c r="Q69" s="5">
        <v>0</v>
      </c>
      <c r="R69" s="5"/>
      <c r="S69" s="18">
        <v>18000</v>
      </c>
      <c r="T69" s="19">
        <v>5000</v>
      </c>
      <c r="U69" s="19" t="s">
        <v>960</v>
      </c>
      <c r="V69" s="7">
        <v>4000</v>
      </c>
      <c r="W69" s="7" t="s">
        <v>1692</v>
      </c>
      <c r="X69" s="19"/>
      <c r="Y69" s="19"/>
      <c r="Z69" s="8"/>
      <c r="AA69" s="8"/>
      <c r="AB69" s="10"/>
      <c r="AC69" s="10"/>
      <c r="AD69" s="10"/>
      <c r="AE69" s="11"/>
      <c r="AF69" s="11"/>
      <c r="AG69" s="11"/>
      <c r="AH69" s="11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36" customHeight="1" x14ac:dyDescent="0.25">
      <c r="A70" s="2"/>
      <c r="B70" s="2"/>
      <c r="C70" s="2" t="s">
        <v>623</v>
      </c>
      <c r="D70" s="2" t="s">
        <v>624</v>
      </c>
      <c r="E70" s="2" t="s">
        <v>226</v>
      </c>
      <c r="F70" s="2">
        <v>3032912440</v>
      </c>
      <c r="G70" s="3"/>
      <c r="H70" s="3"/>
      <c r="I70" s="3"/>
      <c r="J70" s="3">
        <v>369</v>
      </c>
      <c r="K70" s="4"/>
      <c r="L70" s="4"/>
      <c r="M70" s="4"/>
      <c r="N70" s="4"/>
      <c r="O70" s="5">
        <v>5000</v>
      </c>
      <c r="P70" s="5"/>
      <c r="Q70" s="5"/>
      <c r="R70" s="5"/>
      <c r="S70" s="18">
        <v>15000</v>
      </c>
      <c r="T70" s="19">
        <v>5000</v>
      </c>
      <c r="U70" s="19" t="s">
        <v>1213</v>
      </c>
      <c r="V70" s="7">
        <v>5000</v>
      </c>
      <c r="W70" s="7" t="s">
        <v>1657</v>
      </c>
      <c r="X70" s="19"/>
      <c r="Y70" s="19"/>
      <c r="Z70" s="8"/>
      <c r="AA70" s="8"/>
      <c r="AB70" s="10"/>
      <c r="AC70" s="10"/>
      <c r="AD70" s="10"/>
      <c r="AE70" s="11"/>
      <c r="AF70" s="11"/>
      <c r="AG70" s="11"/>
      <c r="AH70" s="11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36" customHeight="1" x14ac:dyDescent="0.25">
      <c r="A71" s="2"/>
      <c r="B71" s="2"/>
      <c r="C71" s="2" t="s">
        <v>625</v>
      </c>
      <c r="D71" s="2" t="s">
        <v>626</v>
      </c>
      <c r="E71" s="2" t="s">
        <v>226</v>
      </c>
      <c r="F71" s="2">
        <v>3004118784</v>
      </c>
      <c r="G71" s="3"/>
      <c r="H71" s="3"/>
      <c r="I71" s="3"/>
      <c r="J71" s="3"/>
      <c r="K71" s="4"/>
      <c r="L71" s="4"/>
      <c r="M71" s="4"/>
      <c r="N71" s="4"/>
      <c r="O71" s="5">
        <v>5000</v>
      </c>
      <c r="P71" s="5"/>
      <c r="Q71" s="5"/>
      <c r="R71" s="5"/>
      <c r="S71" s="18">
        <v>13000</v>
      </c>
      <c r="T71" s="19">
        <v>3000</v>
      </c>
      <c r="U71" s="19" t="s">
        <v>1279</v>
      </c>
      <c r="V71" s="7">
        <v>1500</v>
      </c>
      <c r="W71" s="7" t="s">
        <v>1705</v>
      </c>
      <c r="X71" s="19"/>
      <c r="Y71" s="19"/>
      <c r="Z71" s="8"/>
      <c r="AA71" s="8"/>
      <c r="AB71" s="10"/>
      <c r="AC71" s="10"/>
      <c r="AD71" s="10"/>
      <c r="AE71" s="11"/>
      <c r="AF71" s="11"/>
      <c r="AG71" s="11"/>
      <c r="AH71" s="1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36" customHeight="1" x14ac:dyDescent="0.25">
      <c r="A72" s="2"/>
      <c r="B72" s="2"/>
      <c r="C72" s="2" t="s">
        <v>627</v>
      </c>
      <c r="D72" s="2" t="s">
        <v>628</v>
      </c>
      <c r="E72" s="2" t="s">
        <v>226</v>
      </c>
      <c r="F72" s="2">
        <v>3406333044</v>
      </c>
      <c r="G72" s="3"/>
      <c r="H72" s="3"/>
      <c r="I72" s="3"/>
      <c r="J72" s="3">
        <v>355</v>
      </c>
      <c r="K72" s="4"/>
      <c r="L72" s="4"/>
      <c r="M72" s="4"/>
      <c r="N72" s="4"/>
      <c r="O72" s="5">
        <v>5000</v>
      </c>
      <c r="P72" s="5"/>
      <c r="Q72" s="5"/>
      <c r="R72" s="5"/>
      <c r="S72" s="18">
        <v>10000</v>
      </c>
      <c r="T72" s="19">
        <v>10000</v>
      </c>
      <c r="U72" s="33" t="s">
        <v>1412</v>
      </c>
      <c r="V72" s="7">
        <v>5000</v>
      </c>
      <c r="W72" s="7" t="s">
        <v>1560</v>
      </c>
      <c r="X72" s="19"/>
      <c r="Y72" s="19"/>
      <c r="Z72" s="8"/>
      <c r="AA72" s="8"/>
      <c r="AB72" s="10"/>
      <c r="AC72" s="10"/>
      <c r="AD72" s="10"/>
      <c r="AE72" s="11"/>
      <c r="AF72" s="11"/>
      <c r="AG72" s="11"/>
      <c r="AH72" s="11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36" customHeight="1" x14ac:dyDescent="0.25">
      <c r="A73" s="2"/>
      <c r="B73" s="2"/>
      <c r="C73" s="2" t="s">
        <v>629</v>
      </c>
      <c r="D73" s="2" t="s">
        <v>630</v>
      </c>
      <c r="E73" s="2" t="s">
        <v>226</v>
      </c>
      <c r="F73" s="2">
        <v>3457624159</v>
      </c>
      <c r="G73" s="3"/>
      <c r="H73" s="3"/>
      <c r="I73" s="3"/>
      <c r="J73" s="3">
        <v>344</v>
      </c>
      <c r="K73" s="4"/>
      <c r="L73" s="4"/>
      <c r="M73" s="4"/>
      <c r="N73" s="4"/>
      <c r="O73" s="5">
        <v>0</v>
      </c>
      <c r="P73" s="5">
        <v>0</v>
      </c>
      <c r="Q73" s="5"/>
      <c r="R73" s="5"/>
      <c r="S73" s="18">
        <v>18000</v>
      </c>
      <c r="T73" s="19">
        <v>10000</v>
      </c>
      <c r="U73" s="33" t="s">
        <v>1411</v>
      </c>
      <c r="V73" s="7">
        <v>4000</v>
      </c>
      <c r="W73" s="7" t="s">
        <v>1527</v>
      </c>
      <c r="X73" s="19"/>
      <c r="Y73" s="19"/>
      <c r="Z73" s="8"/>
      <c r="AA73" s="8"/>
      <c r="AB73" s="10"/>
      <c r="AC73" s="10"/>
      <c r="AD73" s="10"/>
      <c r="AE73" s="11"/>
      <c r="AF73" s="11"/>
      <c r="AG73" s="11"/>
      <c r="AH73" s="11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36" customHeight="1" x14ac:dyDescent="0.25">
      <c r="A74" s="2"/>
      <c r="B74" s="2"/>
      <c r="C74" s="2" t="s">
        <v>631</v>
      </c>
      <c r="D74" s="2" t="s">
        <v>632</v>
      </c>
      <c r="E74" s="2" t="s">
        <v>226</v>
      </c>
      <c r="F74" s="2">
        <v>3037270509</v>
      </c>
      <c r="G74" s="3"/>
      <c r="H74" s="3"/>
      <c r="I74" s="3"/>
      <c r="J74" s="3">
        <v>204</v>
      </c>
      <c r="K74" s="4"/>
      <c r="L74" s="4"/>
      <c r="M74" s="4"/>
      <c r="N74" s="4"/>
      <c r="O74" s="5">
        <v>5000</v>
      </c>
      <c r="P74" s="5"/>
      <c r="Q74" s="5"/>
      <c r="R74" s="5"/>
      <c r="S74" s="18">
        <v>20000</v>
      </c>
      <c r="T74" s="19">
        <v>5000</v>
      </c>
      <c r="U74" s="19" t="s">
        <v>1055</v>
      </c>
      <c r="V74" s="7"/>
      <c r="W74" s="7"/>
      <c r="X74" s="19"/>
      <c r="Y74" s="19"/>
      <c r="Z74" s="8"/>
      <c r="AA74" s="8"/>
      <c r="AB74" s="10"/>
      <c r="AC74" s="10"/>
      <c r="AD74" s="10"/>
      <c r="AE74" s="11"/>
      <c r="AF74" s="11"/>
      <c r="AG74" s="11"/>
      <c r="AH74" s="11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36" customHeight="1" x14ac:dyDescent="0.25">
      <c r="A75" s="2"/>
      <c r="B75" s="2"/>
      <c r="C75" s="2" t="s">
        <v>633</v>
      </c>
      <c r="D75" s="2" t="s">
        <v>634</v>
      </c>
      <c r="E75" s="2" t="s">
        <v>226</v>
      </c>
      <c r="F75" s="2">
        <v>3017439344</v>
      </c>
      <c r="G75" s="3"/>
      <c r="H75" s="3"/>
      <c r="I75" s="3"/>
      <c r="J75" s="3">
        <v>321</v>
      </c>
      <c r="K75" s="4"/>
      <c r="L75" s="4"/>
      <c r="M75" s="4"/>
      <c r="N75" s="4"/>
      <c r="O75" s="5">
        <v>5000</v>
      </c>
      <c r="P75" s="5"/>
      <c r="Q75" s="5"/>
      <c r="R75" s="5"/>
      <c r="S75" s="18">
        <v>20000</v>
      </c>
      <c r="T75" s="19">
        <v>5000</v>
      </c>
      <c r="U75" s="19" t="s">
        <v>1404</v>
      </c>
      <c r="V75" s="7"/>
      <c r="W75" s="7"/>
      <c r="X75" s="19"/>
      <c r="Y75" s="19"/>
      <c r="Z75" s="8"/>
      <c r="AA75" s="8"/>
      <c r="AB75" s="10"/>
      <c r="AC75" s="10"/>
      <c r="AD75" s="10"/>
      <c r="AE75" s="11"/>
      <c r="AF75" s="11"/>
      <c r="AG75" s="11"/>
      <c r="AH75" s="11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36" customHeight="1" x14ac:dyDescent="0.25">
      <c r="A76" s="2"/>
      <c r="B76" s="2"/>
      <c r="C76" s="2" t="s">
        <v>635</v>
      </c>
      <c r="D76" s="2" t="s">
        <v>636</v>
      </c>
      <c r="E76" s="2" t="s">
        <v>226</v>
      </c>
      <c r="F76" s="2">
        <v>3064235673</v>
      </c>
      <c r="G76" s="3"/>
      <c r="H76" s="3"/>
      <c r="I76" s="3"/>
      <c r="J76" s="3">
        <v>338</v>
      </c>
      <c r="K76" s="4"/>
      <c r="L76" s="4"/>
      <c r="M76" s="4"/>
      <c r="N76" s="4"/>
      <c r="O76" s="5">
        <v>5000</v>
      </c>
      <c r="P76" s="5"/>
      <c r="Q76" s="5"/>
      <c r="R76" s="5"/>
      <c r="S76" s="18">
        <v>15000</v>
      </c>
      <c r="T76" s="19">
        <v>5000</v>
      </c>
      <c r="U76" s="19" t="s">
        <v>1079</v>
      </c>
      <c r="V76" s="7">
        <v>3000</v>
      </c>
      <c r="W76" s="7" t="s">
        <v>1713</v>
      </c>
      <c r="X76" s="19"/>
      <c r="Y76" s="19"/>
      <c r="Z76" s="8"/>
      <c r="AA76" s="8"/>
      <c r="AB76" s="10"/>
      <c r="AC76" s="10"/>
      <c r="AD76" s="10"/>
      <c r="AE76" s="11"/>
      <c r="AF76" s="11"/>
      <c r="AG76" s="11"/>
      <c r="AH76" s="11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36" customHeight="1" x14ac:dyDescent="0.25">
      <c r="A77" s="2"/>
      <c r="B77" s="2"/>
      <c r="C77" s="2" t="s">
        <v>637</v>
      </c>
      <c r="D77" s="2" t="s">
        <v>638</v>
      </c>
      <c r="E77" s="2" t="s">
        <v>226</v>
      </c>
      <c r="F77" s="2">
        <v>3336167874</v>
      </c>
      <c r="G77" s="3"/>
      <c r="H77" s="3"/>
      <c r="I77" s="3"/>
      <c r="J77" s="3">
        <v>896</v>
      </c>
      <c r="K77" s="4"/>
      <c r="L77" s="4"/>
      <c r="M77" s="4"/>
      <c r="N77" s="4"/>
      <c r="O77" s="5">
        <v>0</v>
      </c>
      <c r="P77" s="5">
        <v>0</v>
      </c>
      <c r="Q77" s="5"/>
      <c r="R77" s="5"/>
      <c r="S77" s="18">
        <v>18000</v>
      </c>
      <c r="T77" s="19">
        <v>5000</v>
      </c>
      <c r="U77" s="19" t="s">
        <v>969</v>
      </c>
      <c r="V77" s="7"/>
      <c r="W77" s="7"/>
      <c r="X77" s="19"/>
      <c r="Y77" s="19"/>
      <c r="Z77" s="8"/>
      <c r="AA77" s="8"/>
      <c r="AB77" s="10"/>
      <c r="AC77" s="10"/>
      <c r="AD77" s="10"/>
      <c r="AE77" s="11"/>
      <c r="AF77" s="11"/>
      <c r="AG77" s="11"/>
      <c r="AH77" s="11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36" customHeight="1" x14ac:dyDescent="0.25">
      <c r="A78" s="2"/>
      <c r="B78" s="2"/>
      <c r="C78" s="2" t="s">
        <v>639</v>
      </c>
      <c r="D78" s="2" t="s">
        <v>640</v>
      </c>
      <c r="E78" s="2" t="s">
        <v>226</v>
      </c>
      <c r="F78" s="2">
        <v>3017825802</v>
      </c>
      <c r="G78" s="3"/>
      <c r="H78" s="3"/>
      <c r="I78" s="3"/>
      <c r="J78" s="3">
        <v>895</v>
      </c>
      <c r="K78" s="4"/>
      <c r="L78" s="4"/>
      <c r="M78" s="4"/>
      <c r="N78" s="4"/>
      <c r="O78" s="5">
        <v>5000</v>
      </c>
      <c r="P78" s="5"/>
      <c r="Q78" s="5"/>
      <c r="R78" s="5"/>
      <c r="S78" s="18">
        <v>17000</v>
      </c>
      <c r="T78" s="19">
        <v>5000</v>
      </c>
      <c r="U78" s="19" t="s">
        <v>1136</v>
      </c>
      <c r="V78" s="7">
        <v>5000</v>
      </c>
      <c r="W78" s="7" t="s">
        <v>1649</v>
      </c>
      <c r="X78" s="19"/>
      <c r="Y78" s="19"/>
      <c r="Z78" s="8"/>
      <c r="AA78" s="8"/>
      <c r="AB78" s="10"/>
      <c r="AC78" s="10"/>
      <c r="AD78" s="10"/>
      <c r="AE78" s="11"/>
      <c r="AF78" s="11"/>
      <c r="AG78" s="11"/>
      <c r="AH78" s="11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36" customHeight="1" x14ac:dyDescent="0.25">
      <c r="A79" s="2"/>
      <c r="B79" s="2"/>
      <c r="C79" s="2" t="s">
        <v>395</v>
      </c>
      <c r="D79" s="2" t="s">
        <v>404</v>
      </c>
      <c r="E79" s="2" t="s">
        <v>226</v>
      </c>
      <c r="F79" s="2">
        <v>3065545786</v>
      </c>
      <c r="G79" s="3"/>
      <c r="H79" s="3"/>
      <c r="I79" s="3"/>
      <c r="J79" s="3">
        <v>858</v>
      </c>
      <c r="K79" s="4"/>
      <c r="L79" s="4"/>
      <c r="M79" s="4"/>
      <c r="N79" s="4"/>
      <c r="O79" s="5">
        <v>0</v>
      </c>
      <c r="P79" s="5">
        <v>0</v>
      </c>
      <c r="Q79" s="5"/>
      <c r="R79" s="5"/>
      <c r="S79" s="18">
        <v>15000</v>
      </c>
      <c r="T79" s="19">
        <v>5000</v>
      </c>
      <c r="U79" s="19" t="s">
        <v>1021</v>
      </c>
      <c r="V79" s="7"/>
      <c r="W79" s="7"/>
      <c r="X79" s="19"/>
      <c r="Y79" s="19"/>
      <c r="Z79" s="8"/>
      <c r="AA79" s="8"/>
      <c r="AB79" s="10"/>
      <c r="AC79" s="10"/>
      <c r="AD79" s="10"/>
      <c r="AE79" s="11"/>
      <c r="AF79" s="11"/>
      <c r="AG79" s="11"/>
      <c r="AH79" s="11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36" customHeight="1" x14ac:dyDescent="0.25">
      <c r="A80" s="2"/>
      <c r="B80" s="2"/>
      <c r="C80" s="2" t="s">
        <v>641</v>
      </c>
      <c r="D80" s="2" t="s">
        <v>642</v>
      </c>
      <c r="E80" s="2" t="s">
        <v>226</v>
      </c>
      <c r="F80" s="2">
        <v>3459585271</v>
      </c>
      <c r="G80" s="3"/>
      <c r="H80" s="3"/>
      <c r="I80" s="3"/>
      <c r="J80" s="3">
        <v>857</v>
      </c>
      <c r="K80" s="4"/>
      <c r="L80" s="4"/>
      <c r="M80" s="4"/>
      <c r="N80" s="4"/>
      <c r="O80" s="5">
        <v>0</v>
      </c>
      <c r="P80" s="5">
        <v>0</v>
      </c>
      <c r="Q80" s="5"/>
      <c r="R80" s="5"/>
      <c r="S80" s="18">
        <v>20000</v>
      </c>
      <c r="T80" s="19">
        <v>20000</v>
      </c>
      <c r="U80" s="19" t="s">
        <v>1006</v>
      </c>
      <c r="V80" s="7"/>
      <c r="W80" s="7"/>
      <c r="X80" s="19"/>
      <c r="Y80" s="19"/>
      <c r="Z80" s="8"/>
      <c r="AA80" s="8"/>
      <c r="AB80" s="10"/>
      <c r="AC80" s="10"/>
      <c r="AD80" s="10"/>
      <c r="AE80" s="11"/>
      <c r="AF80" s="11"/>
      <c r="AG80" s="11"/>
      <c r="AH80" s="11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36" customHeight="1" x14ac:dyDescent="0.25">
      <c r="A81" s="2"/>
      <c r="B81" s="2"/>
      <c r="C81" s="2" t="s">
        <v>643</v>
      </c>
      <c r="D81" s="2" t="s">
        <v>644</v>
      </c>
      <c r="E81" s="2" t="s">
        <v>226</v>
      </c>
      <c r="F81" s="2">
        <v>3023398332</v>
      </c>
      <c r="G81" s="3"/>
      <c r="H81" s="3"/>
      <c r="I81" s="3"/>
      <c r="J81" s="3">
        <v>333</v>
      </c>
      <c r="K81" s="4"/>
      <c r="L81" s="4"/>
      <c r="M81" s="4"/>
      <c r="N81" s="4"/>
      <c r="O81" s="5">
        <v>0</v>
      </c>
      <c r="P81" s="5">
        <v>0</v>
      </c>
      <c r="Q81" s="5"/>
      <c r="R81" s="5"/>
      <c r="S81" s="18">
        <v>18000</v>
      </c>
      <c r="T81" s="19">
        <v>5000</v>
      </c>
      <c r="U81" s="19" t="s">
        <v>1002</v>
      </c>
      <c r="V81" s="7">
        <v>5000</v>
      </c>
      <c r="W81" s="7" t="s">
        <v>1617</v>
      </c>
      <c r="X81" s="19"/>
      <c r="Y81" s="19"/>
      <c r="Z81" s="8"/>
      <c r="AA81" s="8"/>
      <c r="AB81" s="10"/>
      <c r="AC81" s="10"/>
      <c r="AD81" s="10"/>
      <c r="AE81" s="11"/>
      <c r="AF81" s="11"/>
      <c r="AG81" s="11"/>
      <c r="AH81" s="1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36" customHeight="1" x14ac:dyDescent="0.25">
      <c r="A82" s="2"/>
      <c r="B82" s="2"/>
      <c r="C82" s="2" t="s">
        <v>645</v>
      </c>
      <c r="D82" s="2" t="s">
        <v>443</v>
      </c>
      <c r="E82" s="2" t="s">
        <v>226</v>
      </c>
      <c r="F82" s="2">
        <v>3017983954</v>
      </c>
      <c r="G82" s="3"/>
      <c r="H82" s="3"/>
      <c r="I82" s="3"/>
      <c r="J82" s="3">
        <v>208</v>
      </c>
      <c r="K82" s="4"/>
      <c r="L82" s="4"/>
      <c r="M82" s="4"/>
      <c r="N82" s="4"/>
      <c r="O82" s="5">
        <v>5000</v>
      </c>
      <c r="P82" s="5"/>
      <c r="Q82" s="5"/>
      <c r="R82" s="5"/>
      <c r="S82" s="18">
        <v>18000</v>
      </c>
      <c r="T82" s="19">
        <v>2500</v>
      </c>
      <c r="U82" s="19" t="s">
        <v>1302</v>
      </c>
      <c r="V82" s="7">
        <v>5000</v>
      </c>
      <c r="W82" s="7" t="s">
        <v>1568</v>
      </c>
      <c r="X82" s="19"/>
      <c r="Y82" s="19"/>
      <c r="Z82" s="8"/>
      <c r="AA82" s="8"/>
      <c r="AB82" s="10"/>
      <c r="AC82" s="10"/>
      <c r="AD82" s="10"/>
      <c r="AE82" s="11"/>
      <c r="AF82" s="11"/>
      <c r="AG82" s="11"/>
      <c r="AH82" s="11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36" customHeight="1" x14ac:dyDescent="0.25">
      <c r="A83" s="2"/>
      <c r="B83" s="2"/>
      <c r="C83" s="2" t="s">
        <v>647</v>
      </c>
      <c r="D83" s="2" t="s">
        <v>648</v>
      </c>
      <c r="E83" s="2" t="s">
        <v>226</v>
      </c>
      <c r="F83" s="2">
        <v>3463426795</v>
      </c>
      <c r="G83" s="3"/>
      <c r="H83" s="3"/>
      <c r="I83" s="3"/>
      <c r="J83" s="3"/>
      <c r="K83" s="4"/>
      <c r="L83" s="4"/>
      <c r="M83" s="4"/>
      <c r="N83" s="4"/>
      <c r="O83" s="5">
        <v>5000</v>
      </c>
      <c r="P83" s="5">
        <v>5000</v>
      </c>
      <c r="Q83" s="5" t="s">
        <v>1761</v>
      </c>
      <c r="R83" s="5"/>
      <c r="S83" s="18">
        <v>20000</v>
      </c>
      <c r="T83" s="19">
        <v>5000</v>
      </c>
      <c r="U83" s="19" t="s">
        <v>1026</v>
      </c>
      <c r="V83" s="7">
        <v>5000</v>
      </c>
      <c r="W83" s="7" t="s">
        <v>1510</v>
      </c>
      <c r="X83" s="19"/>
      <c r="Y83" s="19"/>
      <c r="Z83" s="8"/>
      <c r="AA83" s="8"/>
      <c r="AB83" s="10"/>
      <c r="AC83" s="10"/>
      <c r="AD83" s="10"/>
      <c r="AE83" s="11"/>
      <c r="AF83" s="11"/>
      <c r="AG83" s="11"/>
      <c r="AH83" s="11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36" customHeight="1" x14ac:dyDescent="0.25">
      <c r="A84" s="2"/>
      <c r="B84" s="2"/>
      <c r="C84" s="2" t="s">
        <v>649</v>
      </c>
      <c r="D84" s="2" t="s">
        <v>523</v>
      </c>
      <c r="E84" s="2" t="s">
        <v>226</v>
      </c>
      <c r="F84" s="2">
        <v>3067863136</v>
      </c>
      <c r="G84" s="3"/>
      <c r="H84" s="3"/>
      <c r="I84" s="3"/>
      <c r="J84" s="3">
        <v>5738</v>
      </c>
      <c r="K84" s="4"/>
      <c r="L84" s="4"/>
      <c r="M84" s="4"/>
      <c r="N84" s="4"/>
      <c r="O84" s="5">
        <v>0</v>
      </c>
      <c r="P84" s="5">
        <v>0</v>
      </c>
      <c r="Q84" s="5"/>
      <c r="R84" s="5"/>
      <c r="S84" s="18">
        <v>30000</v>
      </c>
      <c r="T84" s="19">
        <v>5000</v>
      </c>
      <c r="U84" s="19" t="s">
        <v>997</v>
      </c>
      <c r="V84" s="7"/>
      <c r="W84" s="7"/>
      <c r="X84" s="19"/>
      <c r="Y84" s="19"/>
      <c r="Z84" s="8"/>
      <c r="AA84" s="8"/>
      <c r="AB84" s="10"/>
      <c r="AC84" s="10"/>
      <c r="AD84" s="10"/>
      <c r="AE84" s="11"/>
      <c r="AF84" s="11"/>
      <c r="AG84" s="11"/>
      <c r="AH84" s="11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36" customHeight="1" x14ac:dyDescent="0.25">
      <c r="A85" s="2"/>
      <c r="B85" s="2"/>
      <c r="C85" s="2" t="s">
        <v>650</v>
      </c>
      <c r="D85" s="2" t="s">
        <v>651</v>
      </c>
      <c r="E85" s="2" t="s">
        <v>226</v>
      </c>
      <c r="F85" s="2">
        <v>3067768480</v>
      </c>
      <c r="G85" s="3"/>
      <c r="H85" s="3"/>
      <c r="I85" s="3"/>
      <c r="J85" s="3">
        <v>336</v>
      </c>
      <c r="K85" s="4"/>
      <c r="L85" s="4"/>
      <c r="M85" s="4"/>
      <c r="N85" s="4"/>
      <c r="O85" s="5">
        <v>5000</v>
      </c>
      <c r="P85" s="5">
        <v>5000</v>
      </c>
      <c r="Q85" s="5" t="s">
        <v>1757</v>
      </c>
      <c r="R85" s="5"/>
      <c r="S85" s="18">
        <v>22000</v>
      </c>
      <c r="T85" s="19">
        <v>10000</v>
      </c>
      <c r="U85" s="19" t="s">
        <v>1271</v>
      </c>
      <c r="V85" s="7"/>
      <c r="W85" s="7"/>
      <c r="X85" s="19"/>
      <c r="Y85" s="19"/>
      <c r="Z85" s="8"/>
      <c r="AA85" s="8"/>
      <c r="AB85" s="10"/>
      <c r="AC85" s="10"/>
      <c r="AD85" s="10"/>
      <c r="AE85" s="11"/>
      <c r="AF85" s="11"/>
      <c r="AG85" s="11"/>
      <c r="AH85" s="11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36" customHeight="1" x14ac:dyDescent="0.25">
      <c r="A86" s="2"/>
      <c r="B86" s="2"/>
      <c r="C86" s="2" t="s">
        <v>652</v>
      </c>
      <c r="D86" s="2" t="s">
        <v>632</v>
      </c>
      <c r="E86" s="2" t="s">
        <v>226</v>
      </c>
      <c r="F86" s="2">
        <v>3037270509</v>
      </c>
      <c r="G86" s="3"/>
      <c r="H86" s="3"/>
      <c r="I86" s="3"/>
      <c r="J86" s="3">
        <v>205</v>
      </c>
      <c r="K86" s="4"/>
      <c r="L86" s="4"/>
      <c r="M86" s="4"/>
      <c r="N86" s="4"/>
      <c r="O86" s="5">
        <v>5000</v>
      </c>
      <c r="P86" s="5"/>
      <c r="Q86" s="5"/>
      <c r="R86" s="5"/>
      <c r="S86" s="18">
        <v>20000</v>
      </c>
      <c r="T86" s="19">
        <v>5000</v>
      </c>
      <c r="U86" s="19" t="s">
        <v>1054</v>
      </c>
      <c r="V86" s="7"/>
      <c r="W86" s="7"/>
      <c r="X86" s="19"/>
      <c r="Y86" s="19"/>
      <c r="Z86" s="8"/>
      <c r="AA86" s="8"/>
      <c r="AB86" s="10"/>
      <c r="AC86" s="10"/>
      <c r="AD86" s="10"/>
      <c r="AE86" s="11"/>
      <c r="AF86" s="11"/>
      <c r="AG86" s="11"/>
      <c r="AH86" s="11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36" customHeight="1" x14ac:dyDescent="0.25">
      <c r="A87" s="2"/>
      <c r="B87" s="2"/>
      <c r="C87" s="2" t="s">
        <v>653</v>
      </c>
      <c r="D87" s="2" t="s">
        <v>654</v>
      </c>
      <c r="E87" s="2" t="s">
        <v>226</v>
      </c>
      <c r="F87" s="2">
        <v>3057494622</v>
      </c>
      <c r="G87" s="3"/>
      <c r="H87" s="3"/>
      <c r="I87" s="3"/>
      <c r="J87" s="3"/>
      <c r="K87" s="4"/>
      <c r="L87" s="4"/>
      <c r="M87" s="4"/>
      <c r="N87" s="4"/>
      <c r="O87" s="5">
        <v>0</v>
      </c>
      <c r="P87" s="5">
        <v>0</v>
      </c>
      <c r="Q87" s="5"/>
      <c r="R87" s="5"/>
      <c r="S87" s="18">
        <v>15000</v>
      </c>
      <c r="T87" s="19">
        <v>3000</v>
      </c>
      <c r="U87" s="19" t="s">
        <v>981</v>
      </c>
      <c r="V87" s="7"/>
      <c r="W87" s="7"/>
      <c r="X87" s="19"/>
      <c r="Y87" s="19"/>
      <c r="Z87" s="8"/>
      <c r="AA87" s="8"/>
      <c r="AB87" s="10"/>
      <c r="AC87" s="10"/>
      <c r="AD87" s="10"/>
      <c r="AE87" s="11"/>
      <c r="AF87" s="11"/>
      <c r="AG87" s="11"/>
      <c r="AH87" s="11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36" customHeight="1" x14ac:dyDescent="0.25">
      <c r="A88" s="2"/>
      <c r="B88" s="2"/>
      <c r="C88" s="2" t="s">
        <v>655</v>
      </c>
      <c r="D88" s="2" t="s">
        <v>656</v>
      </c>
      <c r="E88" s="2" t="s">
        <v>226</v>
      </c>
      <c r="F88" s="2">
        <v>3084909156</v>
      </c>
      <c r="G88" s="3"/>
      <c r="H88" s="3"/>
      <c r="I88" s="3"/>
      <c r="J88" s="3">
        <v>864</v>
      </c>
      <c r="K88" s="4"/>
      <c r="L88" s="4"/>
      <c r="M88" s="4"/>
      <c r="N88" s="4"/>
      <c r="O88" s="5">
        <v>5000</v>
      </c>
      <c r="P88" s="5"/>
      <c r="Q88" s="5"/>
      <c r="R88" s="5"/>
      <c r="S88" s="18">
        <v>25000</v>
      </c>
      <c r="T88" s="19">
        <v>5000</v>
      </c>
      <c r="U88" s="19" t="s">
        <v>1056</v>
      </c>
      <c r="V88" s="7">
        <v>5000</v>
      </c>
      <c r="W88" s="7" t="s">
        <v>1524</v>
      </c>
      <c r="X88" s="19"/>
      <c r="Y88" s="19"/>
      <c r="Z88" s="8"/>
      <c r="AA88" s="8"/>
      <c r="AB88" s="10"/>
      <c r="AC88" s="10"/>
      <c r="AD88" s="10"/>
      <c r="AE88" s="11"/>
      <c r="AF88" s="11"/>
      <c r="AG88" s="11"/>
      <c r="AH88" s="11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36" customHeight="1" x14ac:dyDescent="0.25">
      <c r="A89" s="2"/>
      <c r="B89" s="2"/>
      <c r="C89" s="2" t="s">
        <v>657</v>
      </c>
      <c r="D89" s="2" t="s">
        <v>658</v>
      </c>
      <c r="E89" s="2" t="s">
        <v>226</v>
      </c>
      <c r="F89" s="2">
        <v>3027847648</v>
      </c>
      <c r="G89" s="3"/>
      <c r="H89" s="3"/>
      <c r="I89" s="3"/>
      <c r="J89" s="3"/>
      <c r="K89" s="4"/>
      <c r="L89" s="4"/>
      <c r="M89" s="4"/>
      <c r="N89" s="4"/>
      <c r="O89" s="5">
        <v>5000</v>
      </c>
      <c r="P89" s="5"/>
      <c r="Q89" s="5"/>
      <c r="R89" s="5"/>
      <c r="S89" s="18">
        <v>18000</v>
      </c>
      <c r="T89" s="19">
        <v>2000</v>
      </c>
      <c r="U89" s="19" t="s">
        <v>1063</v>
      </c>
      <c r="V89" s="7"/>
      <c r="W89" s="7"/>
      <c r="X89" s="19"/>
      <c r="Y89" s="19"/>
      <c r="Z89" s="8"/>
      <c r="AA89" s="8"/>
      <c r="AB89" s="10"/>
      <c r="AC89" s="10"/>
      <c r="AD89" s="10"/>
      <c r="AE89" s="11"/>
      <c r="AF89" s="11"/>
      <c r="AG89" s="11"/>
      <c r="AH89" s="11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36" customHeight="1" x14ac:dyDescent="0.25">
      <c r="A90" s="2"/>
      <c r="B90" s="2"/>
      <c r="C90" s="2" t="s">
        <v>659</v>
      </c>
      <c r="D90" s="2" t="s">
        <v>177</v>
      </c>
      <c r="E90" s="2" t="s">
        <v>226</v>
      </c>
      <c r="F90" s="2">
        <v>3036570527</v>
      </c>
      <c r="G90" s="3"/>
      <c r="H90" s="3"/>
      <c r="I90" s="3"/>
      <c r="J90" s="3">
        <v>264</v>
      </c>
      <c r="K90" s="4"/>
      <c r="L90" s="4"/>
      <c r="M90" s="4"/>
      <c r="N90" s="4"/>
      <c r="O90" s="5">
        <v>5000</v>
      </c>
      <c r="P90" s="5"/>
      <c r="Q90" s="5"/>
      <c r="R90" s="5"/>
      <c r="S90" s="18">
        <v>25000</v>
      </c>
      <c r="T90" s="19">
        <v>5000</v>
      </c>
      <c r="U90" s="19" t="s">
        <v>1140</v>
      </c>
      <c r="V90" s="7">
        <v>5000</v>
      </c>
      <c r="W90" s="7" t="s">
        <v>1745</v>
      </c>
      <c r="X90" s="19"/>
      <c r="Y90" s="19"/>
      <c r="Z90" s="8"/>
      <c r="AA90" s="8"/>
      <c r="AB90" s="10"/>
      <c r="AC90" s="10"/>
      <c r="AD90" s="10"/>
      <c r="AE90" s="11"/>
      <c r="AF90" s="11"/>
      <c r="AG90" s="11"/>
      <c r="AH90" s="11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36" customHeight="1" x14ac:dyDescent="0.25">
      <c r="A91" s="2"/>
      <c r="B91" s="2"/>
      <c r="C91" s="2" t="s">
        <v>660</v>
      </c>
      <c r="D91" s="2" t="s">
        <v>661</v>
      </c>
      <c r="E91" s="2" t="s">
        <v>226</v>
      </c>
      <c r="F91" s="2">
        <v>3006885990</v>
      </c>
      <c r="G91" s="3"/>
      <c r="H91" s="3"/>
      <c r="I91" s="3"/>
      <c r="J91" s="3"/>
      <c r="K91" s="4"/>
      <c r="L91" s="4"/>
      <c r="M91" s="4"/>
      <c r="N91" s="4"/>
      <c r="O91" s="5">
        <v>5000</v>
      </c>
      <c r="P91" s="5">
        <v>5000</v>
      </c>
      <c r="Q91" s="5" t="s">
        <v>1756</v>
      </c>
      <c r="R91" s="5"/>
      <c r="S91" s="18">
        <v>19000</v>
      </c>
      <c r="T91" s="19"/>
      <c r="U91" s="19"/>
      <c r="V91" s="7"/>
      <c r="W91" s="7"/>
      <c r="X91" s="19"/>
      <c r="Y91" s="19"/>
      <c r="Z91" s="8"/>
      <c r="AA91" s="8"/>
      <c r="AB91" s="10"/>
      <c r="AC91" s="10"/>
      <c r="AD91" s="10"/>
      <c r="AE91" s="11"/>
      <c r="AF91" s="11"/>
      <c r="AG91" s="11"/>
      <c r="AH91" s="1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36" customHeight="1" x14ac:dyDescent="0.25">
      <c r="A92" s="2"/>
      <c r="B92" s="2"/>
      <c r="C92" s="2" t="s">
        <v>662</v>
      </c>
      <c r="D92" s="2" t="s">
        <v>663</v>
      </c>
      <c r="E92" s="2" t="s">
        <v>226</v>
      </c>
      <c r="F92" s="2">
        <v>3083333141</v>
      </c>
      <c r="G92" s="3"/>
      <c r="H92" s="3"/>
      <c r="I92" s="3"/>
      <c r="J92" s="3"/>
      <c r="K92" s="4"/>
      <c r="L92" s="4"/>
      <c r="M92" s="4"/>
      <c r="N92" s="4"/>
      <c r="O92" s="5">
        <v>5000</v>
      </c>
      <c r="P92" s="5"/>
      <c r="Q92" s="5"/>
      <c r="R92" s="5"/>
      <c r="S92" s="18">
        <v>15000</v>
      </c>
      <c r="T92" s="19">
        <v>5000</v>
      </c>
      <c r="U92" s="19" t="s">
        <v>1204</v>
      </c>
      <c r="V92" s="7"/>
      <c r="W92" s="7"/>
      <c r="X92" s="19"/>
      <c r="Y92" s="19"/>
      <c r="Z92" s="8"/>
      <c r="AA92" s="8"/>
      <c r="AB92" s="10"/>
      <c r="AC92" s="10"/>
      <c r="AD92" s="10"/>
      <c r="AE92" s="11"/>
      <c r="AF92" s="11"/>
      <c r="AG92" s="11"/>
      <c r="AH92" s="11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36" customHeight="1" x14ac:dyDescent="0.25">
      <c r="A93" s="2"/>
      <c r="B93" s="2"/>
      <c r="C93" s="2" t="s">
        <v>664</v>
      </c>
      <c r="D93" s="2" t="s">
        <v>98</v>
      </c>
      <c r="E93" s="2" t="s">
        <v>226</v>
      </c>
      <c r="F93" s="2">
        <v>3487659208</v>
      </c>
      <c r="G93" s="3"/>
      <c r="H93" s="3"/>
      <c r="I93" s="3"/>
      <c r="J93" s="3"/>
      <c r="K93" s="4"/>
      <c r="L93" s="4"/>
      <c r="M93" s="4"/>
      <c r="N93" s="4"/>
      <c r="O93" s="5"/>
      <c r="P93" s="5"/>
      <c r="Q93" s="5"/>
      <c r="R93" s="5"/>
      <c r="S93" s="18">
        <v>20000</v>
      </c>
      <c r="T93" s="19">
        <v>5000</v>
      </c>
      <c r="U93" s="19" t="s">
        <v>991</v>
      </c>
      <c r="V93" s="7"/>
      <c r="W93" s="7"/>
      <c r="X93" s="19"/>
      <c r="Y93" s="19"/>
      <c r="Z93" s="8"/>
      <c r="AA93" s="8"/>
      <c r="AB93" s="10"/>
      <c r="AC93" s="10"/>
      <c r="AD93" s="10"/>
      <c r="AE93" s="11"/>
      <c r="AF93" s="11"/>
      <c r="AG93" s="11"/>
      <c r="AH93" s="11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36" customHeight="1" x14ac:dyDescent="0.25">
      <c r="A94" s="2"/>
      <c r="B94" s="2"/>
      <c r="C94" s="2" t="s">
        <v>665</v>
      </c>
      <c r="D94" s="2" t="s">
        <v>795</v>
      </c>
      <c r="E94" s="2" t="s">
        <v>226</v>
      </c>
      <c r="F94" s="2">
        <v>3007598205</v>
      </c>
      <c r="G94" s="3"/>
      <c r="H94" s="3"/>
      <c r="I94" s="3"/>
      <c r="J94" s="3"/>
      <c r="K94" s="4"/>
      <c r="L94" s="4"/>
      <c r="M94" s="4"/>
      <c r="N94" s="4"/>
      <c r="O94" s="5">
        <v>5000</v>
      </c>
      <c r="P94" s="5"/>
      <c r="Q94" s="5"/>
      <c r="R94" s="5"/>
      <c r="S94" s="18">
        <v>23000</v>
      </c>
      <c r="T94" s="19">
        <v>5000</v>
      </c>
      <c r="U94" s="19" t="s">
        <v>1133</v>
      </c>
      <c r="V94" s="7">
        <v>6000</v>
      </c>
      <c r="W94" s="7" t="s">
        <v>1626</v>
      </c>
      <c r="X94" s="19"/>
      <c r="Y94" s="19"/>
      <c r="Z94" s="8"/>
      <c r="AA94" s="8"/>
      <c r="AB94" s="10"/>
      <c r="AC94" s="10"/>
      <c r="AD94" s="10"/>
      <c r="AE94" s="11"/>
      <c r="AF94" s="11"/>
      <c r="AG94" s="11"/>
      <c r="AH94" s="11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36" customHeight="1" x14ac:dyDescent="0.25">
      <c r="A95" s="2"/>
      <c r="B95" s="2"/>
      <c r="C95" s="2" t="s">
        <v>666</v>
      </c>
      <c r="D95" s="2" t="s">
        <v>667</v>
      </c>
      <c r="E95" s="2" t="s">
        <v>226</v>
      </c>
      <c r="F95" s="2">
        <v>3086945486</v>
      </c>
      <c r="G95" s="3"/>
      <c r="H95" s="3"/>
      <c r="I95" s="3"/>
      <c r="J95" s="3">
        <v>862</v>
      </c>
      <c r="K95" s="4"/>
      <c r="L95" s="4"/>
      <c r="M95" s="4"/>
      <c r="N95" s="4"/>
      <c r="O95" s="5">
        <v>5000</v>
      </c>
      <c r="P95" s="5"/>
      <c r="Q95" s="5"/>
      <c r="R95" s="5"/>
      <c r="S95" s="18"/>
      <c r="T95" s="19">
        <v>5000</v>
      </c>
      <c r="U95" s="19" t="s">
        <v>1062</v>
      </c>
      <c r="V95" s="7"/>
      <c r="W95" s="7"/>
      <c r="X95" s="19"/>
      <c r="Y95" s="19"/>
      <c r="Z95" s="8"/>
      <c r="AA95" s="8"/>
      <c r="AB95" s="10"/>
      <c r="AC95" s="10"/>
      <c r="AD95" s="10"/>
      <c r="AE95" s="11"/>
      <c r="AF95" s="11"/>
      <c r="AG95" s="11"/>
      <c r="AH95" s="11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36" customHeight="1" x14ac:dyDescent="0.25">
      <c r="A96" s="2"/>
      <c r="B96" s="2"/>
      <c r="C96" s="2" t="s">
        <v>668</v>
      </c>
      <c r="D96" s="2" t="s">
        <v>135</v>
      </c>
      <c r="E96" s="2" t="s">
        <v>226</v>
      </c>
      <c r="F96" s="2">
        <v>3006786626</v>
      </c>
      <c r="G96" s="3"/>
      <c r="H96" s="3"/>
      <c r="I96" s="3"/>
      <c r="J96" s="3"/>
      <c r="K96" s="4"/>
      <c r="L96" s="4"/>
      <c r="M96" s="4"/>
      <c r="N96" s="4"/>
      <c r="O96" s="5">
        <v>5000</v>
      </c>
      <c r="P96" s="5"/>
      <c r="Q96" s="5"/>
      <c r="R96" s="5"/>
      <c r="S96" s="18">
        <v>20000</v>
      </c>
      <c r="T96" s="19">
        <v>2000</v>
      </c>
      <c r="U96" s="19" t="s">
        <v>1124</v>
      </c>
      <c r="V96" s="7"/>
      <c r="W96" s="7"/>
      <c r="X96" s="19"/>
      <c r="Y96" s="19"/>
      <c r="Z96" s="8"/>
      <c r="AA96" s="8"/>
      <c r="AB96" s="10"/>
      <c r="AC96" s="10"/>
      <c r="AD96" s="10"/>
      <c r="AE96" s="11"/>
      <c r="AF96" s="11"/>
      <c r="AG96" s="11"/>
      <c r="AH96" s="11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36" customHeight="1" x14ac:dyDescent="0.25">
      <c r="A97" s="2"/>
      <c r="B97" s="2"/>
      <c r="C97" s="2" t="s">
        <v>669</v>
      </c>
      <c r="D97" s="2" t="s">
        <v>18</v>
      </c>
      <c r="E97" s="2" t="s">
        <v>226</v>
      </c>
      <c r="F97" s="2">
        <v>3007391971</v>
      </c>
      <c r="G97" s="3"/>
      <c r="H97" s="3"/>
      <c r="I97" s="3"/>
      <c r="J97" s="3">
        <v>339</v>
      </c>
      <c r="K97" s="4"/>
      <c r="L97" s="4"/>
      <c r="M97" s="4"/>
      <c r="N97" s="4"/>
      <c r="O97" s="5">
        <v>5000</v>
      </c>
      <c r="P97" s="5"/>
      <c r="Q97" s="5"/>
      <c r="R97" s="5"/>
      <c r="S97" s="18">
        <v>18000</v>
      </c>
      <c r="T97" s="19">
        <v>5000</v>
      </c>
      <c r="U97" s="19" t="s">
        <v>1125</v>
      </c>
      <c r="V97" s="7">
        <v>5000</v>
      </c>
      <c r="W97" s="7" t="s">
        <v>1696</v>
      </c>
      <c r="X97" s="19"/>
      <c r="Y97" s="19"/>
      <c r="Z97" s="8"/>
      <c r="AA97" s="8"/>
      <c r="AB97" s="10"/>
      <c r="AC97" s="10"/>
      <c r="AD97" s="10"/>
      <c r="AE97" s="11"/>
      <c r="AF97" s="11"/>
      <c r="AG97" s="11"/>
      <c r="AH97" s="11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36" customHeight="1" x14ac:dyDescent="0.25">
      <c r="A98" s="2"/>
      <c r="B98" s="2"/>
      <c r="C98" s="2" t="s">
        <v>670</v>
      </c>
      <c r="D98" s="2" t="s">
        <v>671</v>
      </c>
      <c r="E98" s="2" t="s">
        <v>226</v>
      </c>
      <c r="F98" s="2">
        <v>3018786924</v>
      </c>
      <c r="G98" s="3"/>
      <c r="H98" s="3"/>
      <c r="I98" s="3"/>
      <c r="J98" s="3">
        <v>211</v>
      </c>
      <c r="K98" s="4"/>
      <c r="L98" s="4"/>
      <c r="M98" s="4"/>
      <c r="N98" s="4"/>
      <c r="O98" s="5">
        <v>5000</v>
      </c>
      <c r="P98" s="5"/>
      <c r="Q98" s="5"/>
      <c r="R98" s="5"/>
      <c r="S98" s="18">
        <v>30000</v>
      </c>
      <c r="T98" s="19">
        <v>5000</v>
      </c>
      <c r="U98" s="19" t="s">
        <v>1141</v>
      </c>
      <c r="V98" s="7"/>
      <c r="W98" s="7"/>
      <c r="X98" s="19"/>
      <c r="Y98" s="19"/>
      <c r="Z98" s="8"/>
      <c r="AA98" s="8"/>
      <c r="AB98" s="10"/>
      <c r="AC98" s="10"/>
      <c r="AD98" s="10"/>
      <c r="AE98" s="11"/>
      <c r="AF98" s="11"/>
      <c r="AG98" s="11"/>
      <c r="AH98" s="11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36" customHeight="1" x14ac:dyDescent="0.25">
      <c r="A99" s="2"/>
      <c r="B99" s="2"/>
      <c r="C99" s="2" t="s">
        <v>672</v>
      </c>
      <c r="D99" s="2" t="s">
        <v>504</v>
      </c>
      <c r="E99" s="2" t="s">
        <v>226</v>
      </c>
      <c r="F99" s="2">
        <v>3469269602</v>
      </c>
      <c r="G99" s="3"/>
      <c r="H99" s="3"/>
      <c r="I99" s="3"/>
      <c r="J99" s="3"/>
      <c r="K99" s="4"/>
      <c r="L99" s="4"/>
      <c r="M99" s="4"/>
      <c r="N99" s="4"/>
      <c r="O99" s="5">
        <v>5000</v>
      </c>
      <c r="P99" s="5"/>
      <c r="Q99" s="5"/>
      <c r="R99" s="5"/>
      <c r="S99" s="18">
        <v>25000</v>
      </c>
      <c r="T99" s="19">
        <v>5000</v>
      </c>
      <c r="U99" s="19" t="s">
        <v>1168</v>
      </c>
      <c r="V99" s="7">
        <v>5000</v>
      </c>
      <c r="W99" s="7" t="s">
        <v>1616</v>
      </c>
      <c r="X99" s="19"/>
      <c r="Y99" s="19"/>
      <c r="Z99" s="8"/>
      <c r="AA99" s="8"/>
      <c r="AB99" s="10"/>
      <c r="AC99" s="10"/>
      <c r="AD99" s="10"/>
      <c r="AE99" s="11"/>
      <c r="AF99" s="11"/>
      <c r="AG99" s="11"/>
      <c r="AH99" s="11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36" customHeight="1" x14ac:dyDescent="0.25">
      <c r="A100" s="2"/>
      <c r="B100" s="2"/>
      <c r="C100" s="2" t="s">
        <v>579</v>
      </c>
      <c r="D100" s="2" t="s">
        <v>673</v>
      </c>
      <c r="E100" s="2" t="s">
        <v>226</v>
      </c>
      <c r="F100" s="2">
        <v>3004370550</v>
      </c>
      <c r="G100" s="3"/>
      <c r="H100" s="3"/>
      <c r="I100" s="3"/>
      <c r="J100" s="3"/>
      <c r="K100" s="4"/>
      <c r="L100" s="4"/>
      <c r="M100" s="4"/>
      <c r="N100" s="4"/>
      <c r="O100" s="5">
        <v>4000</v>
      </c>
      <c r="P100" s="5">
        <v>4000</v>
      </c>
      <c r="Q100" s="5" t="s">
        <v>1762</v>
      </c>
      <c r="R100" s="5"/>
      <c r="S100" s="18">
        <v>18000</v>
      </c>
      <c r="T100" s="19">
        <v>16000</v>
      </c>
      <c r="U100" s="19" t="s">
        <v>1151</v>
      </c>
      <c r="V100" s="7"/>
      <c r="W100" s="7"/>
      <c r="X100" s="19"/>
      <c r="Y100" s="19"/>
      <c r="Z100" s="8"/>
      <c r="AA100" s="8"/>
      <c r="AB100" s="10"/>
      <c r="AC100" s="10"/>
      <c r="AD100" s="10"/>
      <c r="AE100" s="11"/>
      <c r="AF100" s="11"/>
      <c r="AG100" s="11"/>
      <c r="AH100" s="11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36" customHeight="1" x14ac:dyDescent="0.25">
      <c r="A101" s="2"/>
      <c r="B101" s="2"/>
      <c r="C101" s="2" t="s">
        <v>674</v>
      </c>
      <c r="D101" s="2" t="s">
        <v>675</v>
      </c>
      <c r="E101" s="2" t="s">
        <v>226</v>
      </c>
      <c r="F101" s="2">
        <v>3456633604</v>
      </c>
      <c r="G101" s="3"/>
      <c r="H101" s="3"/>
      <c r="I101" s="3"/>
      <c r="J101" s="3">
        <v>381</v>
      </c>
      <c r="K101" s="4"/>
      <c r="L101" s="4"/>
      <c r="M101" s="4"/>
      <c r="N101" s="4"/>
      <c r="O101" s="5">
        <v>5000</v>
      </c>
      <c r="P101" s="5"/>
      <c r="Q101" s="5"/>
      <c r="R101" s="5"/>
      <c r="S101" s="18">
        <v>14000</v>
      </c>
      <c r="T101" s="19">
        <v>2500</v>
      </c>
      <c r="U101" s="19" t="s">
        <v>1179</v>
      </c>
      <c r="V101" s="7"/>
      <c r="W101" s="7"/>
      <c r="X101" s="19"/>
      <c r="Y101" s="19"/>
      <c r="Z101" s="8"/>
      <c r="AA101" s="8"/>
      <c r="AB101" s="10"/>
      <c r="AC101" s="10"/>
      <c r="AD101" s="10"/>
      <c r="AE101" s="11"/>
      <c r="AF101" s="11"/>
      <c r="AG101" s="11"/>
      <c r="AH101" s="1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36" customHeight="1" x14ac:dyDescent="0.25">
      <c r="A102" s="2"/>
      <c r="B102" s="2"/>
      <c r="C102" s="2" t="s">
        <v>676</v>
      </c>
      <c r="D102" s="2" t="s">
        <v>250</v>
      </c>
      <c r="E102" s="2" t="s">
        <v>226</v>
      </c>
      <c r="F102" s="2">
        <v>3027730173</v>
      </c>
      <c r="G102" s="3"/>
      <c r="H102" s="3"/>
      <c r="I102" s="3"/>
      <c r="J102" s="3">
        <v>202</v>
      </c>
      <c r="K102" s="4"/>
      <c r="L102" s="4"/>
      <c r="M102" s="4"/>
      <c r="N102" s="4"/>
      <c r="O102" s="5">
        <v>5000</v>
      </c>
      <c r="P102" s="5"/>
      <c r="Q102" s="5"/>
      <c r="R102" s="5"/>
      <c r="S102" s="18">
        <v>25000</v>
      </c>
      <c r="T102" s="19">
        <v>5000</v>
      </c>
      <c r="U102" s="19" t="s">
        <v>1180</v>
      </c>
      <c r="V102" s="7"/>
      <c r="W102" s="7"/>
      <c r="X102" s="19"/>
      <c r="Y102" s="19"/>
      <c r="Z102" s="8"/>
      <c r="AA102" s="8"/>
      <c r="AB102" s="10"/>
      <c r="AC102" s="10"/>
      <c r="AD102" s="10"/>
      <c r="AE102" s="11"/>
      <c r="AF102" s="11"/>
      <c r="AG102" s="11"/>
      <c r="AH102" s="11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36" customHeight="1" x14ac:dyDescent="0.25">
      <c r="A103" s="2"/>
      <c r="B103" s="2"/>
      <c r="C103" s="2" t="s">
        <v>677</v>
      </c>
      <c r="D103" s="2" t="s">
        <v>159</v>
      </c>
      <c r="E103" s="2" t="s">
        <v>226</v>
      </c>
      <c r="F103" s="2">
        <v>3088119335</v>
      </c>
      <c r="G103" s="3"/>
      <c r="H103" s="3"/>
      <c r="I103" s="3"/>
      <c r="J103" s="3"/>
      <c r="K103" s="4"/>
      <c r="L103" s="4"/>
      <c r="M103" s="4"/>
      <c r="N103" s="4"/>
      <c r="O103" s="5">
        <v>5000</v>
      </c>
      <c r="P103" s="5"/>
      <c r="Q103" s="5"/>
      <c r="R103" s="5"/>
      <c r="S103" s="18">
        <v>13000</v>
      </c>
      <c r="T103" s="19">
        <v>2000</v>
      </c>
      <c r="U103" s="19" t="s">
        <v>1060</v>
      </c>
      <c r="V103" s="7"/>
      <c r="W103" s="7"/>
      <c r="X103" s="19"/>
      <c r="Y103" s="19"/>
      <c r="Z103" s="8"/>
      <c r="AA103" s="8"/>
      <c r="AB103" s="10"/>
      <c r="AC103" s="10"/>
      <c r="AD103" s="10"/>
      <c r="AE103" s="11"/>
      <c r="AF103" s="11"/>
      <c r="AG103" s="11"/>
      <c r="AH103" s="11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36" customHeight="1" x14ac:dyDescent="0.25">
      <c r="A104" s="2"/>
      <c r="B104" s="2"/>
      <c r="C104" s="2" t="s">
        <v>678</v>
      </c>
      <c r="D104" s="2" t="s">
        <v>359</v>
      </c>
      <c r="E104" s="2" t="s">
        <v>226</v>
      </c>
      <c r="F104" s="2">
        <v>3340646642</v>
      </c>
      <c r="G104" s="3"/>
      <c r="H104" s="3"/>
      <c r="I104" s="3"/>
      <c r="J104" s="3"/>
      <c r="K104" s="4"/>
      <c r="L104" s="4"/>
      <c r="M104" s="4"/>
      <c r="N104" s="4"/>
      <c r="O104" s="5">
        <v>5000</v>
      </c>
      <c r="P104" s="5"/>
      <c r="Q104" s="5"/>
      <c r="R104" s="5"/>
      <c r="S104" s="18">
        <v>14000</v>
      </c>
      <c r="T104" s="19">
        <v>5000</v>
      </c>
      <c r="U104" s="19" t="s">
        <v>1207</v>
      </c>
      <c r="V104" s="7">
        <v>5000</v>
      </c>
      <c r="W104" s="7" t="s">
        <v>1687</v>
      </c>
      <c r="X104" s="19"/>
      <c r="Y104" s="19"/>
      <c r="Z104" s="8"/>
      <c r="AA104" s="8"/>
      <c r="AB104" s="10"/>
      <c r="AC104" s="10"/>
      <c r="AD104" s="10"/>
      <c r="AE104" s="11"/>
      <c r="AF104" s="11"/>
      <c r="AG104" s="11"/>
      <c r="AH104" s="11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36" customHeight="1" x14ac:dyDescent="0.25">
      <c r="A105" s="2"/>
      <c r="B105" s="2"/>
      <c r="C105" s="2" t="s">
        <v>679</v>
      </c>
      <c r="D105" s="2" t="s">
        <v>680</v>
      </c>
      <c r="E105" s="2" t="s">
        <v>226</v>
      </c>
      <c r="F105" s="2">
        <v>3067452217</v>
      </c>
      <c r="G105" s="3"/>
      <c r="H105" s="3"/>
      <c r="I105" s="3"/>
      <c r="J105" s="3">
        <v>340</v>
      </c>
      <c r="K105" s="4"/>
      <c r="L105" s="4"/>
      <c r="M105" s="4"/>
      <c r="N105" s="4"/>
      <c r="O105" s="5">
        <v>5000</v>
      </c>
      <c r="P105" s="5"/>
      <c r="Q105" s="5"/>
      <c r="R105" s="5"/>
      <c r="S105" s="18">
        <v>10000</v>
      </c>
      <c r="T105" s="19">
        <v>5000</v>
      </c>
      <c r="U105" s="19" t="s">
        <v>1183</v>
      </c>
      <c r="V105" s="7">
        <v>1900</v>
      </c>
      <c r="W105" s="7" t="s">
        <v>1719</v>
      </c>
      <c r="X105" s="19"/>
      <c r="Y105" s="19"/>
      <c r="Z105" s="8"/>
      <c r="AA105" s="8"/>
      <c r="AB105" s="10"/>
      <c r="AC105" s="10"/>
      <c r="AD105" s="10"/>
      <c r="AE105" s="11"/>
      <c r="AF105" s="11"/>
      <c r="AG105" s="11"/>
      <c r="AH105" s="11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36" customHeight="1" x14ac:dyDescent="0.25">
      <c r="A106" s="2"/>
      <c r="B106" s="2"/>
      <c r="C106" s="2" t="s">
        <v>681</v>
      </c>
      <c r="D106" s="2" t="s">
        <v>682</v>
      </c>
      <c r="E106" s="2" t="s">
        <v>226</v>
      </c>
      <c r="F106" s="2">
        <v>3027429521</v>
      </c>
      <c r="G106" s="3"/>
      <c r="H106" s="3"/>
      <c r="I106" s="3"/>
      <c r="J106" s="3"/>
      <c r="K106" s="4"/>
      <c r="L106" s="4"/>
      <c r="M106" s="4"/>
      <c r="N106" s="4"/>
      <c r="O106" s="5">
        <v>5000</v>
      </c>
      <c r="P106" s="5"/>
      <c r="Q106" s="5"/>
      <c r="R106" s="5"/>
      <c r="S106" s="18">
        <v>10000</v>
      </c>
      <c r="T106" s="19">
        <v>5000</v>
      </c>
      <c r="U106" s="19" t="s">
        <v>1245</v>
      </c>
      <c r="V106" s="7">
        <v>3000</v>
      </c>
      <c r="W106" s="7" t="s">
        <v>1722</v>
      </c>
      <c r="X106" s="19"/>
      <c r="Y106" s="19"/>
      <c r="Z106" s="8"/>
      <c r="AA106" s="8"/>
      <c r="AB106" s="10"/>
      <c r="AC106" s="10"/>
      <c r="AD106" s="10"/>
      <c r="AE106" s="11"/>
      <c r="AF106" s="11"/>
      <c r="AG106" s="11"/>
      <c r="AH106" s="11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36" customHeight="1" x14ac:dyDescent="0.25">
      <c r="A107" s="2"/>
      <c r="B107" s="2"/>
      <c r="C107" s="2" t="s">
        <v>683</v>
      </c>
      <c r="D107" s="2" t="s">
        <v>684</v>
      </c>
      <c r="E107" s="2" t="s">
        <v>226</v>
      </c>
      <c r="F107" s="2">
        <v>3236427687</v>
      </c>
      <c r="G107" s="3"/>
      <c r="H107" s="3"/>
      <c r="I107" s="3"/>
      <c r="J107" s="3">
        <v>5718</v>
      </c>
      <c r="K107" s="4"/>
      <c r="L107" s="4"/>
      <c r="M107" s="4"/>
      <c r="N107" s="4"/>
      <c r="O107" s="5">
        <v>5000</v>
      </c>
      <c r="P107" s="5"/>
      <c r="Q107" s="5"/>
      <c r="R107" s="5"/>
      <c r="S107" s="18">
        <v>12000</v>
      </c>
      <c r="T107" s="19">
        <v>3000</v>
      </c>
      <c r="U107" s="19" t="s">
        <v>1197</v>
      </c>
      <c r="V107" s="7"/>
      <c r="W107" s="7"/>
      <c r="X107" s="19"/>
      <c r="Y107" s="19"/>
      <c r="Z107" s="8"/>
      <c r="AA107" s="8"/>
      <c r="AB107" s="10"/>
      <c r="AC107" s="10"/>
      <c r="AD107" s="10"/>
      <c r="AE107" s="11"/>
      <c r="AF107" s="11"/>
      <c r="AG107" s="11"/>
      <c r="AH107" s="11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36" customHeight="1" x14ac:dyDescent="0.25">
      <c r="A108" s="2"/>
      <c r="B108" s="2"/>
      <c r="C108" s="2" t="s">
        <v>685</v>
      </c>
      <c r="D108" s="2" t="s">
        <v>686</v>
      </c>
      <c r="E108" s="2" t="s">
        <v>226</v>
      </c>
      <c r="F108" s="2">
        <v>3068818012</v>
      </c>
      <c r="G108" s="3"/>
      <c r="H108" s="3"/>
      <c r="I108" s="3"/>
      <c r="J108" s="3"/>
      <c r="K108" s="4"/>
      <c r="L108" s="4"/>
      <c r="M108" s="4"/>
      <c r="N108" s="4"/>
      <c r="O108" s="5">
        <v>5000</v>
      </c>
      <c r="P108" s="5"/>
      <c r="Q108" s="5"/>
      <c r="R108" s="5"/>
      <c r="S108" s="18">
        <v>15000</v>
      </c>
      <c r="T108" s="19">
        <v>5000</v>
      </c>
      <c r="U108" s="19" t="s">
        <v>1508</v>
      </c>
      <c r="V108" s="7"/>
      <c r="W108" s="7"/>
      <c r="X108" s="19"/>
      <c r="Y108" s="19"/>
      <c r="Z108" s="8"/>
      <c r="AA108" s="8"/>
      <c r="AB108" s="10"/>
      <c r="AC108" s="10"/>
      <c r="AD108" s="10"/>
      <c r="AE108" s="11"/>
      <c r="AF108" s="11"/>
      <c r="AG108" s="11"/>
      <c r="AH108" s="11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36" customHeight="1" x14ac:dyDescent="0.25">
      <c r="A109" s="2"/>
      <c r="B109" s="2"/>
      <c r="C109" s="2" t="s">
        <v>535</v>
      </c>
      <c r="D109" s="2" t="s">
        <v>646</v>
      </c>
      <c r="E109" s="2" t="s">
        <v>226</v>
      </c>
      <c r="F109" s="2">
        <v>3459131756</v>
      </c>
      <c r="G109" s="3"/>
      <c r="H109" s="3"/>
      <c r="I109" s="3"/>
      <c r="J109" s="3"/>
      <c r="K109" s="4"/>
      <c r="L109" s="4"/>
      <c r="M109" s="4"/>
      <c r="N109" s="4"/>
      <c r="O109" s="5">
        <v>5000</v>
      </c>
      <c r="P109" s="5"/>
      <c r="Q109" s="5"/>
      <c r="R109" s="5"/>
      <c r="S109" s="18">
        <v>15000</v>
      </c>
      <c r="T109" s="19"/>
      <c r="U109" s="19">
        <v>1807</v>
      </c>
      <c r="V109" s="7">
        <v>5000</v>
      </c>
      <c r="W109" s="7" t="s">
        <v>1793</v>
      </c>
      <c r="X109" s="19"/>
      <c r="Y109" s="19"/>
      <c r="Z109" s="8"/>
      <c r="AA109" s="8"/>
      <c r="AB109" s="10"/>
      <c r="AC109" s="10"/>
      <c r="AD109" s="10"/>
      <c r="AE109" s="11"/>
      <c r="AF109" s="11"/>
      <c r="AG109" s="11"/>
      <c r="AH109" s="11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36" customHeight="1" x14ac:dyDescent="0.25">
      <c r="A110" s="2"/>
      <c r="B110" s="2"/>
      <c r="C110" s="2" t="s">
        <v>687</v>
      </c>
      <c r="D110" s="2" t="s">
        <v>98</v>
      </c>
      <c r="E110" s="2" t="s">
        <v>336</v>
      </c>
      <c r="F110" s="2">
        <v>3017936432</v>
      </c>
      <c r="G110" s="3"/>
      <c r="H110" s="3"/>
      <c r="I110" s="3"/>
      <c r="J110" s="3"/>
      <c r="K110" s="4"/>
      <c r="L110" s="4"/>
      <c r="M110" s="4"/>
      <c r="N110" s="4"/>
      <c r="O110" s="5">
        <v>5000</v>
      </c>
      <c r="P110" s="5"/>
      <c r="Q110" s="5"/>
      <c r="R110" s="5"/>
      <c r="S110" s="18">
        <v>15000</v>
      </c>
      <c r="T110" s="19">
        <v>5000</v>
      </c>
      <c r="U110" s="19" t="s">
        <v>1472</v>
      </c>
      <c r="V110" s="7"/>
      <c r="W110" s="7"/>
      <c r="X110" s="19"/>
      <c r="Y110" s="19"/>
      <c r="Z110" s="8"/>
      <c r="AA110" s="8"/>
      <c r="AB110" s="10"/>
      <c r="AC110" s="10"/>
      <c r="AD110" s="10"/>
      <c r="AE110" s="11"/>
      <c r="AF110" s="11"/>
      <c r="AG110" s="11"/>
      <c r="AH110" s="11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36" customHeight="1" x14ac:dyDescent="0.25">
      <c r="A111" s="2"/>
      <c r="B111" s="2"/>
      <c r="C111" s="2" t="s">
        <v>688</v>
      </c>
      <c r="D111" s="2" t="s">
        <v>269</v>
      </c>
      <c r="E111" s="2" t="s">
        <v>336</v>
      </c>
      <c r="F111" s="2">
        <v>3041872889</v>
      </c>
      <c r="G111" s="3"/>
      <c r="H111" s="3"/>
      <c r="I111" s="3"/>
      <c r="J111" s="3"/>
      <c r="K111" s="4"/>
      <c r="L111" s="4"/>
      <c r="M111" s="4"/>
      <c r="N111" s="4"/>
      <c r="O111" s="5">
        <v>5000</v>
      </c>
      <c r="P111" s="5"/>
      <c r="Q111" s="5"/>
      <c r="R111" s="5"/>
      <c r="S111" s="18">
        <v>20000</v>
      </c>
      <c r="T111" s="19">
        <v>4000</v>
      </c>
      <c r="U111" s="19" t="s">
        <v>1428</v>
      </c>
      <c r="V111" s="7">
        <v>6000</v>
      </c>
      <c r="W111" s="7" t="s">
        <v>1832</v>
      </c>
      <c r="X111" s="19"/>
      <c r="Y111" s="19"/>
      <c r="Z111" s="8"/>
      <c r="AA111" s="8"/>
      <c r="AB111" s="10"/>
      <c r="AC111" s="10"/>
      <c r="AD111" s="10"/>
      <c r="AE111" s="11"/>
      <c r="AF111" s="11"/>
      <c r="AG111" s="11"/>
      <c r="AH111" s="11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36" customHeight="1" x14ac:dyDescent="0.25">
      <c r="A112" s="2"/>
      <c r="B112" s="2"/>
      <c r="C112" s="2" t="s">
        <v>689</v>
      </c>
      <c r="D112" s="2" t="s">
        <v>690</v>
      </c>
      <c r="E112" s="2" t="s">
        <v>336</v>
      </c>
      <c r="F112" s="2">
        <v>3013552863</v>
      </c>
      <c r="G112" s="3"/>
      <c r="H112" s="3"/>
      <c r="I112" s="3"/>
      <c r="J112" s="3"/>
      <c r="K112" s="4"/>
      <c r="L112" s="4"/>
      <c r="M112" s="4"/>
      <c r="N112" s="4"/>
      <c r="O112" s="5">
        <v>5000</v>
      </c>
      <c r="P112" s="5"/>
      <c r="Q112" s="5"/>
      <c r="R112" s="5"/>
      <c r="S112" s="18">
        <v>15000</v>
      </c>
      <c r="T112" s="19">
        <v>5000</v>
      </c>
      <c r="U112" s="19" t="s">
        <v>1311</v>
      </c>
      <c r="V112" s="7"/>
      <c r="W112" s="7"/>
      <c r="X112" s="19"/>
      <c r="Y112" s="19"/>
      <c r="Z112" s="8"/>
      <c r="AA112" s="8"/>
      <c r="AB112" s="10"/>
      <c r="AC112" s="10"/>
      <c r="AD112" s="10"/>
      <c r="AE112" s="11"/>
      <c r="AF112" s="11"/>
      <c r="AG112" s="11"/>
      <c r="AH112" s="11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36" customHeight="1" x14ac:dyDescent="0.25">
      <c r="A113" s="2"/>
      <c r="B113" s="2"/>
      <c r="C113" s="2" t="s">
        <v>691</v>
      </c>
      <c r="D113" s="2" t="s">
        <v>367</v>
      </c>
      <c r="E113" s="2" t="s">
        <v>336</v>
      </c>
      <c r="F113" s="2">
        <v>3097087100</v>
      </c>
      <c r="G113" s="3"/>
      <c r="H113" s="3"/>
      <c r="I113" s="3"/>
      <c r="J113" s="3"/>
      <c r="K113" s="4"/>
      <c r="L113" s="4"/>
      <c r="M113" s="4"/>
      <c r="N113" s="4"/>
      <c r="O113" s="5">
        <v>5000</v>
      </c>
      <c r="P113" s="5"/>
      <c r="Q113" s="5"/>
      <c r="R113" s="5"/>
      <c r="S113" s="18">
        <v>18000</v>
      </c>
      <c r="T113" s="19">
        <v>3500</v>
      </c>
      <c r="U113" s="19" t="s">
        <v>1582</v>
      </c>
      <c r="V113" s="7"/>
      <c r="W113" s="7"/>
      <c r="X113" s="19"/>
      <c r="Y113" s="19"/>
      <c r="Z113" s="8"/>
      <c r="AA113" s="8"/>
      <c r="AB113" s="10"/>
      <c r="AC113" s="10"/>
      <c r="AD113" s="10"/>
      <c r="AE113" s="11"/>
      <c r="AF113" s="11"/>
      <c r="AG113" s="11"/>
      <c r="AH113" s="11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36" customHeight="1" x14ac:dyDescent="0.25">
      <c r="A114" s="2"/>
      <c r="B114" s="2"/>
      <c r="C114" s="2" t="s">
        <v>692</v>
      </c>
      <c r="D114" s="2" t="s">
        <v>98</v>
      </c>
      <c r="E114" s="2" t="s">
        <v>336</v>
      </c>
      <c r="F114" s="2">
        <v>3004915865</v>
      </c>
      <c r="G114" s="3"/>
      <c r="H114" s="3"/>
      <c r="I114" s="3"/>
      <c r="J114" s="3"/>
      <c r="K114" s="4"/>
      <c r="L114" s="4"/>
      <c r="M114" s="4"/>
      <c r="N114" s="4"/>
      <c r="O114" s="5">
        <v>5000</v>
      </c>
      <c r="P114" s="5"/>
      <c r="Q114" s="5"/>
      <c r="R114" s="5"/>
      <c r="S114" s="18">
        <v>20000</v>
      </c>
      <c r="T114" s="19">
        <v>5000</v>
      </c>
      <c r="U114" s="19" t="s">
        <v>1432</v>
      </c>
      <c r="V114" s="7"/>
      <c r="W114" s="7"/>
      <c r="X114" s="19"/>
      <c r="Y114" s="19"/>
      <c r="Z114" s="8"/>
      <c r="AA114" s="8"/>
      <c r="AB114" s="10"/>
      <c r="AC114" s="10"/>
      <c r="AD114" s="10"/>
      <c r="AE114" s="11"/>
      <c r="AF114" s="11"/>
      <c r="AG114" s="11"/>
      <c r="AH114" s="11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36" customHeight="1" x14ac:dyDescent="0.25">
      <c r="A115" s="2"/>
      <c r="B115" s="2"/>
      <c r="C115" s="2" t="s">
        <v>693</v>
      </c>
      <c r="D115" s="2" t="s">
        <v>694</v>
      </c>
      <c r="E115" s="2" t="s">
        <v>336</v>
      </c>
      <c r="F115" s="2">
        <v>3427063058</v>
      </c>
      <c r="G115" s="3"/>
      <c r="H115" s="3"/>
      <c r="I115" s="3"/>
      <c r="J115" s="3"/>
      <c r="K115" s="4"/>
      <c r="L115" s="4"/>
      <c r="M115" s="4"/>
      <c r="N115" s="4"/>
      <c r="O115" s="5">
        <v>5000</v>
      </c>
      <c r="P115" s="5"/>
      <c r="Q115" s="5"/>
      <c r="R115" s="5"/>
      <c r="S115" s="18">
        <v>20000</v>
      </c>
      <c r="T115" s="19">
        <v>5000</v>
      </c>
      <c r="U115" s="19" t="s">
        <v>1382</v>
      </c>
      <c r="V115" s="7">
        <v>5000</v>
      </c>
      <c r="W115" s="7" t="s">
        <v>1540</v>
      </c>
      <c r="X115" s="19"/>
      <c r="Y115" s="19"/>
      <c r="Z115" s="8"/>
      <c r="AA115" s="8"/>
      <c r="AB115" s="10"/>
      <c r="AC115" s="10"/>
      <c r="AD115" s="10"/>
      <c r="AE115" s="11"/>
      <c r="AF115" s="11"/>
      <c r="AG115" s="11"/>
      <c r="AH115" s="11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36" customHeight="1" x14ac:dyDescent="0.25">
      <c r="A116" s="2"/>
      <c r="B116" s="2"/>
      <c r="C116" s="2" t="s">
        <v>695</v>
      </c>
      <c r="D116" s="2" t="s">
        <v>523</v>
      </c>
      <c r="E116" s="2" t="s">
        <v>336</v>
      </c>
      <c r="F116" s="2">
        <v>3013120644</v>
      </c>
      <c r="G116" s="3"/>
      <c r="H116" s="3"/>
      <c r="I116" s="3"/>
      <c r="J116" s="3"/>
      <c r="K116" s="4"/>
      <c r="L116" s="4"/>
      <c r="M116" s="4"/>
      <c r="N116" s="4"/>
      <c r="O116" s="5">
        <v>5000</v>
      </c>
      <c r="P116" s="5"/>
      <c r="Q116" s="5"/>
      <c r="R116" s="5"/>
      <c r="S116" s="18">
        <v>20000</v>
      </c>
      <c r="T116" s="19">
        <v>5000</v>
      </c>
      <c r="U116" s="19" t="s">
        <v>1377</v>
      </c>
      <c r="V116" s="7">
        <v>5000</v>
      </c>
      <c r="W116" s="7" t="s">
        <v>1782</v>
      </c>
      <c r="X116" s="19"/>
      <c r="Y116" s="19"/>
      <c r="Z116" s="8"/>
      <c r="AA116" s="8"/>
      <c r="AB116" s="10"/>
      <c r="AC116" s="10"/>
      <c r="AD116" s="10"/>
      <c r="AE116" s="11"/>
      <c r="AF116" s="11"/>
      <c r="AG116" s="11"/>
      <c r="AH116" s="11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36" customHeight="1" x14ac:dyDescent="0.25">
      <c r="A117" s="2"/>
      <c r="B117" s="2"/>
      <c r="C117" s="2" t="s">
        <v>696</v>
      </c>
      <c r="D117" s="2" t="s">
        <v>697</v>
      </c>
      <c r="E117" s="2" t="s">
        <v>336</v>
      </c>
      <c r="F117" s="2">
        <v>3442795432</v>
      </c>
      <c r="G117" s="3"/>
      <c r="H117" s="3"/>
      <c r="I117" s="3"/>
      <c r="J117" s="3"/>
      <c r="K117" s="4"/>
      <c r="L117" s="4"/>
      <c r="M117" s="4"/>
      <c r="N117" s="4"/>
      <c r="O117" s="5">
        <v>5000</v>
      </c>
      <c r="P117" s="5"/>
      <c r="Q117" s="5"/>
      <c r="R117" s="5"/>
      <c r="S117" s="18">
        <v>25000</v>
      </c>
      <c r="T117" s="19">
        <v>7000</v>
      </c>
      <c r="U117" s="19" t="s">
        <v>1361</v>
      </c>
      <c r="V117" s="7">
        <v>3000</v>
      </c>
      <c r="W117" s="7" t="s">
        <v>1648</v>
      </c>
      <c r="X117" s="19"/>
      <c r="Y117" s="19"/>
      <c r="Z117" s="8"/>
      <c r="AA117" s="8"/>
      <c r="AB117" s="10"/>
      <c r="AC117" s="10"/>
      <c r="AD117" s="10"/>
      <c r="AE117" s="11"/>
      <c r="AF117" s="11"/>
      <c r="AG117" s="11"/>
      <c r="AH117" s="11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36" customHeight="1" x14ac:dyDescent="0.25">
      <c r="A118" s="2"/>
      <c r="B118" s="2"/>
      <c r="C118" s="2" t="s">
        <v>698</v>
      </c>
      <c r="D118" s="2" t="s">
        <v>55</v>
      </c>
      <c r="E118" s="2" t="s">
        <v>336</v>
      </c>
      <c r="F118" s="2">
        <v>3027552943</v>
      </c>
      <c r="G118" s="3"/>
      <c r="H118" s="3"/>
      <c r="I118" s="3"/>
      <c r="J118" s="3"/>
      <c r="K118" s="4"/>
      <c r="L118" s="4"/>
      <c r="M118" s="4"/>
      <c r="N118" s="4"/>
      <c r="O118" s="5">
        <v>5000</v>
      </c>
      <c r="P118" s="5"/>
      <c r="Q118" s="5"/>
      <c r="R118" s="5"/>
      <c r="S118" s="18">
        <v>25000</v>
      </c>
      <c r="T118" s="19">
        <v>5000</v>
      </c>
      <c r="U118" s="19" t="s">
        <v>1441</v>
      </c>
      <c r="V118" s="7">
        <v>3000</v>
      </c>
      <c r="W118" s="7" t="s">
        <v>1690</v>
      </c>
      <c r="X118" s="19"/>
      <c r="Y118" s="19"/>
      <c r="Z118" s="8"/>
      <c r="AA118" s="8"/>
      <c r="AB118" s="10"/>
      <c r="AC118" s="10"/>
      <c r="AD118" s="10"/>
      <c r="AE118" s="11"/>
      <c r="AF118" s="11"/>
      <c r="AG118" s="11"/>
      <c r="AH118" s="11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36" customHeight="1" x14ac:dyDescent="0.25">
      <c r="A119" s="2"/>
      <c r="B119" s="2"/>
      <c r="C119" s="2" t="s">
        <v>699</v>
      </c>
      <c r="D119" s="2" t="s">
        <v>700</v>
      </c>
      <c r="E119" s="2" t="s">
        <v>336</v>
      </c>
      <c r="F119" s="2">
        <v>3321821035</v>
      </c>
      <c r="G119" s="3"/>
      <c r="H119" s="3"/>
      <c r="I119" s="3"/>
      <c r="J119" s="3"/>
      <c r="K119" s="4"/>
      <c r="L119" s="4"/>
      <c r="M119" s="4"/>
      <c r="N119" s="4"/>
      <c r="O119" s="5">
        <v>5000</v>
      </c>
      <c r="P119" s="5"/>
      <c r="Q119" s="5"/>
      <c r="R119" s="5"/>
      <c r="S119" s="18">
        <v>25000</v>
      </c>
      <c r="T119" s="19">
        <v>5000</v>
      </c>
      <c r="U119" s="19" t="s">
        <v>1458</v>
      </c>
      <c r="V119" s="7">
        <v>10000</v>
      </c>
      <c r="W119" s="7" t="s">
        <v>1619</v>
      </c>
      <c r="X119" s="19"/>
      <c r="Y119" s="19"/>
      <c r="Z119" s="8"/>
      <c r="AA119" s="8"/>
      <c r="AB119" s="10"/>
      <c r="AC119" s="10"/>
      <c r="AD119" s="10"/>
      <c r="AE119" s="11"/>
      <c r="AF119" s="11"/>
      <c r="AG119" s="11"/>
      <c r="AH119" s="11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36" customHeight="1" x14ac:dyDescent="0.25">
      <c r="A120" s="2"/>
      <c r="B120" s="2"/>
      <c r="C120" s="2" t="s">
        <v>31</v>
      </c>
      <c r="D120" s="2" t="s">
        <v>42</v>
      </c>
      <c r="E120" s="2" t="s">
        <v>336</v>
      </c>
      <c r="F120" s="2">
        <v>3078033604</v>
      </c>
      <c r="G120" s="3"/>
      <c r="H120" s="3"/>
      <c r="I120" s="3"/>
      <c r="J120" s="3"/>
      <c r="K120" s="4"/>
      <c r="L120" s="4"/>
      <c r="M120" s="4"/>
      <c r="N120" s="4"/>
      <c r="O120" s="5">
        <v>5000</v>
      </c>
      <c r="P120" s="5"/>
      <c r="Q120" s="5"/>
      <c r="R120" s="5"/>
      <c r="S120" s="18">
        <v>25000</v>
      </c>
      <c r="T120" s="19">
        <v>5000</v>
      </c>
      <c r="U120" s="19" t="s">
        <v>1275</v>
      </c>
      <c r="V120" s="7"/>
      <c r="W120" s="7"/>
      <c r="X120" s="19"/>
      <c r="Y120" s="19"/>
      <c r="Z120" s="8"/>
      <c r="AA120" s="8"/>
      <c r="AB120" s="10"/>
      <c r="AC120" s="10"/>
      <c r="AD120" s="10"/>
      <c r="AE120" s="11"/>
      <c r="AF120" s="11"/>
      <c r="AG120" s="11"/>
      <c r="AH120" s="11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36" customHeight="1" x14ac:dyDescent="0.25">
      <c r="A121" s="2"/>
      <c r="B121" s="2"/>
      <c r="C121" s="2" t="s">
        <v>701</v>
      </c>
      <c r="D121" s="2" t="s">
        <v>702</v>
      </c>
      <c r="E121" s="2" t="s">
        <v>336</v>
      </c>
      <c r="F121" s="2">
        <v>3006516135</v>
      </c>
      <c r="G121" s="3"/>
      <c r="H121" s="3"/>
      <c r="I121" s="3"/>
      <c r="J121" s="3"/>
      <c r="K121" s="4"/>
      <c r="L121" s="4"/>
      <c r="M121" s="4"/>
      <c r="N121" s="4"/>
      <c r="O121" s="5">
        <v>5000</v>
      </c>
      <c r="P121" s="5"/>
      <c r="Q121" s="5"/>
      <c r="R121" s="5"/>
      <c r="S121" s="18">
        <v>20000</v>
      </c>
      <c r="T121" s="19">
        <v>5000</v>
      </c>
      <c r="U121" s="19" t="s">
        <v>1355</v>
      </c>
      <c r="V121" s="7"/>
      <c r="W121" s="7"/>
      <c r="X121" s="19"/>
      <c r="Y121" s="19"/>
      <c r="Z121" s="8"/>
      <c r="AA121" s="8"/>
      <c r="AB121" s="10"/>
      <c r="AC121" s="10"/>
      <c r="AD121" s="10"/>
      <c r="AE121" s="11"/>
      <c r="AF121" s="11"/>
      <c r="AG121" s="11"/>
      <c r="AH121" s="11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36" customHeight="1" x14ac:dyDescent="0.25">
      <c r="A122" s="2"/>
      <c r="B122" s="2"/>
      <c r="C122" s="2" t="s">
        <v>703</v>
      </c>
      <c r="D122" s="2" t="s">
        <v>704</v>
      </c>
      <c r="E122" s="2" t="s">
        <v>336</v>
      </c>
      <c r="F122" s="2">
        <v>3057320402</v>
      </c>
      <c r="G122" s="3"/>
      <c r="H122" s="3"/>
      <c r="I122" s="3"/>
      <c r="J122" s="3"/>
      <c r="K122" s="4"/>
      <c r="L122" s="4"/>
      <c r="M122" s="4"/>
      <c r="N122" s="4"/>
      <c r="O122" s="5">
        <v>5000</v>
      </c>
      <c r="P122" s="5"/>
      <c r="Q122" s="5"/>
      <c r="R122" s="5"/>
      <c r="S122" s="18">
        <v>20000</v>
      </c>
      <c r="T122" s="19">
        <v>10000</v>
      </c>
      <c r="U122" s="19" t="s">
        <v>1243</v>
      </c>
      <c r="V122" s="7"/>
      <c r="W122" s="7"/>
      <c r="X122" s="19"/>
      <c r="Y122" s="19"/>
      <c r="Z122" s="8"/>
      <c r="AA122" s="8"/>
      <c r="AB122" s="10"/>
      <c r="AC122" s="10"/>
      <c r="AD122" s="10"/>
      <c r="AE122" s="11"/>
      <c r="AF122" s="11"/>
      <c r="AG122" s="11"/>
      <c r="AH122" s="11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36" customHeight="1" x14ac:dyDescent="0.25">
      <c r="A123" s="2"/>
      <c r="B123" s="2"/>
      <c r="C123" s="2" t="s">
        <v>705</v>
      </c>
      <c r="D123" s="2" t="s">
        <v>800</v>
      </c>
      <c r="E123" s="2" t="s">
        <v>336</v>
      </c>
      <c r="F123" s="2">
        <v>3066027987</v>
      </c>
      <c r="G123" s="3"/>
      <c r="H123" s="3"/>
      <c r="I123" s="3"/>
      <c r="J123" s="3"/>
      <c r="K123" s="4"/>
      <c r="L123" s="4"/>
      <c r="M123" s="4"/>
      <c r="N123" s="4"/>
      <c r="O123" s="5">
        <v>5000</v>
      </c>
      <c r="P123" s="5"/>
      <c r="Q123" s="5"/>
      <c r="R123" s="5"/>
      <c r="S123" s="18">
        <v>20000</v>
      </c>
      <c r="T123" s="34">
        <v>5000</v>
      </c>
      <c r="U123" s="34" t="s">
        <v>1378</v>
      </c>
      <c r="V123" s="7">
        <v>5000</v>
      </c>
      <c r="W123" s="7" t="s">
        <v>1702</v>
      </c>
      <c r="X123" s="19"/>
      <c r="Y123" s="19"/>
      <c r="Z123" s="8"/>
      <c r="AA123" s="8"/>
      <c r="AB123" s="10"/>
      <c r="AC123" s="10"/>
      <c r="AD123" s="10"/>
      <c r="AE123" s="11"/>
      <c r="AF123" s="11"/>
      <c r="AG123" s="11"/>
      <c r="AH123" s="11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36" customHeight="1" x14ac:dyDescent="0.25">
      <c r="A124" s="2"/>
      <c r="B124" s="2"/>
      <c r="C124" s="2" t="s">
        <v>706</v>
      </c>
      <c r="D124" s="2" t="s">
        <v>707</v>
      </c>
      <c r="E124" s="2" t="s">
        <v>336</v>
      </c>
      <c r="F124" s="2">
        <v>3015821583</v>
      </c>
      <c r="G124" s="3"/>
      <c r="H124" s="3"/>
      <c r="I124" s="3"/>
      <c r="J124" s="3"/>
      <c r="K124" s="4"/>
      <c r="L124" s="4"/>
      <c r="M124" s="4"/>
      <c r="N124" s="4"/>
      <c r="O124" s="5">
        <v>5000</v>
      </c>
      <c r="P124" s="5"/>
      <c r="Q124" s="5"/>
      <c r="R124" s="5"/>
      <c r="S124" s="18">
        <v>25000</v>
      </c>
      <c r="T124" s="19">
        <v>3400</v>
      </c>
      <c r="U124" s="19" t="s">
        <v>1503</v>
      </c>
      <c r="V124" s="7"/>
      <c r="W124" s="7"/>
      <c r="X124" s="19"/>
      <c r="Y124" s="19"/>
      <c r="Z124" s="8"/>
      <c r="AA124" s="8"/>
      <c r="AB124" s="10"/>
      <c r="AC124" s="10"/>
      <c r="AD124" s="10"/>
      <c r="AE124" s="11"/>
      <c r="AF124" s="11"/>
      <c r="AG124" s="11"/>
      <c r="AH124" s="11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36" customHeight="1" x14ac:dyDescent="0.25">
      <c r="A125" s="2"/>
      <c r="B125" s="2"/>
      <c r="C125" s="2" t="s">
        <v>799</v>
      </c>
      <c r="D125" s="2" t="s">
        <v>708</v>
      </c>
      <c r="E125" s="2" t="s">
        <v>336</v>
      </c>
      <c r="F125" s="2">
        <v>3037394530</v>
      </c>
      <c r="G125" s="3"/>
      <c r="H125" s="3"/>
      <c r="I125" s="3"/>
      <c r="J125" s="3"/>
      <c r="K125" s="4"/>
      <c r="L125" s="4"/>
      <c r="M125" s="4"/>
      <c r="N125" s="4"/>
      <c r="O125" s="5">
        <v>5000</v>
      </c>
      <c r="P125" s="5"/>
      <c r="Q125" s="5"/>
      <c r="R125" s="5"/>
      <c r="S125" s="18">
        <v>15000</v>
      </c>
      <c r="T125" s="19"/>
      <c r="U125" s="19"/>
      <c r="V125" s="7"/>
      <c r="W125" s="7"/>
      <c r="X125" s="19"/>
      <c r="Y125" s="19"/>
      <c r="Z125" s="8"/>
      <c r="AA125" s="8"/>
      <c r="AB125" s="10"/>
      <c r="AC125" s="10"/>
      <c r="AD125" s="10"/>
      <c r="AE125" s="11"/>
      <c r="AF125" s="11"/>
      <c r="AG125" s="11"/>
      <c r="AH125" s="11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36" customHeight="1" x14ac:dyDescent="0.25">
      <c r="A126" s="2"/>
      <c r="B126" s="2"/>
      <c r="C126" s="2" t="s">
        <v>709</v>
      </c>
      <c r="D126" s="2" t="s">
        <v>710</v>
      </c>
      <c r="E126" s="2" t="s">
        <v>336</v>
      </c>
      <c r="F126" s="2">
        <v>3084058658</v>
      </c>
      <c r="G126" s="3"/>
      <c r="H126" s="3"/>
      <c r="I126" s="3"/>
      <c r="J126" s="3"/>
      <c r="K126" s="4"/>
      <c r="L126" s="4"/>
      <c r="M126" s="4"/>
      <c r="N126" s="4"/>
      <c r="O126" s="5">
        <v>5000</v>
      </c>
      <c r="P126" s="5"/>
      <c r="Q126" s="5"/>
      <c r="R126" s="5"/>
      <c r="S126" s="18">
        <v>25000</v>
      </c>
      <c r="T126" s="19">
        <v>5000</v>
      </c>
      <c r="U126" s="19" t="s">
        <v>1220</v>
      </c>
      <c r="V126" s="7">
        <v>5000</v>
      </c>
      <c r="W126" s="7" t="s">
        <v>1830</v>
      </c>
      <c r="X126" s="19"/>
      <c r="Y126" s="19"/>
      <c r="Z126" s="8"/>
      <c r="AA126" s="8"/>
      <c r="AB126" s="10"/>
      <c r="AC126" s="10"/>
      <c r="AD126" s="10"/>
      <c r="AE126" s="11"/>
      <c r="AF126" s="11"/>
      <c r="AG126" s="11"/>
      <c r="AH126" s="11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36" customHeight="1" x14ac:dyDescent="0.25">
      <c r="A127" s="2"/>
      <c r="B127" s="2"/>
      <c r="C127" s="2" t="s">
        <v>711</v>
      </c>
      <c r="D127" s="2" t="s">
        <v>233</v>
      </c>
      <c r="E127" s="2" t="s">
        <v>592</v>
      </c>
      <c r="F127" s="2">
        <v>3056895435</v>
      </c>
      <c r="G127" s="3"/>
      <c r="H127" s="3"/>
      <c r="I127" s="3"/>
      <c r="J127" s="3"/>
      <c r="K127" s="4"/>
      <c r="L127" s="4"/>
      <c r="M127" s="4"/>
      <c r="N127" s="4"/>
      <c r="O127" s="5">
        <v>5000</v>
      </c>
      <c r="P127" s="5"/>
      <c r="Q127" s="5"/>
      <c r="R127" s="5"/>
      <c r="S127" s="18">
        <v>10000</v>
      </c>
      <c r="T127" s="19">
        <v>3000</v>
      </c>
      <c r="U127" s="19" t="s">
        <v>1369</v>
      </c>
      <c r="V127" s="7">
        <v>2000</v>
      </c>
      <c r="W127" s="7" t="s">
        <v>1577</v>
      </c>
      <c r="X127" s="19"/>
      <c r="Y127" s="19"/>
      <c r="Z127" s="8"/>
      <c r="AA127" s="8"/>
      <c r="AB127" s="10"/>
      <c r="AC127" s="10"/>
      <c r="AD127" s="10"/>
      <c r="AE127" s="11"/>
      <c r="AF127" s="11"/>
      <c r="AG127" s="11"/>
      <c r="AH127" s="11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36" customHeight="1" x14ac:dyDescent="0.25">
      <c r="A128" s="2"/>
      <c r="B128" s="2"/>
      <c r="C128" s="2" t="s">
        <v>712</v>
      </c>
      <c r="D128" s="2" t="s">
        <v>667</v>
      </c>
      <c r="E128" s="2" t="s">
        <v>592</v>
      </c>
      <c r="F128" s="2">
        <v>3448825615</v>
      </c>
      <c r="G128" s="3"/>
      <c r="H128" s="3"/>
      <c r="I128" s="3"/>
      <c r="J128" s="3"/>
      <c r="K128" s="4"/>
      <c r="L128" s="4"/>
      <c r="M128" s="4"/>
      <c r="N128" s="4"/>
      <c r="O128" s="5">
        <v>5000</v>
      </c>
      <c r="P128" s="5"/>
      <c r="Q128" s="5"/>
      <c r="R128" s="5"/>
      <c r="S128" s="18">
        <v>15000</v>
      </c>
      <c r="T128" s="19">
        <v>2000</v>
      </c>
      <c r="U128" s="19" t="s">
        <v>1407</v>
      </c>
      <c r="V128" s="7">
        <v>2000</v>
      </c>
      <c r="W128" s="7" t="s">
        <v>1518</v>
      </c>
      <c r="X128" s="19">
        <v>2000</v>
      </c>
      <c r="Y128" s="19" t="s">
        <v>1814</v>
      </c>
      <c r="Z128" s="8"/>
      <c r="AA128" s="8"/>
      <c r="AB128" s="10"/>
      <c r="AC128" s="10"/>
      <c r="AD128" s="10"/>
      <c r="AE128" s="11"/>
      <c r="AF128" s="11"/>
      <c r="AG128" s="11"/>
      <c r="AH128" s="11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36" customHeight="1" x14ac:dyDescent="0.25">
      <c r="A129" s="2"/>
      <c r="B129" s="2"/>
      <c r="C129" s="2" t="s">
        <v>713</v>
      </c>
      <c r="D129" s="2" t="s">
        <v>650</v>
      </c>
      <c r="E129" s="2" t="s">
        <v>592</v>
      </c>
      <c r="F129" s="2">
        <v>3056994286</v>
      </c>
      <c r="G129" s="3"/>
      <c r="H129" s="3"/>
      <c r="I129" s="3"/>
      <c r="J129" s="3"/>
      <c r="K129" s="4"/>
      <c r="L129" s="4"/>
      <c r="M129" s="4"/>
      <c r="N129" s="4"/>
      <c r="O129" s="5">
        <v>5000</v>
      </c>
      <c r="P129" s="5"/>
      <c r="Q129" s="5"/>
      <c r="R129" s="5"/>
      <c r="S129" s="18">
        <v>13000</v>
      </c>
      <c r="T129" s="19">
        <v>2000</v>
      </c>
      <c r="U129" s="19" t="s">
        <v>1321</v>
      </c>
      <c r="V129" s="7">
        <v>3000</v>
      </c>
      <c r="W129" s="7" t="s">
        <v>1558</v>
      </c>
      <c r="X129" s="19"/>
      <c r="Y129" s="19"/>
      <c r="Z129" s="8"/>
      <c r="AA129" s="8"/>
      <c r="AB129" s="10"/>
      <c r="AC129" s="10"/>
      <c r="AD129" s="10"/>
      <c r="AE129" s="11"/>
      <c r="AF129" s="11"/>
      <c r="AG129" s="11"/>
      <c r="AH129" s="11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36" customHeight="1" x14ac:dyDescent="0.25">
      <c r="A130" s="2"/>
      <c r="B130" s="2"/>
      <c r="C130" s="2" t="s">
        <v>714</v>
      </c>
      <c r="D130" s="2" t="s">
        <v>715</v>
      </c>
      <c r="E130" s="2" t="s">
        <v>592</v>
      </c>
      <c r="F130" s="2">
        <v>3003606237</v>
      </c>
      <c r="G130" s="3"/>
      <c r="H130" s="3"/>
      <c r="I130" s="3"/>
      <c r="J130" s="3"/>
      <c r="K130" s="4"/>
      <c r="L130" s="4"/>
      <c r="M130" s="4"/>
      <c r="N130" s="4"/>
      <c r="O130" s="5">
        <v>5000</v>
      </c>
      <c r="P130" s="5"/>
      <c r="Q130" s="5"/>
      <c r="R130" s="5"/>
      <c r="S130" s="18">
        <v>10000</v>
      </c>
      <c r="T130" s="19">
        <v>2500</v>
      </c>
      <c r="U130" s="19" t="s">
        <v>1606</v>
      </c>
      <c r="V130" s="7">
        <v>2500</v>
      </c>
      <c r="W130" s="7" t="s">
        <v>1726</v>
      </c>
      <c r="X130" s="19"/>
      <c r="Y130" s="19"/>
      <c r="Z130" s="8"/>
      <c r="AA130" s="8"/>
      <c r="AB130" s="10"/>
      <c r="AC130" s="10"/>
      <c r="AD130" s="10"/>
      <c r="AE130" s="11"/>
      <c r="AF130" s="11"/>
      <c r="AG130" s="11"/>
      <c r="AH130" s="11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36" customHeight="1" x14ac:dyDescent="0.25">
      <c r="A131" s="2"/>
      <c r="B131" s="2"/>
      <c r="C131" s="2" t="s">
        <v>716</v>
      </c>
      <c r="D131" s="2" t="s">
        <v>717</v>
      </c>
      <c r="E131" s="2" t="s">
        <v>592</v>
      </c>
      <c r="F131" s="2">
        <v>3007339082</v>
      </c>
      <c r="G131" s="3"/>
      <c r="H131" s="3"/>
      <c r="I131" s="3"/>
      <c r="J131" s="3"/>
      <c r="K131" s="4"/>
      <c r="L131" s="4"/>
      <c r="M131" s="4"/>
      <c r="N131" s="4"/>
      <c r="O131" s="5">
        <v>5000</v>
      </c>
      <c r="P131" s="5"/>
      <c r="Q131" s="5"/>
      <c r="R131" s="5"/>
      <c r="S131" s="18">
        <v>20000</v>
      </c>
      <c r="T131" s="19">
        <v>5000</v>
      </c>
      <c r="U131" s="19" t="s">
        <v>1295</v>
      </c>
      <c r="V131" s="7">
        <v>5000</v>
      </c>
      <c r="W131" s="7" t="s">
        <v>1634</v>
      </c>
      <c r="X131" s="19"/>
      <c r="Y131" s="19"/>
      <c r="Z131" s="8"/>
      <c r="AA131" s="8"/>
      <c r="AB131" s="10"/>
      <c r="AC131" s="10"/>
      <c r="AD131" s="10"/>
      <c r="AE131" s="11"/>
      <c r="AF131" s="11"/>
      <c r="AG131" s="11"/>
      <c r="AH131" s="11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36" customHeight="1" x14ac:dyDescent="0.25">
      <c r="A132" s="2"/>
      <c r="B132" s="2"/>
      <c r="C132" s="2" t="s">
        <v>718</v>
      </c>
      <c r="D132" s="2" t="s">
        <v>18</v>
      </c>
      <c r="E132" s="2" t="s">
        <v>592</v>
      </c>
      <c r="F132" s="2">
        <v>3038706202</v>
      </c>
      <c r="G132" s="3"/>
      <c r="H132" s="3"/>
      <c r="I132" s="3"/>
      <c r="J132" s="3"/>
      <c r="K132" s="4"/>
      <c r="L132" s="4"/>
      <c r="M132" s="4"/>
      <c r="N132" s="4"/>
      <c r="O132" s="5">
        <v>5000</v>
      </c>
      <c r="P132" s="5"/>
      <c r="Q132" s="5"/>
      <c r="R132" s="5"/>
      <c r="S132" s="18">
        <v>20000</v>
      </c>
      <c r="T132" s="19">
        <v>5000</v>
      </c>
      <c r="U132" s="19" t="s">
        <v>1234</v>
      </c>
      <c r="V132" s="7"/>
      <c r="W132" s="7"/>
      <c r="X132" s="19"/>
      <c r="Y132" s="19"/>
      <c r="Z132" s="8"/>
      <c r="AA132" s="8"/>
      <c r="AB132" s="10"/>
      <c r="AC132" s="10"/>
      <c r="AD132" s="10"/>
      <c r="AE132" s="11"/>
      <c r="AF132" s="11"/>
      <c r="AG132" s="11"/>
      <c r="AH132" s="11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36" customHeight="1" x14ac:dyDescent="0.25">
      <c r="A133" s="2"/>
      <c r="B133" s="2"/>
      <c r="C133" s="2" t="s">
        <v>1420</v>
      </c>
      <c r="D133" s="2" t="s">
        <v>87</v>
      </c>
      <c r="E133" s="2" t="s">
        <v>592</v>
      </c>
      <c r="F133" s="2">
        <v>3027722124</v>
      </c>
      <c r="G133" s="3"/>
      <c r="H133" s="3"/>
      <c r="I133" s="3"/>
      <c r="J133" s="3"/>
      <c r="K133" s="4"/>
      <c r="L133" s="4"/>
      <c r="M133" s="4"/>
      <c r="N133" s="4"/>
      <c r="O133" s="5">
        <v>5000</v>
      </c>
      <c r="P133" s="5"/>
      <c r="Q133" s="5"/>
      <c r="R133" s="5"/>
      <c r="S133" s="18">
        <v>25000</v>
      </c>
      <c r="T133" s="19">
        <v>5000</v>
      </c>
      <c r="U133" s="19" t="s">
        <v>1421</v>
      </c>
      <c r="V133" s="7">
        <v>8000</v>
      </c>
      <c r="W133" s="7" t="s">
        <v>1629</v>
      </c>
      <c r="X133" s="19"/>
      <c r="Y133" s="19"/>
      <c r="Z133" s="8"/>
      <c r="AA133" s="8"/>
      <c r="AB133" s="10"/>
      <c r="AC133" s="10"/>
      <c r="AD133" s="10"/>
      <c r="AE133" s="11"/>
      <c r="AF133" s="11"/>
      <c r="AG133" s="11"/>
      <c r="AH133" s="11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36" customHeight="1" x14ac:dyDescent="0.25">
      <c r="A134" s="2"/>
      <c r="B134" s="2"/>
      <c r="C134" s="2" t="s">
        <v>719</v>
      </c>
      <c r="D134" s="2" t="s">
        <v>395</v>
      </c>
      <c r="E134" s="2" t="s">
        <v>592</v>
      </c>
      <c r="F134" s="2">
        <v>3098980515</v>
      </c>
      <c r="G134" s="3"/>
      <c r="H134" s="3"/>
      <c r="I134" s="3"/>
      <c r="J134" s="3"/>
      <c r="K134" s="4"/>
      <c r="L134" s="4"/>
      <c r="M134" s="4"/>
      <c r="N134" s="4"/>
      <c r="O134" s="5">
        <v>5000</v>
      </c>
      <c r="P134" s="5"/>
      <c r="Q134" s="5"/>
      <c r="R134" s="5"/>
      <c r="S134" s="18">
        <v>20000</v>
      </c>
      <c r="T134" s="19">
        <v>4000</v>
      </c>
      <c r="U134" s="19" t="s">
        <v>1303</v>
      </c>
      <c r="V134" s="7"/>
      <c r="W134" s="7"/>
      <c r="X134" s="19"/>
      <c r="Y134" s="19"/>
      <c r="Z134" s="8"/>
      <c r="AA134" s="8"/>
      <c r="AB134" s="10"/>
      <c r="AC134" s="10"/>
      <c r="AD134" s="10"/>
      <c r="AE134" s="11"/>
      <c r="AF134" s="11"/>
      <c r="AG134" s="11"/>
      <c r="AH134" s="11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36" customHeight="1" x14ac:dyDescent="0.25">
      <c r="A135" s="2"/>
      <c r="B135" s="2"/>
      <c r="C135" s="2" t="s">
        <v>42</v>
      </c>
      <c r="D135" s="2" t="s">
        <v>598</v>
      </c>
      <c r="E135" s="2" t="s">
        <v>592</v>
      </c>
      <c r="F135" s="2">
        <v>3033314352</v>
      </c>
      <c r="G135" s="3"/>
      <c r="H135" s="3"/>
      <c r="I135" s="3"/>
      <c r="J135" s="3"/>
      <c r="K135" s="4"/>
      <c r="L135" s="4"/>
      <c r="M135" s="4"/>
      <c r="N135" s="4"/>
      <c r="O135" s="5">
        <v>5000</v>
      </c>
      <c r="P135" s="5"/>
      <c r="Q135" s="5"/>
      <c r="R135" s="5"/>
      <c r="S135" s="18">
        <v>15000</v>
      </c>
      <c r="T135" s="19">
        <v>3000</v>
      </c>
      <c r="U135" s="19" t="s">
        <v>1269</v>
      </c>
      <c r="V135" s="7">
        <v>3000</v>
      </c>
      <c r="W135" s="7" t="s">
        <v>1570</v>
      </c>
      <c r="X135" s="19"/>
      <c r="Y135" s="19"/>
      <c r="Z135" s="8"/>
      <c r="AA135" s="8"/>
      <c r="AB135" s="10"/>
      <c r="AC135" s="10"/>
      <c r="AD135" s="10"/>
      <c r="AE135" s="11"/>
      <c r="AF135" s="11"/>
      <c r="AG135" s="11"/>
      <c r="AH135" s="11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36" customHeight="1" x14ac:dyDescent="0.25">
      <c r="A136" s="2"/>
      <c r="B136" s="2"/>
      <c r="C136" s="2" t="s">
        <v>720</v>
      </c>
      <c r="D136" s="2" t="s">
        <v>721</v>
      </c>
      <c r="E136" s="2" t="s">
        <v>592</v>
      </c>
      <c r="F136" s="2">
        <v>3006325803</v>
      </c>
      <c r="G136" s="3"/>
      <c r="H136" s="3"/>
      <c r="I136" s="3"/>
      <c r="J136" s="3"/>
      <c r="K136" s="4"/>
      <c r="L136" s="4"/>
      <c r="M136" s="4"/>
      <c r="N136" s="4"/>
      <c r="O136" s="5">
        <v>5000</v>
      </c>
      <c r="P136" s="5"/>
      <c r="Q136" s="5"/>
      <c r="R136" s="5"/>
      <c r="S136" s="18">
        <v>20000</v>
      </c>
      <c r="T136" s="19">
        <v>5000</v>
      </c>
      <c r="U136" s="19" t="s">
        <v>1310</v>
      </c>
      <c r="V136" s="7">
        <v>5000</v>
      </c>
      <c r="W136" s="7" t="s">
        <v>1675</v>
      </c>
      <c r="X136" s="19"/>
      <c r="Y136" s="19"/>
      <c r="Z136" s="8"/>
      <c r="AA136" s="8"/>
      <c r="AB136" s="10"/>
      <c r="AC136" s="10"/>
      <c r="AD136" s="10"/>
      <c r="AE136" s="11"/>
      <c r="AF136" s="11"/>
      <c r="AG136" s="11"/>
      <c r="AH136" s="11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36" customHeight="1" x14ac:dyDescent="0.25">
      <c r="A137" s="2"/>
      <c r="B137" s="2"/>
      <c r="C137" s="2" t="s">
        <v>722</v>
      </c>
      <c r="D137" s="2" t="s">
        <v>723</v>
      </c>
      <c r="E137" s="2" t="s">
        <v>592</v>
      </c>
      <c r="F137" s="2">
        <v>3064676671</v>
      </c>
      <c r="G137" s="3"/>
      <c r="H137" s="3"/>
      <c r="I137" s="3"/>
      <c r="J137" s="3"/>
      <c r="K137" s="4"/>
      <c r="L137" s="4"/>
      <c r="M137" s="4"/>
      <c r="N137" s="4"/>
      <c r="O137" s="5">
        <v>5000</v>
      </c>
      <c r="P137" s="5"/>
      <c r="Q137" s="5"/>
      <c r="R137" s="5"/>
      <c r="S137" s="18" t="s">
        <v>802</v>
      </c>
      <c r="T137" s="19">
        <v>5000</v>
      </c>
      <c r="U137" s="19" t="s">
        <v>1320</v>
      </c>
      <c r="V137" s="7">
        <v>5000</v>
      </c>
      <c r="W137" s="7" t="s">
        <v>1631</v>
      </c>
      <c r="X137" s="19"/>
      <c r="Y137" s="19"/>
      <c r="Z137" s="8"/>
      <c r="AA137" s="8"/>
      <c r="AB137" s="10"/>
      <c r="AC137" s="10"/>
      <c r="AD137" s="10"/>
      <c r="AE137" s="11"/>
      <c r="AF137" s="11"/>
      <c r="AG137" s="11"/>
      <c r="AH137" s="11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36" customHeight="1" x14ac:dyDescent="0.25">
      <c r="A138" s="2"/>
      <c r="B138" s="2"/>
      <c r="C138" s="2" t="s">
        <v>724</v>
      </c>
      <c r="D138" s="2" t="s">
        <v>725</v>
      </c>
      <c r="E138" s="2" t="s">
        <v>592</v>
      </c>
      <c r="F138" s="2">
        <v>3027385352</v>
      </c>
      <c r="G138" s="3"/>
      <c r="H138" s="3"/>
      <c r="I138" s="3"/>
      <c r="J138" s="3"/>
      <c r="K138" s="4"/>
      <c r="L138" s="4"/>
      <c r="M138" s="4"/>
      <c r="N138" s="4"/>
      <c r="O138" s="5">
        <v>5000</v>
      </c>
      <c r="P138" s="5"/>
      <c r="Q138" s="5"/>
      <c r="R138" s="5"/>
      <c r="S138" s="18">
        <v>20000</v>
      </c>
      <c r="T138" s="19">
        <v>5000</v>
      </c>
      <c r="U138" s="19" t="s">
        <v>1360</v>
      </c>
      <c r="V138" s="7">
        <v>5000</v>
      </c>
      <c r="W138" s="7" t="s">
        <v>1674</v>
      </c>
      <c r="X138" s="19"/>
      <c r="Y138" s="19"/>
      <c r="Z138" s="8"/>
      <c r="AA138" s="8"/>
      <c r="AB138" s="10"/>
      <c r="AC138" s="10"/>
      <c r="AD138" s="10"/>
      <c r="AE138" s="11"/>
      <c r="AF138" s="11"/>
      <c r="AG138" s="11"/>
      <c r="AH138" s="11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36" customHeight="1" x14ac:dyDescent="0.25">
      <c r="A139" s="2"/>
      <c r="B139" s="2"/>
      <c r="C139" s="2" t="s">
        <v>726</v>
      </c>
      <c r="D139" s="2" t="s">
        <v>727</v>
      </c>
      <c r="E139" s="2" t="s">
        <v>592</v>
      </c>
      <c r="F139" s="2">
        <v>3005496096</v>
      </c>
      <c r="G139" s="3"/>
      <c r="H139" s="3"/>
      <c r="I139" s="3"/>
      <c r="J139" s="3"/>
      <c r="K139" s="4"/>
      <c r="L139" s="4"/>
      <c r="M139" s="4"/>
      <c r="N139" s="4"/>
      <c r="O139" s="5">
        <v>5000</v>
      </c>
      <c r="P139" s="5"/>
      <c r="Q139" s="5"/>
      <c r="R139" s="5"/>
      <c r="S139" s="18">
        <v>13000</v>
      </c>
      <c r="T139" s="19">
        <v>5000</v>
      </c>
      <c r="U139" s="19" t="s">
        <v>1137</v>
      </c>
      <c r="V139" s="7"/>
      <c r="W139" s="7"/>
      <c r="X139" s="19"/>
      <c r="Y139" s="19"/>
      <c r="Z139" s="8"/>
      <c r="AA139" s="8"/>
      <c r="AB139" s="10"/>
      <c r="AC139" s="10"/>
      <c r="AD139" s="10"/>
      <c r="AE139" s="11"/>
      <c r="AF139" s="11"/>
      <c r="AG139" s="11"/>
      <c r="AH139" s="11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36" customHeight="1" x14ac:dyDescent="0.25">
      <c r="A140" s="2"/>
      <c r="B140" s="2"/>
      <c r="C140" s="2" t="s">
        <v>728</v>
      </c>
      <c r="D140" s="2" t="s">
        <v>607</v>
      </c>
      <c r="E140" s="2" t="s">
        <v>592</v>
      </c>
      <c r="F140" s="2">
        <v>3428239061</v>
      </c>
      <c r="G140" s="3"/>
      <c r="H140" s="3"/>
      <c r="I140" s="3"/>
      <c r="J140" s="3"/>
      <c r="K140" s="4"/>
      <c r="L140" s="4"/>
      <c r="M140" s="4"/>
      <c r="N140" s="4"/>
      <c r="O140" s="5">
        <v>5000</v>
      </c>
      <c r="P140" s="5"/>
      <c r="Q140" s="5"/>
      <c r="R140" s="5"/>
      <c r="S140" s="18">
        <v>23000</v>
      </c>
      <c r="T140" s="19">
        <v>3000</v>
      </c>
      <c r="U140" s="19" t="s">
        <v>1328</v>
      </c>
      <c r="V140" s="7">
        <v>3000</v>
      </c>
      <c r="W140" s="7" t="s">
        <v>1539</v>
      </c>
      <c r="X140" s="19"/>
      <c r="Y140" s="19"/>
      <c r="Z140" s="8"/>
      <c r="AA140" s="8"/>
      <c r="AB140" s="10"/>
      <c r="AC140" s="10"/>
      <c r="AD140" s="10"/>
      <c r="AE140" s="11"/>
      <c r="AF140" s="11"/>
      <c r="AG140" s="11"/>
      <c r="AH140" s="11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36" customHeight="1" x14ac:dyDescent="0.25">
      <c r="A141" s="2"/>
      <c r="B141" s="2"/>
      <c r="C141" s="2" t="s">
        <v>729</v>
      </c>
      <c r="D141" s="2" t="s">
        <v>690</v>
      </c>
      <c r="E141" s="2" t="s">
        <v>592</v>
      </c>
      <c r="F141" s="2">
        <v>3007598945</v>
      </c>
      <c r="G141" s="3"/>
      <c r="H141" s="3"/>
      <c r="I141" s="3"/>
      <c r="J141" s="3"/>
      <c r="K141" s="4"/>
      <c r="L141" s="4"/>
      <c r="M141" s="4"/>
      <c r="N141" s="4"/>
      <c r="O141" s="5">
        <v>5000</v>
      </c>
      <c r="P141" s="5"/>
      <c r="Q141" s="5"/>
      <c r="R141" s="5"/>
      <c r="S141" s="18">
        <v>15000</v>
      </c>
      <c r="T141" s="19">
        <v>10000</v>
      </c>
      <c r="U141" s="19" t="s">
        <v>1439</v>
      </c>
      <c r="V141" s="7"/>
      <c r="W141" s="7"/>
      <c r="X141" s="19"/>
      <c r="Y141" s="19"/>
      <c r="Z141" s="8"/>
      <c r="AA141" s="8"/>
      <c r="AB141" s="10"/>
      <c r="AC141" s="10"/>
      <c r="AD141" s="10"/>
      <c r="AE141" s="11"/>
      <c r="AF141" s="11"/>
      <c r="AG141" s="11"/>
      <c r="AH141" s="11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36" customHeight="1" x14ac:dyDescent="0.25">
      <c r="A142" s="2"/>
      <c r="B142" s="2"/>
      <c r="C142" s="2" t="s">
        <v>730</v>
      </c>
      <c r="D142" s="2" t="s">
        <v>731</v>
      </c>
      <c r="E142" s="2" t="s">
        <v>592</v>
      </c>
      <c r="F142" s="2">
        <v>3049432059</v>
      </c>
      <c r="G142" s="3"/>
      <c r="H142" s="3"/>
      <c r="I142" s="3"/>
      <c r="J142" s="3"/>
      <c r="K142" s="4"/>
      <c r="L142" s="4"/>
      <c r="M142" s="4"/>
      <c r="N142" s="4"/>
      <c r="O142" s="5">
        <v>5000</v>
      </c>
      <c r="P142" s="5"/>
      <c r="Q142" s="5"/>
      <c r="R142" s="5"/>
      <c r="S142" s="18">
        <v>20000</v>
      </c>
      <c r="T142" s="19">
        <v>10000</v>
      </c>
      <c r="U142" s="19" t="s">
        <v>1335</v>
      </c>
      <c r="V142" s="7">
        <v>5000</v>
      </c>
      <c r="W142" s="7" t="s">
        <v>1542</v>
      </c>
      <c r="X142" s="19"/>
      <c r="Y142" s="19"/>
      <c r="Z142" s="8"/>
      <c r="AA142" s="8"/>
      <c r="AB142" s="10"/>
      <c r="AC142" s="10"/>
      <c r="AD142" s="10"/>
      <c r="AE142" s="11"/>
      <c r="AF142" s="11"/>
      <c r="AG142" s="11"/>
      <c r="AH142" s="11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36" customHeight="1" x14ac:dyDescent="0.25">
      <c r="A143" s="2"/>
      <c r="B143" s="2"/>
      <c r="C143" s="2" t="s">
        <v>732</v>
      </c>
      <c r="D143" s="2" t="s">
        <v>733</v>
      </c>
      <c r="E143" s="2" t="s">
        <v>592</v>
      </c>
      <c r="F143" s="2">
        <v>3027516855</v>
      </c>
      <c r="G143" s="3"/>
      <c r="H143" s="3"/>
      <c r="I143" s="3"/>
      <c r="J143" s="3"/>
      <c r="K143" s="4"/>
      <c r="L143" s="4"/>
      <c r="M143" s="4"/>
      <c r="N143" s="4"/>
      <c r="O143" s="5">
        <v>5000</v>
      </c>
      <c r="P143" s="5"/>
      <c r="Q143" s="5"/>
      <c r="R143" s="5"/>
      <c r="S143" s="18">
        <v>25000</v>
      </c>
      <c r="T143" s="19">
        <v>5000</v>
      </c>
      <c r="U143" s="19" t="s">
        <v>1380</v>
      </c>
      <c r="V143" s="7">
        <v>5000</v>
      </c>
      <c r="W143" s="7" t="s">
        <v>1698</v>
      </c>
      <c r="X143" s="19"/>
      <c r="Y143" s="19"/>
      <c r="Z143" s="8"/>
      <c r="AA143" s="8"/>
      <c r="AB143" s="10"/>
      <c r="AC143" s="10"/>
      <c r="AD143" s="10"/>
      <c r="AE143" s="11"/>
      <c r="AF143" s="11"/>
      <c r="AG143" s="11"/>
      <c r="AH143" s="11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36" customHeight="1" x14ac:dyDescent="0.25">
      <c r="A144" s="2"/>
      <c r="B144" s="2"/>
      <c r="C144" s="2" t="s">
        <v>734</v>
      </c>
      <c r="D144" s="2" t="s">
        <v>74</v>
      </c>
      <c r="E144" s="2" t="s">
        <v>592</v>
      </c>
      <c r="F144" s="2">
        <v>31306100502</v>
      </c>
      <c r="G144" s="3"/>
      <c r="H144" s="3"/>
      <c r="I144" s="3"/>
      <c r="J144" s="3"/>
      <c r="K144" s="4"/>
      <c r="L144" s="4"/>
      <c r="M144" s="4"/>
      <c r="N144" s="4"/>
      <c r="O144" s="5">
        <v>5000</v>
      </c>
      <c r="P144" s="5"/>
      <c r="Q144" s="5"/>
      <c r="R144" s="5"/>
      <c r="S144" s="18">
        <v>25000</v>
      </c>
      <c r="T144" s="19">
        <v>5000</v>
      </c>
      <c r="U144" s="19" t="s">
        <v>1208</v>
      </c>
      <c r="V144" s="7">
        <v>3000</v>
      </c>
      <c r="W144" s="7" t="s">
        <v>1647</v>
      </c>
      <c r="X144" s="19"/>
      <c r="Y144" s="19"/>
      <c r="Z144" s="8"/>
      <c r="AA144" s="8"/>
      <c r="AB144" s="10"/>
      <c r="AC144" s="10"/>
      <c r="AD144" s="10"/>
      <c r="AE144" s="11"/>
      <c r="AF144" s="11"/>
      <c r="AG144" s="11"/>
      <c r="AH144" s="11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36" customHeight="1" x14ac:dyDescent="0.25">
      <c r="A145" s="2"/>
      <c r="B145" s="2"/>
      <c r="C145" s="2" t="s">
        <v>735</v>
      </c>
      <c r="D145" s="2" t="s">
        <v>426</v>
      </c>
      <c r="E145" s="2" t="s">
        <v>592</v>
      </c>
      <c r="F145" s="2">
        <v>3044917877</v>
      </c>
      <c r="G145" s="3"/>
      <c r="H145" s="3"/>
      <c r="I145" s="3"/>
      <c r="J145" s="3"/>
      <c r="K145" s="4"/>
      <c r="L145" s="4"/>
      <c r="M145" s="4"/>
      <c r="N145" s="4"/>
      <c r="O145" s="5">
        <v>5000</v>
      </c>
      <c r="P145" s="5"/>
      <c r="Q145" s="5"/>
      <c r="R145" s="5"/>
      <c r="S145" s="18">
        <v>18000</v>
      </c>
      <c r="T145" s="19">
        <v>5000</v>
      </c>
      <c r="U145" s="19" t="s">
        <v>1581</v>
      </c>
      <c r="V145" s="7"/>
      <c r="W145" s="7"/>
      <c r="X145" s="19"/>
      <c r="Y145" s="19"/>
      <c r="Z145" s="8"/>
      <c r="AA145" s="8"/>
      <c r="AB145" s="10"/>
      <c r="AC145" s="10"/>
      <c r="AD145" s="10"/>
      <c r="AE145" s="11"/>
      <c r="AF145" s="11"/>
      <c r="AG145" s="11"/>
      <c r="AH145" s="11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36" customHeight="1" x14ac:dyDescent="0.25">
      <c r="A146" s="2"/>
      <c r="B146" s="2"/>
      <c r="C146" s="2" t="s">
        <v>709</v>
      </c>
      <c r="D146" s="2" t="s">
        <v>111</v>
      </c>
      <c r="E146" s="2" t="s">
        <v>592</v>
      </c>
      <c r="F146" s="2">
        <v>3056930131</v>
      </c>
      <c r="G146" s="3"/>
      <c r="H146" s="3"/>
      <c r="I146" s="3"/>
      <c r="J146" s="3"/>
      <c r="K146" s="4"/>
      <c r="L146" s="4"/>
      <c r="M146" s="4"/>
      <c r="N146" s="4"/>
      <c r="O146" s="5">
        <v>5000</v>
      </c>
      <c r="P146" s="5"/>
      <c r="Q146" s="5"/>
      <c r="R146" s="5"/>
      <c r="S146" s="18">
        <v>15000</v>
      </c>
      <c r="T146" s="19">
        <v>5000</v>
      </c>
      <c r="U146" s="19" t="s">
        <v>1250</v>
      </c>
      <c r="V146" s="7"/>
      <c r="W146" s="7"/>
      <c r="X146" s="19"/>
      <c r="Y146" s="19"/>
      <c r="Z146" s="8"/>
      <c r="AA146" s="8"/>
      <c r="AB146" s="10"/>
      <c r="AC146" s="10"/>
      <c r="AD146" s="10"/>
      <c r="AE146" s="11"/>
      <c r="AF146" s="11"/>
      <c r="AG146" s="11"/>
      <c r="AH146" s="11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36" customHeight="1" x14ac:dyDescent="0.25">
      <c r="A147" s="2"/>
      <c r="B147" s="2"/>
      <c r="C147" s="2" t="s">
        <v>1366</v>
      </c>
      <c r="D147" s="2" t="s">
        <v>736</v>
      </c>
      <c r="E147" s="2" t="s">
        <v>592</v>
      </c>
      <c r="F147" s="2">
        <v>3014689903</v>
      </c>
      <c r="G147" s="3"/>
      <c r="H147" s="3"/>
      <c r="I147" s="3"/>
      <c r="J147" s="3"/>
      <c r="K147" s="4"/>
      <c r="L147" s="4"/>
      <c r="M147" s="4"/>
      <c r="N147" s="4"/>
      <c r="O147" s="5">
        <v>5000</v>
      </c>
      <c r="P147" s="5"/>
      <c r="Q147" s="5"/>
      <c r="R147" s="5"/>
      <c r="S147" s="18">
        <v>20000</v>
      </c>
      <c r="T147" s="19">
        <v>5000</v>
      </c>
      <c r="U147" s="19" t="s">
        <v>1367</v>
      </c>
      <c r="V147" s="7"/>
      <c r="W147" s="7"/>
      <c r="X147" s="19"/>
      <c r="Y147" s="19"/>
      <c r="Z147" s="8"/>
      <c r="AA147" s="8"/>
      <c r="AB147" s="10"/>
      <c r="AC147" s="10"/>
      <c r="AD147" s="10"/>
      <c r="AE147" s="11"/>
      <c r="AF147" s="11"/>
      <c r="AG147" s="11"/>
      <c r="AH147" s="11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36" customHeight="1" x14ac:dyDescent="0.25">
      <c r="A148" s="2"/>
      <c r="B148" s="2"/>
      <c r="C148" s="2" t="s">
        <v>737</v>
      </c>
      <c r="D148" s="2" t="s">
        <v>341</v>
      </c>
      <c r="E148" s="2" t="s">
        <v>592</v>
      </c>
      <c r="F148" s="2">
        <v>3005535976</v>
      </c>
      <c r="G148" s="3"/>
      <c r="H148" s="3"/>
      <c r="I148" s="3"/>
      <c r="J148" s="3"/>
      <c r="K148" s="4"/>
      <c r="L148" s="4"/>
      <c r="M148" s="4"/>
      <c r="N148" s="4"/>
      <c r="O148" s="5">
        <v>5000</v>
      </c>
      <c r="P148" s="5"/>
      <c r="Q148" s="5"/>
      <c r="R148" s="5"/>
      <c r="S148" s="18">
        <v>20000</v>
      </c>
      <c r="T148" s="19">
        <v>5000</v>
      </c>
      <c r="U148" s="19" t="s">
        <v>1114</v>
      </c>
      <c r="V148" s="7">
        <v>5000</v>
      </c>
      <c r="W148" s="7" t="s">
        <v>1554</v>
      </c>
      <c r="X148" s="19"/>
      <c r="Y148" s="19"/>
      <c r="Z148" s="8"/>
      <c r="AA148" s="8"/>
      <c r="AB148" s="10"/>
      <c r="AC148" s="10"/>
      <c r="AD148" s="10"/>
      <c r="AE148" s="11"/>
      <c r="AF148" s="11"/>
      <c r="AG148" s="11"/>
      <c r="AH148" s="11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36" customHeight="1" x14ac:dyDescent="0.25">
      <c r="A149" s="2"/>
      <c r="B149" s="2"/>
      <c r="C149" s="2" t="s">
        <v>796</v>
      </c>
      <c r="D149" s="2" t="s">
        <v>797</v>
      </c>
      <c r="E149" s="2" t="s">
        <v>592</v>
      </c>
      <c r="F149" s="2">
        <v>3038591148</v>
      </c>
      <c r="G149" s="3"/>
      <c r="H149" s="3"/>
      <c r="I149" s="3"/>
      <c r="J149" s="3"/>
      <c r="K149" s="4"/>
      <c r="L149" s="4"/>
      <c r="M149" s="4"/>
      <c r="N149" s="4"/>
      <c r="O149" s="5">
        <v>5000</v>
      </c>
      <c r="P149" s="5"/>
      <c r="Q149" s="5"/>
      <c r="R149" s="5"/>
      <c r="S149" s="18">
        <v>20000</v>
      </c>
      <c r="T149" s="19">
        <v>5000</v>
      </c>
      <c r="U149" s="19" t="s">
        <v>1314</v>
      </c>
      <c r="V149" s="7"/>
      <c r="W149" s="7"/>
      <c r="X149" s="19"/>
      <c r="Y149" s="19"/>
      <c r="Z149" s="8"/>
      <c r="AA149" s="8"/>
      <c r="AB149" s="10"/>
      <c r="AC149" s="10"/>
      <c r="AD149" s="10"/>
      <c r="AE149" s="11"/>
      <c r="AF149" s="11"/>
      <c r="AG149" s="11"/>
      <c r="AH149" s="11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36" customHeight="1" x14ac:dyDescent="0.25">
      <c r="A150" s="2"/>
      <c r="B150" s="2"/>
      <c r="C150" s="2" t="s">
        <v>738</v>
      </c>
      <c r="D150" s="2" t="s">
        <v>739</v>
      </c>
      <c r="E150" s="2" t="s">
        <v>592</v>
      </c>
      <c r="F150" s="2">
        <v>3334063233</v>
      </c>
      <c r="G150" s="3"/>
      <c r="H150" s="3"/>
      <c r="I150" s="3"/>
      <c r="J150" s="3"/>
      <c r="K150" s="4"/>
      <c r="L150" s="4"/>
      <c r="M150" s="4"/>
      <c r="N150" s="4"/>
      <c r="O150" s="5" t="s">
        <v>801</v>
      </c>
      <c r="P150" s="5"/>
      <c r="Q150" s="5"/>
      <c r="R150" s="5"/>
      <c r="S150" s="18">
        <v>0</v>
      </c>
      <c r="T150" s="19">
        <v>0</v>
      </c>
      <c r="U150" s="19">
        <v>0</v>
      </c>
      <c r="V150" s="7"/>
      <c r="W150" s="7"/>
      <c r="X150" s="19"/>
      <c r="Y150" s="19"/>
      <c r="Z150" s="8"/>
      <c r="AA150" s="8"/>
      <c r="AB150" s="10"/>
      <c r="AC150" s="10"/>
      <c r="AD150" s="10"/>
      <c r="AE150" s="11"/>
      <c r="AF150" s="11"/>
      <c r="AG150" s="11"/>
      <c r="AH150" s="11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36" customHeight="1" x14ac:dyDescent="0.25">
      <c r="A151" s="2"/>
      <c r="B151" s="2"/>
      <c r="C151" s="2" t="s">
        <v>389</v>
      </c>
      <c r="D151" s="2" t="s">
        <v>740</v>
      </c>
      <c r="E151" s="2" t="s">
        <v>592</v>
      </c>
      <c r="F151" s="2">
        <v>3000736122</v>
      </c>
      <c r="G151" s="3"/>
      <c r="H151" s="3"/>
      <c r="I151" s="3"/>
      <c r="J151" s="3"/>
      <c r="K151" s="4"/>
      <c r="L151" s="4"/>
      <c r="M151" s="4"/>
      <c r="N151" s="4"/>
      <c r="O151" s="5">
        <v>5000</v>
      </c>
      <c r="P151" s="5"/>
      <c r="Q151" s="5"/>
      <c r="R151" s="5"/>
      <c r="S151" s="18">
        <v>10000</v>
      </c>
      <c r="T151" s="19">
        <v>5000</v>
      </c>
      <c r="U151" s="19" t="s">
        <v>1445</v>
      </c>
      <c r="V151" s="7"/>
      <c r="W151" s="7"/>
      <c r="X151" s="19"/>
      <c r="Y151" s="19"/>
      <c r="Z151" s="8"/>
      <c r="AA151" s="8"/>
      <c r="AB151" s="10"/>
      <c r="AC151" s="10"/>
      <c r="AD151" s="10"/>
      <c r="AE151" s="11"/>
      <c r="AF151" s="11"/>
      <c r="AG151" s="11"/>
      <c r="AH151" s="11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36" customHeight="1" x14ac:dyDescent="0.25">
      <c r="A152" s="2"/>
      <c r="B152" s="2"/>
      <c r="C152" s="2" t="s">
        <v>741</v>
      </c>
      <c r="D152" s="2" t="s">
        <v>742</v>
      </c>
      <c r="E152" s="2" t="s">
        <v>592</v>
      </c>
      <c r="F152" s="2">
        <v>3055169637</v>
      </c>
      <c r="G152" s="3"/>
      <c r="H152" s="3"/>
      <c r="I152" s="3"/>
      <c r="J152" s="3"/>
      <c r="K152" s="4"/>
      <c r="L152" s="4"/>
      <c r="M152" s="4"/>
      <c r="N152" s="4"/>
      <c r="O152" s="5">
        <v>5000</v>
      </c>
      <c r="P152" s="5"/>
      <c r="Q152" s="5"/>
      <c r="R152" s="5"/>
      <c r="S152" s="18">
        <v>13000</v>
      </c>
      <c r="T152" s="19"/>
      <c r="U152" s="19"/>
      <c r="V152" s="7"/>
      <c r="W152" s="7"/>
      <c r="X152" s="19"/>
      <c r="Y152" s="19"/>
      <c r="Z152" s="8"/>
      <c r="AA152" s="8"/>
      <c r="AB152" s="10"/>
      <c r="AC152" s="10"/>
      <c r="AD152" s="10"/>
      <c r="AE152" s="11"/>
      <c r="AF152" s="11"/>
      <c r="AG152" s="11"/>
      <c r="AH152" s="11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36" customHeight="1" x14ac:dyDescent="0.25">
      <c r="A153" s="2"/>
      <c r="B153" s="2"/>
      <c r="C153" s="2" t="s">
        <v>580</v>
      </c>
      <c r="D153" s="2" t="s">
        <v>577</v>
      </c>
      <c r="E153" s="2" t="s">
        <v>342</v>
      </c>
      <c r="F153" s="2">
        <v>3059916340</v>
      </c>
      <c r="G153" s="3"/>
      <c r="H153" s="3"/>
      <c r="I153" s="3"/>
      <c r="J153" s="3"/>
      <c r="K153" s="4"/>
      <c r="L153" s="4"/>
      <c r="M153" s="4"/>
      <c r="N153" s="4"/>
      <c r="O153" s="5">
        <v>5000</v>
      </c>
      <c r="P153" s="5"/>
      <c r="Q153" s="5"/>
      <c r="R153" s="5"/>
      <c r="S153" s="18">
        <v>20000</v>
      </c>
      <c r="T153" s="19">
        <v>5000</v>
      </c>
      <c r="U153" s="19" t="s">
        <v>1217</v>
      </c>
      <c r="V153" s="7"/>
      <c r="W153" s="7"/>
      <c r="X153" s="19"/>
      <c r="Y153" s="19"/>
      <c r="Z153" s="8"/>
      <c r="AA153" s="8"/>
      <c r="AB153" s="10"/>
      <c r="AC153" s="10"/>
      <c r="AD153" s="10"/>
      <c r="AE153" s="11"/>
      <c r="AF153" s="11"/>
      <c r="AG153" s="11"/>
      <c r="AH153" s="11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36" customHeight="1" x14ac:dyDescent="0.25">
      <c r="A154" s="2"/>
      <c r="B154" s="2"/>
      <c r="C154" s="2" t="s">
        <v>743</v>
      </c>
      <c r="D154" s="2" t="s">
        <v>744</v>
      </c>
      <c r="E154" s="2" t="s">
        <v>592</v>
      </c>
      <c r="F154" s="2">
        <v>3022217241</v>
      </c>
      <c r="G154" s="3"/>
      <c r="H154" s="3"/>
      <c r="I154" s="3"/>
      <c r="J154" s="3"/>
      <c r="K154" s="4"/>
      <c r="L154" s="4"/>
      <c r="M154" s="4"/>
      <c r="N154" s="4"/>
      <c r="O154" s="5">
        <v>5000</v>
      </c>
      <c r="P154" s="5"/>
      <c r="Q154" s="5"/>
      <c r="R154" s="5"/>
      <c r="S154" s="18">
        <v>25000</v>
      </c>
      <c r="T154" s="19">
        <v>5000</v>
      </c>
      <c r="U154" s="19" t="s">
        <v>1477</v>
      </c>
      <c r="V154" s="7"/>
      <c r="W154" s="7"/>
      <c r="X154" s="19"/>
      <c r="Y154" s="19"/>
      <c r="Z154" s="8"/>
      <c r="AA154" s="8"/>
      <c r="AB154" s="10"/>
      <c r="AC154" s="10"/>
      <c r="AD154" s="10"/>
      <c r="AE154" s="11"/>
      <c r="AF154" s="11"/>
      <c r="AG154" s="11"/>
      <c r="AH154" s="11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36" customHeight="1" x14ac:dyDescent="0.25">
      <c r="A155" s="2"/>
      <c r="B155" s="2"/>
      <c r="C155" s="2" t="s">
        <v>745</v>
      </c>
      <c r="D155" s="2" t="s">
        <v>233</v>
      </c>
      <c r="E155" s="2" t="s">
        <v>592</v>
      </c>
      <c r="F155" s="2">
        <v>3337656502</v>
      </c>
      <c r="G155" s="3"/>
      <c r="H155" s="3"/>
      <c r="I155" s="3"/>
      <c r="J155" s="3"/>
      <c r="K155" s="4"/>
      <c r="L155" s="4"/>
      <c r="M155" s="4"/>
      <c r="N155" s="4"/>
      <c r="O155" s="5">
        <v>5000</v>
      </c>
      <c r="P155" s="5"/>
      <c r="Q155" s="5"/>
      <c r="R155" s="5"/>
      <c r="S155" s="18">
        <v>30000</v>
      </c>
      <c r="T155" s="19">
        <v>5000</v>
      </c>
      <c r="U155" s="19" t="s">
        <v>1545</v>
      </c>
      <c r="V155" s="7"/>
      <c r="W155" s="7"/>
      <c r="X155" s="19"/>
      <c r="Y155" s="19"/>
      <c r="Z155" s="8"/>
      <c r="AA155" s="8"/>
      <c r="AB155" s="10"/>
      <c r="AC155" s="10"/>
      <c r="AD155" s="10"/>
      <c r="AE155" s="11"/>
      <c r="AF155" s="11"/>
      <c r="AG155" s="11"/>
      <c r="AH155" s="11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36" customHeight="1" x14ac:dyDescent="0.25">
      <c r="A156" s="2"/>
      <c r="B156" s="2"/>
      <c r="C156" s="2" t="s">
        <v>746</v>
      </c>
      <c r="D156" s="2" t="s">
        <v>747</v>
      </c>
      <c r="E156" s="2" t="s">
        <v>431</v>
      </c>
      <c r="F156" s="2">
        <v>3237225739</v>
      </c>
      <c r="G156" s="3"/>
      <c r="H156" s="3"/>
      <c r="I156" s="3"/>
      <c r="J156" s="3"/>
      <c r="K156" s="4"/>
      <c r="L156" s="4"/>
      <c r="M156" s="4"/>
      <c r="N156" s="4"/>
      <c r="O156" s="5">
        <v>0</v>
      </c>
      <c r="P156" s="5">
        <v>0</v>
      </c>
      <c r="Q156" s="5">
        <v>0</v>
      </c>
      <c r="R156" s="5">
        <v>0</v>
      </c>
      <c r="S156" s="18">
        <v>0</v>
      </c>
      <c r="T156" s="19">
        <v>0</v>
      </c>
      <c r="U156" s="19">
        <v>0</v>
      </c>
      <c r="V156" s="7"/>
      <c r="W156" s="7"/>
      <c r="X156" s="19"/>
      <c r="Y156" s="19"/>
      <c r="Z156" s="8"/>
      <c r="AA156" s="8"/>
      <c r="AB156" s="10"/>
      <c r="AC156" s="10"/>
      <c r="AD156" s="10"/>
      <c r="AE156" s="11"/>
      <c r="AF156" s="11"/>
      <c r="AG156" s="11"/>
      <c r="AH156" s="11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36" customHeight="1" x14ac:dyDescent="0.25">
      <c r="A157" s="2"/>
      <c r="B157" s="2"/>
      <c r="C157" s="2" t="s">
        <v>748</v>
      </c>
      <c r="D157" s="2" t="s">
        <v>749</v>
      </c>
      <c r="E157" s="2" t="s">
        <v>431</v>
      </c>
      <c r="F157" s="2">
        <v>3058537747</v>
      </c>
      <c r="G157" s="3"/>
      <c r="H157" s="3"/>
      <c r="I157" s="3"/>
      <c r="J157" s="3"/>
      <c r="K157" s="4"/>
      <c r="L157" s="4"/>
      <c r="M157" s="4"/>
      <c r="N157" s="4"/>
      <c r="O157" s="5">
        <v>5000</v>
      </c>
      <c r="P157" s="5"/>
      <c r="Q157" s="5"/>
      <c r="R157" s="5"/>
      <c r="S157" s="18">
        <v>0</v>
      </c>
      <c r="T157" s="19">
        <v>0</v>
      </c>
      <c r="U157" s="19">
        <v>0</v>
      </c>
      <c r="V157" s="7"/>
      <c r="W157" s="7"/>
      <c r="X157" s="19"/>
      <c r="Y157" s="19"/>
      <c r="Z157" s="8"/>
      <c r="AA157" s="8"/>
      <c r="AB157" s="10"/>
      <c r="AC157" s="10"/>
      <c r="AD157" s="10"/>
      <c r="AE157" s="11"/>
      <c r="AF157" s="11"/>
      <c r="AG157" s="11"/>
      <c r="AH157" s="11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36" customHeight="1" x14ac:dyDescent="0.25">
      <c r="A158" s="2"/>
      <c r="B158" s="2"/>
      <c r="C158" s="2" t="s">
        <v>714</v>
      </c>
      <c r="D158" s="2" t="s">
        <v>750</v>
      </c>
      <c r="E158" s="2" t="s">
        <v>431</v>
      </c>
      <c r="F158" s="2">
        <v>3060723007</v>
      </c>
      <c r="G158" s="3"/>
      <c r="H158" s="3"/>
      <c r="I158" s="3"/>
      <c r="J158" s="3"/>
      <c r="K158" s="4"/>
      <c r="L158" s="4"/>
      <c r="M158" s="4"/>
      <c r="N158" s="4"/>
      <c r="O158" s="5">
        <v>5000</v>
      </c>
      <c r="P158" s="5">
        <v>0</v>
      </c>
      <c r="Q158" s="5"/>
      <c r="R158" s="5"/>
      <c r="S158" s="18">
        <v>10000</v>
      </c>
      <c r="T158" s="19">
        <v>5000</v>
      </c>
      <c r="U158" s="19" t="s">
        <v>1094</v>
      </c>
      <c r="V158" s="7">
        <v>5000</v>
      </c>
      <c r="W158" s="7" t="s">
        <v>1556</v>
      </c>
      <c r="X158" s="19"/>
      <c r="Y158" s="19"/>
      <c r="Z158" s="8"/>
      <c r="AA158" s="8"/>
      <c r="AB158" s="10"/>
      <c r="AC158" s="10"/>
      <c r="AD158" s="10"/>
      <c r="AE158" s="11"/>
      <c r="AF158" s="11"/>
      <c r="AG158" s="11"/>
      <c r="AH158" s="11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36" customHeight="1" x14ac:dyDescent="0.25">
      <c r="A159" s="2"/>
      <c r="B159" s="2"/>
      <c r="C159" s="2" t="s">
        <v>751</v>
      </c>
      <c r="D159" s="2" t="s">
        <v>87</v>
      </c>
      <c r="E159" s="2" t="s">
        <v>431</v>
      </c>
      <c r="F159" s="2">
        <v>3017482748</v>
      </c>
      <c r="G159" s="3"/>
      <c r="H159" s="3"/>
      <c r="I159" s="3"/>
      <c r="J159" s="3"/>
      <c r="K159" s="4"/>
      <c r="L159" s="4"/>
      <c r="M159" s="4"/>
      <c r="N159" s="4"/>
      <c r="O159" s="5">
        <v>0</v>
      </c>
      <c r="P159" s="5">
        <v>0</v>
      </c>
      <c r="Q159" s="5"/>
      <c r="R159" s="5"/>
      <c r="S159" s="18">
        <v>12000</v>
      </c>
      <c r="T159" s="19">
        <v>3000</v>
      </c>
      <c r="U159" s="19" t="s">
        <v>990</v>
      </c>
      <c r="V159" s="7">
        <v>5000</v>
      </c>
      <c r="W159" s="7" t="s">
        <v>1547</v>
      </c>
      <c r="X159" s="19"/>
      <c r="Y159" s="19"/>
      <c r="Z159" s="8"/>
      <c r="AA159" s="8"/>
      <c r="AB159" s="10"/>
      <c r="AC159" s="10"/>
      <c r="AD159" s="10"/>
      <c r="AE159" s="11"/>
      <c r="AF159" s="11"/>
      <c r="AG159" s="11"/>
      <c r="AH159" s="11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36" customHeight="1" x14ac:dyDescent="0.25">
      <c r="A160" s="2"/>
      <c r="B160" s="2"/>
      <c r="C160" s="2" t="s">
        <v>752</v>
      </c>
      <c r="D160" s="2" t="s">
        <v>753</v>
      </c>
      <c r="E160" s="2" t="s">
        <v>431</v>
      </c>
      <c r="F160" s="2">
        <v>3077679089</v>
      </c>
      <c r="G160" s="3"/>
      <c r="H160" s="3"/>
      <c r="I160" s="3"/>
      <c r="J160" s="3"/>
      <c r="K160" s="4"/>
      <c r="L160" s="4"/>
      <c r="M160" s="4"/>
      <c r="N160" s="4"/>
      <c r="O160" s="5">
        <v>5000</v>
      </c>
      <c r="P160" s="5"/>
      <c r="Q160" s="5"/>
      <c r="R160" s="5"/>
      <c r="S160" s="18">
        <v>7000</v>
      </c>
      <c r="T160" s="19">
        <v>2000</v>
      </c>
      <c r="U160" s="19" t="s">
        <v>998</v>
      </c>
      <c r="V160" s="7">
        <v>3000</v>
      </c>
      <c r="W160" s="7" t="s">
        <v>1231</v>
      </c>
      <c r="X160" s="19">
        <v>2000</v>
      </c>
      <c r="Y160" s="19" t="s">
        <v>1576</v>
      </c>
      <c r="Z160" s="8"/>
      <c r="AA160" s="8"/>
      <c r="AB160" s="10"/>
      <c r="AC160" s="10"/>
      <c r="AD160" s="10"/>
      <c r="AE160" s="11"/>
      <c r="AF160" s="11"/>
      <c r="AG160" s="11"/>
      <c r="AH160" s="11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36" customHeight="1" x14ac:dyDescent="0.25">
      <c r="A161" s="2"/>
      <c r="B161" s="2"/>
      <c r="C161" s="2" t="s">
        <v>754</v>
      </c>
      <c r="D161" s="2" t="s">
        <v>302</v>
      </c>
      <c r="E161" s="2" t="s">
        <v>431</v>
      </c>
      <c r="F161" s="2">
        <v>3017482748</v>
      </c>
      <c r="G161" s="3"/>
      <c r="H161" s="3"/>
      <c r="I161" s="3"/>
      <c r="J161" s="3"/>
      <c r="K161" s="4"/>
      <c r="L161" s="4"/>
      <c r="M161" s="4"/>
      <c r="N161" s="4"/>
      <c r="O161" s="5">
        <v>5000</v>
      </c>
      <c r="P161" s="5"/>
      <c r="Q161" s="5"/>
      <c r="R161" s="5"/>
      <c r="S161" s="18">
        <v>13000</v>
      </c>
      <c r="T161" s="19">
        <v>3000</v>
      </c>
      <c r="U161" s="19" t="s">
        <v>989</v>
      </c>
      <c r="V161" s="7">
        <v>3000</v>
      </c>
      <c r="W161" s="7" t="s">
        <v>1735</v>
      </c>
      <c r="X161" s="19"/>
      <c r="Y161" s="19"/>
      <c r="Z161" s="8"/>
      <c r="AA161" s="8"/>
      <c r="AB161" s="10"/>
      <c r="AC161" s="10"/>
      <c r="AD161" s="10"/>
      <c r="AE161" s="11"/>
      <c r="AF161" s="11"/>
      <c r="AG161" s="11"/>
      <c r="AH161" s="11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36" customHeight="1" x14ac:dyDescent="0.25">
      <c r="A162" s="2"/>
      <c r="B162" s="2"/>
      <c r="C162" s="2" t="s">
        <v>755</v>
      </c>
      <c r="D162" s="2" t="s">
        <v>663</v>
      </c>
      <c r="E162" s="2" t="s">
        <v>431</v>
      </c>
      <c r="F162" s="2">
        <v>3447358454</v>
      </c>
      <c r="G162" s="3"/>
      <c r="H162" s="3"/>
      <c r="I162" s="3"/>
      <c r="J162" s="3"/>
      <c r="K162" s="4"/>
      <c r="L162" s="4"/>
      <c r="M162" s="4"/>
      <c r="N162" s="4"/>
      <c r="O162" s="5">
        <v>5000</v>
      </c>
      <c r="P162" s="5"/>
      <c r="Q162" s="5"/>
      <c r="R162" s="5"/>
      <c r="S162" s="18">
        <v>20000</v>
      </c>
      <c r="T162" s="19">
        <v>5000</v>
      </c>
      <c r="U162" s="19" t="s">
        <v>1052</v>
      </c>
      <c r="V162" s="7">
        <v>5000</v>
      </c>
      <c r="W162" s="7" t="s">
        <v>1693</v>
      </c>
      <c r="X162" s="19"/>
      <c r="Y162" s="19"/>
      <c r="Z162" s="8"/>
      <c r="AA162" s="8"/>
      <c r="AB162" s="10"/>
      <c r="AC162" s="10"/>
      <c r="AD162" s="10"/>
      <c r="AE162" s="11"/>
      <c r="AF162" s="11"/>
      <c r="AG162" s="11"/>
      <c r="AH162" s="11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36" customHeight="1" x14ac:dyDescent="0.25">
      <c r="A163" s="2"/>
      <c r="B163" s="2"/>
      <c r="C163" s="2" t="s">
        <v>756</v>
      </c>
      <c r="D163" s="2" t="s">
        <v>757</v>
      </c>
      <c r="E163" s="2" t="s">
        <v>431</v>
      </c>
      <c r="F163" s="2">
        <v>3017520334</v>
      </c>
      <c r="G163" s="3"/>
      <c r="H163" s="3"/>
      <c r="I163" s="3"/>
      <c r="J163" s="3"/>
      <c r="K163" s="4"/>
      <c r="L163" s="4"/>
      <c r="M163" s="4"/>
      <c r="N163" s="4"/>
      <c r="O163" s="5">
        <v>5000</v>
      </c>
      <c r="P163" s="5"/>
      <c r="Q163" s="5"/>
      <c r="R163" s="5"/>
      <c r="S163" s="18">
        <v>15000</v>
      </c>
      <c r="T163" s="19">
        <v>5000</v>
      </c>
      <c r="U163" s="19" t="s">
        <v>1113</v>
      </c>
      <c r="V163" s="7"/>
      <c r="W163" s="7"/>
      <c r="X163" s="19"/>
      <c r="Y163" s="19"/>
      <c r="Z163" s="8"/>
      <c r="AA163" s="8"/>
      <c r="AB163" s="10"/>
      <c r="AC163" s="10"/>
      <c r="AD163" s="10"/>
      <c r="AE163" s="11"/>
      <c r="AF163" s="11"/>
      <c r="AG163" s="11"/>
      <c r="AH163" s="11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36" customHeight="1" x14ac:dyDescent="0.25">
      <c r="A164" s="2"/>
      <c r="B164" s="2"/>
      <c r="C164" s="2" t="s">
        <v>758</v>
      </c>
      <c r="D164" s="2" t="s">
        <v>759</v>
      </c>
      <c r="E164" s="2" t="s">
        <v>431</v>
      </c>
      <c r="F164" s="2">
        <v>3036841982</v>
      </c>
      <c r="G164" s="3"/>
      <c r="H164" s="3"/>
      <c r="I164" s="3"/>
      <c r="J164" s="3"/>
      <c r="K164" s="4"/>
      <c r="L164" s="4"/>
      <c r="M164" s="4"/>
      <c r="N164" s="4"/>
      <c r="O164" s="5">
        <v>0</v>
      </c>
      <c r="P164" s="5">
        <v>0</v>
      </c>
      <c r="Q164" s="5"/>
      <c r="R164" s="5"/>
      <c r="S164" s="18">
        <v>18000</v>
      </c>
      <c r="T164" s="19">
        <v>5000</v>
      </c>
      <c r="U164" s="19" t="s">
        <v>1076</v>
      </c>
      <c r="V164" s="7"/>
      <c r="W164" s="7"/>
      <c r="X164" s="19"/>
      <c r="Y164" s="19"/>
      <c r="Z164" s="8"/>
      <c r="AA164" s="8"/>
      <c r="AB164" s="10"/>
      <c r="AC164" s="10"/>
      <c r="AD164" s="10"/>
      <c r="AE164" s="11"/>
      <c r="AF164" s="11"/>
      <c r="AG164" s="11"/>
      <c r="AH164" s="11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36" customHeight="1" x14ac:dyDescent="0.25">
      <c r="A165" s="2"/>
      <c r="B165" s="2"/>
      <c r="C165" s="2" t="s">
        <v>760</v>
      </c>
      <c r="D165" s="2" t="s">
        <v>1211</v>
      </c>
      <c r="E165" s="2" t="s">
        <v>431</v>
      </c>
      <c r="F165" s="2">
        <v>3025568046</v>
      </c>
      <c r="G165" s="3"/>
      <c r="H165" s="3"/>
      <c r="I165" s="3"/>
      <c r="J165" s="3"/>
      <c r="K165" s="4"/>
      <c r="L165" s="4"/>
      <c r="M165" s="4"/>
      <c r="N165" s="4"/>
      <c r="O165" s="5">
        <v>5000</v>
      </c>
      <c r="P165" s="5"/>
      <c r="Q165" s="5"/>
      <c r="R165" s="5"/>
      <c r="S165" s="18">
        <v>10000</v>
      </c>
      <c r="T165" s="19">
        <v>3000</v>
      </c>
      <c r="U165" s="19" t="s">
        <v>1181</v>
      </c>
      <c r="V165" s="7">
        <v>3000</v>
      </c>
      <c r="W165" s="7" t="s">
        <v>1815</v>
      </c>
      <c r="X165" s="19"/>
      <c r="Y165" s="19"/>
      <c r="Z165" s="8"/>
      <c r="AA165" s="8"/>
      <c r="AB165" s="10"/>
      <c r="AC165" s="10"/>
      <c r="AD165" s="10"/>
      <c r="AE165" s="11"/>
      <c r="AF165" s="11"/>
      <c r="AG165" s="11"/>
      <c r="AH165" s="11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36" customHeight="1" x14ac:dyDescent="0.25">
      <c r="A166" s="2"/>
      <c r="B166" s="2"/>
      <c r="C166" s="2" t="s">
        <v>761</v>
      </c>
      <c r="D166" s="2" t="s">
        <v>554</v>
      </c>
      <c r="E166" s="2" t="s">
        <v>431</v>
      </c>
      <c r="F166" s="2">
        <v>3045502474</v>
      </c>
      <c r="G166" s="3"/>
      <c r="H166" s="3"/>
      <c r="I166" s="3"/>
      <c r="J166" s="3"/>
      <c r="K166" s="4"/>
      <c r="L166" s="4"/>
      <c r="M166" s="4"/>
      <c r="N166" s="4"/>
      <c r="O166" s="5">
        <v>5000</v>
      </c>
      <c r="P166" s="5"/>
      <c r="Q166" s="5"/>
      <c r="R166" s="5"/>
      <c r="S166" s="18">
        <v>15000</v>
      </c>
      <c r="T166" s="19">
        <v>8000</v>
      </c>
      <c r="U166" s="19" t="s">
        <v>1040</v>
      </c>
      <c r="V166" s="7"/>
      <c r="W166" s="7"/>
      <c r="X166" s="19"/>
      <c r="Y166" s="19"/>
      <c r="Z166" s="8"/>
      <c r="AA166" s="8"/>
      <c r="AB166" s="10"/>
      <c r="AC166" s="10"/>
      <c r="AD166" s="10"/>
      <c r="AE166" s="11"/>
      <c r="AF166" s="11"/>
      <c r="AG166" s="11"/>
      <c r="AH166" s="11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36" customHeight="1" x14ac:dyDescent="0.25">
      <c r="A167" s="2"/>
      <c r="B167" s="2"/>
      <c r="C167" s="2" t="s">
        <v>762</v>
      </c>
      <c r="D167" s="2" t="s">
        <v>581</v>
      </c>
      <c r="E167" s="2" t="s">
        <v>431</v>
      </c>
      <c r="F167" s="2">
        <v>3006035247</v>
      </c>
      <c r="G167" s="3"/>
      <c r="H167" s="3"/>
      <c r="I167" s="3"/>
      <c r="J167" s="3"/>
      <c r="K167" s="4"/>
      <c r="L167" s="4"/>
      <c r="M167" s="4"/>
      <c r="N167" s="4"/>
      <c r="O167" s="5">
        <v>5000</v>
      </c>
      <c r="P167" s="5"/>
      <c r="Q167" s="5"/>
      <c r="R167" s="5"/>
      <c r="S167" s="18">
        <v>10000</v>
      </c>
      <c r="T167" s="19">
        <v>5000</v>
      </c>
      <c r="U167" s="19" t="s">
        <v>1157</v>
      </c>
      <c r="V167" s="7">
        <v>5000</v>
      </c>
      <c r="W167" s="7" t="s">
        <v>1712</v>
      </c>
      <c r="X167" s="19"/>
      <c r="Y167" s="19"/>
      <c r="Z167" s="8"/>
      <c r="AA167" s="8"/>
      <c r="AB167" s="10"/>
      <c r="AC167" s="10"/>
      <c r="AD167" s="10"/>
      <c r="AE167" s="11"/>
      <c r="AF167" s="11"/>
      <c r="AG167" s="11"/>
      <c r="AH167" s="11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36" customHeight="1" x14ac:dyDescent="0.25">
      <c r="A168" s="2"/>
      <c r="B168" s="2"/>
      <c r="C168" s="2" t="s">
        <v>748</v>
      </c>
      <c r="D168" s="2" t="s">
        <v>763</v>
      </c>
      <c r="E168" s="2" t="s">
        <v>431</v>
      </c>
      <c r="F168" s="2">
        <v>3047030267</v>
      </c>
      <c r="G168" s="3"/>
      <c r="H168" s="3"/>
      <c r="I168" s="3"/>
      <c r="J168" s="3"/>
      <c r="K168" s="4"/>
      <c r="L168" s="4"/>
      <c r="M168" s="4"/>
      <c r="N168" s="4"/>
      <c r="O168" s="5">
        <v>0</v>
      </c>
      <c r="P168" s="5">
        <v>0</v>
      </c>
      <c r="Q168" s="5"/>
      <c r="R168" s="5"/>
      <c r="S168" s="18">
        <v>12000</v>
      </c>
      <c r="T168" s="19">
        <v>2000</v>
      </c>
      <c r="U168" s="19" t="s">
        <v>951</v>
      </c>
      <c r="V168" s="7">
        <v>3000</v>
      </c>
      <c r="W168" s="7" t="s">
        <v>1268</v>
      </c>
      <c r="X168" s="19"/>
      <c r="Y168" s="19"/>
      <c r="Z168" s="8"/>
      <c r="AA168" s="8"/>
      <c r="AB168" s="10"/>
      <c r="AC168" s="10"/>
      <c r="AD168" s="10"/>
      <c r="AE168" s="11"/>
      <c r="AF168" s="11"/>
      <c r="AG168" s="11"/>
      <c r="AH168" s="11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36" customHeight="1" x14ac:dyDescent="0.25">
      <c r="A169" s="2"/>
      <c r="B169" s="2"/>
      <c r="C169" s="2" t="s">
        <v>764</v>
      </c>
      <c r="D169" s="2" t="s">
        <v>765</v>
      </c>
      <c r="E169" s="2" t="s">
        <v>431</v>
      </c>
      <c r="F169" s="2">
        <v>3425065265</v>
      </c>
      <c r="G169" s="3"/>
      <c r="H169" s="3"/>
      <c r="I169" s="3"/>
      <c r="J169" s="3"/>
      <c r="K169" s="4"/>
      <c r="L169" s="4"/>
      <c r="M169" s="4"/>
      <c r="N169" s="4"/>
      <c r="O169" s="5">
        <v>5000</v>
      </c>
      <c r="P169" s="5"/>
      <c r="Q169" s="5"/>
      <c r="R169" s="5"/>
      <c r="S169" s="18">
        <v>12000</v>
      </c>
      <c r="T169" s="19">
        <v>4000</v>
      </c>
      <c r="U169" s="19" t="s">
        <v>1057</v>
      </c>
      <c r="V169" s="7">
        <v>3000</v>
      </c>
      <c r="W169" s="7" t="s">
        <v>1562</v>
      </c>
      <c r="X169" s="19"/>
      <c r="Y169" s="19"/>
      <c r="Z169" s="8"/>
      <c r="AA169" s="8"/>
      <c r="AB169" s="10"/>
      <c r="AC169" s="10"/>
      <c r="AD169" s="10"/>
      <c r="AE169" s="11"/>
      <c r="AF169" s="11"/>
      <c r="AG169" s="11"/>
      <c r="AH169" s="11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36" customHeight="1" x14ac:dyDescent="0.25">
      <c r="A170" s="2"/>
      <c r="B170" s="2"/>
      <c r="C170" s="2" t="s">
        <v>1624</v>
      </c>
      <c r="D170" s="2" t="s">
        <v>766</v>
      </c>
      <c r="E170" s="2" t="s">
        <v>431</v>
      </c>
      <c r="F170" s="2">
        <v>3467920318</v>
      </c>
      <c r="G170" s="3"/>
      <c r="H170" s="3"/>
      <c r="I170" s="3"/>
      <c r="J170" s="3"/>
      <c r="K170" s="4"/>
      <c r="L170" s="4"/>
      <c r="M170" s="4"/>
      <c r="N170" s="4"/>
      <c r="O170" s="5">
        <v>5000</v>
      </c>
      <c r="P170" s="5"/>
      <c r="Q170" s="5"/>
      <c r="R170" s="5"/>
      <c r="S170" s="18">
        <v>15000</v>
      </c>
      <c r="T170" s="19">
        <v>5000</v>
      </c>
      <c r="U170" s="19" t="s">
        <v>1097</v>
      </c>
      <c r="V170" s="7">
        <v>5000</v>
      </c>
      <c r="W170" s="7" t="s">
        <v>1625</v>
      </c>
      <c r="X170" s="19"/>
      <c r="Y170" s="19"/>
      <c r="Z170" s="8"/>
      <c r="AA170" s="8"/>
      <c r="AB170" s="10"/>
      <c r="AC170" s="10"/>
      <c r="AD170" s="10"/>
      <c r="AE170" s="11"/>
      <c r="AF170" s="11"/>
      <c r="AG170" s="11"/>
      <c r="AH170" s="11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36" customHeight="1" x14ac:dyDescent="0.25">
      <c r="A171" s="2"/>
      <c r="B171" s="2"/>
      <c r="C171" s="2" t="s">
        <v>767</v>
      </c>
      <c r="D171" s="2" t="s">
        <v>111</v>
      </c>
      <c r="E171" s="2" t="s">
        <v>431</v>
      </c>
      <c r="F171" s="2">
        <v>3082620969</v>
      </c>
      <c r="G171" s="3"/>
      <c r="H171" s="3"/>
      <c r="I171" s="3"/>
      <c r="J171" s="3"/>
      <c r="K171" s="4"/>
      <c r="L171" s="4"/>
      <c r="M171" s="4"/>
      <c r="N171" s="4"/>
      <c r="O171" s="5"/>
      <c r="P171" s="5"/>
      <c r="Q171" s="5"/>
      <c r="R171" s="5"/>
      <c r="S171" s="18"/>
      <c r="T171" s="19">
        <v>3000</v>
      </c>
      <c r="U171" s="19" t="s">
        <v>1182</v>
      </c>
      <c r="V171" s="7"/>
      <c r="W171" s="7"/>
      <c r="X171" s="19"/>
      <c r="Y171" s="19"/>
      <c r="Z171" s="8"/>
      <c r="AA171" s="8"/>
      <c r="AB171" s="10"/>
      <c r="AC171" s="10"/>
      <c r="AD171" s="10"/>
      <c r="AE171" s="11"/>
      <c r="AF171" s="11"/>
      <c r="AG171" s="11"/>
      <c r="AH171" s="11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36" customHeight="1" x14ac:dyDescent="0.25">
      <c r="A172" s="2"/>
      <c r="B172" s="2"/>
      <c r="C172" s="2" t="s">
        <v>768</v>
      </c>
      <c r="D172" s="2" t="s">
        <v>769</v>
      </c>
      <c r="E172" s="2" t="s">
        <v>431</v>
      </c>
      <c r="F172" s="2">
        <v>3076066432</v>
      </c>
      <c r="G172" s="3"/>
      <c r="H172" s="3"/>
      <c r="I172" s="3"/>
      <c r="J172" s="3"/>
      <c r="K172" s="4"/>
      <c r="L172" s="4"/>
      <c r="M172" s="4"/>
      <c r="N172" s="4"/>
      <c r="O172" s="5">
        <v>0</v>
      </c>
      <c r="P172" s="5">
        <v>0</v>
      </c>
      <c r="Q172" s="5"/>
      <c r="R172" s="5"/>
      <c r="S172" s="18">
        <v>30000</v>
      </c>
      <c r="T172" s="19">
        <v>5000</v>
      </c>
      <c r="U172" s="19" t="s">
        <v>1070</v>
      </c>
      <c r="V172" s="7">
        <v>5000</v>
      </c>
      <c r="W172" s="7" t="s">
        <v>1658</v>
      </c>
      <c r="X172" s="19"/>
      <c r="Y172" s="19"/>
      <c r="Z172" s="8"/>
      <c r="AA172" s="8"/>
      <c r="AB172" s="10"/>
      <c r="AC172" s="10"/>
      <c r="AD172" s="10"/>
      <c r="AE172" s="11"/>
      <c r="AF172" s="11"/>
      <c r="AG172" s="11"/>
      <c r="AH172" s="11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36" customHeight="1" x14ac:dyDescent="0.25">
      <c r="A173" s="2"/>
      <c r="B173" s="2"/>
      <c r="C173" s="2" t="s">
        <v>770</v>
      </c>
      <c r="D173" s="2" t="s">
        <v>759</v>
      </c>
      <c r="E173" s="2" t="s">
        <v>431</v>
      </c>
      <c r="F173" s="2">
        <v>3416310941</v>
      </c>
      <c r="G173" s="3"/>
      <c r="H173" s="3"/>
      <c r="I173" s="3"/>
      <c r="J173" s="3"/>
      <c r="K173" s="4"/>
      <c r="L173" s="4"/>
      <c r="M173" s="4"/>
      <c r="N173" s="4"/>
      <c r="O173" s="5">
        <v>0</v>
      </c>
      <c r="P173" s="5">
        <v>0</v>
      </c>
      <c r="Q173" s="5"/>
      <c r="R173" s="5"/>
      <c r="S173" s="18">
        <v>20000</v>
      </c>
      <c r="T173" s="19">
        <v>5000</v>
      </c>
      <c r="U173" s="19" t="s">
        <v>992</v>
      </c>
      <c r="V173" s="7"/>
      <c r="W173" s="7"/>
      <c r="X173" s="19"/>
      <c r="Y173" s="19"/>
      <c r="Z173" s="8"/>
      <c r="AA173" s="8"/>
      <c r="AB173" s="10"/>
      <c r="AC173" s="10"/>
      <c r="AD173" s="10"/>
      <c r="AE173" s="11"/>
      <c r="AF173" s="11"/>
      <c r="AG173" s="11"/>
      <c r="AH173" s="11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36" customHeight="1" x14ac:dyDescent="0.25">
      <c r="A174" s="2"/>
      <c r="B174" s="2"/>
      <c r="C174" s="2" t="s">
        <v>771</v>
      </c>
      <c r="D174" s="2" t="s">
        <v>772</v>
      </c>
      <c r="E174" s="2" t="s">
        <v>431</v>
      </c>
      <c r="F174" s="2">
        <v>3008529141</v>
      </c>
      <c r="G174" s="3"/>
      <c r="H174" s="3"/>
      <c r="I174" s="3"/>
      <c r="J174" s="3"/>
      <c r="K174" s="4"/>
      <c r="L174" s="4"/>
      <c r="M174" s="4"/>
      <c r="N174" s="4"/>
      <c r="O174" s="5">
        <v>0</v>
      </c>
      <c r="P174" s="5">
        <v>0</v>
      </c>
      <c r="Q174" s="5"/>
      <c r="R174" s="5"/>
      <c r="S174" s="18">
        <v>20000</v>
      </c>
      <c r="T174" s="19">
        <v>5000</v>
      </c>
      <c r="U174" s="19" t="s">
        <v>979</v>
      </c>
      <c r="V174" s="7"/>
      <c r="W174" s="7"/>
      <c r="X174" s="19"/>
      <c r="Y174" s="19"/>
      <c r="Z174" s="8"/>
      <c r="AA174" s="8"/>
      <c r="AB174" s="10"/>
      <c r="AC174" s="10"/>
      <c r="AD174" s="10"/>
      <c r="AE174" s="11"/>
      <c r="AF174" s="11"/>
      <c r="AG174" s="11"/>
      <c r="AH174" s="11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36" customHeight="1" x14ac:dyDescent="0.25">
      <c r="A175" s="2"/>
      <c r="B175" s="2"/>
      <c r="C175" s="2" t="s">
        <v>773</v>
      </c>
      <c r="D175" s="2" t="s">
        <v>774</v>
      </c>
      <c r="E175" s="2" t="s">
        <v>431</v>
      </c>
      <c r="F175" s="2">
        <v>3457217137</v>
      </c>
      <c r="G175" s="3"/>
      <c r="H175" s="3"/>
      <c r="I175" s="3"/>
      <c r="J175" s="3"/>
      <c r="K175" s="4"/>
      <c r="L175" s="4"/>
      <c r="M175" s="4"/>
      <c r="N175" s="4"/>
      <c r="O175" s="5">
        <v>8000</v>
      </c>
      <c r="P175" s="5"/>
      <c r="Q175" s="5">
        <v>0</v>
      </c>
      <c r="R175" s="5"/>
      <c r="S175" s="18">
        <v>18000</v>
      </c>
      <c r="T175" s="19">
        <v>5000</v>
      </c>
      <c r="U175" s="19" t="s">
        <v>1005</v>
      </c>
      <c r="V175" s="7">
        <v>5000</v>
      </c>
      <c r="W175" s="7" t="s">
        <v>1454</v>
      </c>
      <c r="X175" s="19"/>
      <c r="Y175" s="19"/>
      <c r="Z175" s="8"/>
      <c r="AA175" s="8"/>
      <c r="AB175" s="10"/>
      <c r="AC175" s="10"/>
      <c r="AD175" s="10"/>
      <c r="AE175" s="11"/>
      <c r="AF175" s="11"/>
      <c r="AG175" s="11"/>
      <c r="AH175" s="11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36" customHeight="1" x14ac:dyDescent="0.25">
      <c r="A176" s="2"/>
      <c r="B176" s="2"/>
      <c r="C176" s="2" t="s">
        <v>775</v>
      </c>
      <c r="D176" s="2" t="s">
        <v>523</v>
      </c>
      <c r="E176" s="2" t="s">
        <v>431</v>
      </c>
      <c r="F176" s="2">
        <v>3055323192</v>
      </c>
      <c r="G176" s="3"/>
      <c r="H176" s="3"/>
      <c r="I176" s="3"/>
      <c r="J176" s="3"/>
      <c r="K176" s="4"/>
      <c r="L176" s="4"/>
      <c r="M176" s="4"/>
      <c r="N176" s="4"/>
      <c r="O176" s="5">
        <v>12000</v>
      </c>
      <c r="P176" s="5"/>
      <c r="Q176" s="5">
        <v>261</v>
      </c>
      <c r="R176" s="5"/>
      <c r="S176" s="18">
        <v>0</v>
      </c>
      <c r="T176" s="19">
        <v>0</v>
      </c>
      <c r="U176" s="19">
        <v>0</v>
      </c>
      <c r="V176" s="7"/>
      <c r="W176" s="7"/>
      <c r="X176" s="19"/>
      <c r="Y176" s="19"/>
      <c r="Z176" s="8"/>
      <c r="AA176" s="8"/>
      <c r="AB176" s="10"/>
      <c r="AC176" s="10"/>
      <c r="AD176" s="10"/>
      <c r="AE176" s="11"/>
      <c r="AF176" s="11"/>
      <c r="AG176" s="11"/>
      <c r="AH176" s="11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36" customHeight="1" x14ac:dyDescent="0.25">
      <c r="A177" s="2"/>
      <c r="B177" s="2"/>
      <c r="C177" s="2" t="s">
        <v>776</v>
      </c>
      <c r="D177" s="2" t="s">
        <v>306</v>
      </c>
      <c r="E177" s="2" t="s">
        <v>431</v>
      </c>
      <c r="F177" s="2">
        <v>3087362882</v>
      </c>
      <c r="G177" s="3"/>
      <c r="H177" s="3"/>
      <c r="I177" s="3"/>
      <c r="J177" s="3"/>
      <c r="K177" s="4"/>
      <c r="L177" s="4"/>
      <c r="M177" s="4"/>
      <c r="N177" s="4"/>
      <c r="O177" s="5">
        <v>5000</v>
      </c>
      <c r="P177" s="5"/>
      <c r="Q177" s="5"/>
      <c r="R177" s="5"/>
      <c r="S177" s="18">
        <v>15000</v>
      </c>
      <c r="T177" s="19">
        <v>5000</v>
      </c>
      <c r="U177" s="19" t="s">
        <v>1030</v>
      </c>
      <c r="V177" s="7">
        <v>5000</v>
      </c>
      <c r="W177" s="7" t="s">
        <v>1526</v>
      </c>
      <c r="X177" s="19"/>
      <c r="Y177" s="19"/>
      <c r="Z177" s="8"/>
      <c r="AA177" s="8"/>
      <c r="AB177" s="10"/>
      <c r="AC177" s="10"/>
      <c r="AD177" s="10"/>
      <c r="AE177" s="11"/>
      <c r="AF177" s="11"/>
      <c r="AG177" s="11"/>
      <c r="AH177" s="11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36" customHeight="1" x14ac:dyDescent="0.25">
      <c r="A178" s="2"/>
      <c r="B178" s="2"/>
      <c r="C178" s="2" t="s">
        <v>777</v>
      </c>
      <c r="D178" s="2" t="s">
        <v>778</v>
      </c>
      <c r="E178" s="2" t="s">
        <v>431</v>
      </c>
      <c r="F178" s="2">
        <v>3045502474</v>
      </c>
      <c r="G178" s="3"/>
      <c r="H178" s="3"/>
      <c r="I178" s="3"/>
      <c r="J178" s="3"/>
      <c r="K178" s="4"/>
      <c r="L178" s="4"/>
      <c r="M178" s="4"/>
      <c r="N178" s="4"/>
      <c r="O178" s="5">
        <v>5000</v>
      </c>
      <c r="P178" s="5"/>
      <c r="Q178" s="5"/>
      <c r="R178" s="5"/>
      <c r="S178" s="18">
        <v>15000</v>
      </c>
      <c r="T178" s="19">
        <v>8000</v>
      </c>
      <c r="U178" s="19" t="s">
        <v>1039</v>
      </c>
      <c r="V178" s="7"/>
      <c r="W178" s="7"/>
      <c r="X178" s="19"/>
      <c r="Y178" s="19"/>
      <c r="Z178" s="8"/>
      <c r="AA178" s="8"/>
      <c r="AB178" s="10"/>
      <c r="AC178" s="10"/>
      <c r="AD178" s="10"/>
      <c r="AE178" s="11"/>
      <c r="AF178" s="11"/>
      <c r="AG178" s="11"/>
      <c r="AH178" s="11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36" customHeight="1" x14ac:dyDescent="0.25">
      <c r="A179" s="2"/>
      <c r="B179" s="2"/>
      <c r="C179" s="2" t="s">
        <v>779</v>
      </c>
      <c r="D179" s="2" t="s">
        <v>416</v>
      </c>
      <c r="E179" s="2" t="s">
        <v>431</v>
      </c>
      <c r="F179" s="2">
        <v>3013101724</v>
      </c>
      <c r="G179" s="3"/>
      <c r="H179" s="3"/>
      <c r="I179" s="3"/>
      <c r="J179" s="3"/>
      <c r="K179" s="4"/>
      <c r="L179" s="4"/>
      <c r="M179" s="4"/>
      <c r="N179" s="4"/>
      <c r="O179" s="5">
        <v>5000</v>
      </c>
      <c r="P179" s="5"/>
      <c r="Q179" s="5"/>
      <c r="R179" s="5"/>
      <c r="S179" s="18">
        <v>15000</v>
      </c>
      <c r="T179" s="19">
        <v>5000</v>
      </c>
      <c r="U179" s="19" t="s">
        <v>1059</v>
      </c>
      <c r="V179" s="7"/>
      <c r="W179" s="7"/>
      <c r="X179" s="19"/>
      <c r="Y179" s="19"/>
      <c r="Z179" s="8"/>
      <c r="AA179" s="8"/>
      <c r="AB179" s="10"/>
      <c r="AC179" s="10"/>
      <c r="AD179" s="10"/>
      <c r="AE179" s="11"/>
      <c r="AF179" s="11"/>
      <c r="AG179" s="11"/>
      <c r="AH179" s="11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36" customHeight="1" x14ac:dyDescent="0.25">
      <c r="A180" s="2"/>
      <c r="B180" s="2"/>
      <c r="C180" s="2" t="s">
        <v>780</v>
      </c>
      <c r="D180" s="2" t="s">
        <v>760</v>
      </c>
      <c r="E180" s="2" t="s">
        <v>431</v>
      </c>
      <c r="F180" s="2">
        <v>3017470624</v>
      </c>
      <c r="G180" s="3"/>
      <c r="H180" s="3"/>
      <c r="I180" s="3"/>
      <c r="J180" s="3"/>
      <c r="K180" s="4"/>
      <c r="L180" s="4"/>
      <c r="M180" s="4"/>
      <c r="N180" s="4"/>
      <c r="O180" s="5">
        <v>0</v>
      </c>
      <c r="P180" s="5"/>
      <c r="Q180" s="5"/>
      <c r="R180" s="5"/>
      <c r="S180" s="18">
        <v>20000</v>
      </c>
      <c r="T180" s="19">
        <v>5000</v>
      </c>
      <c r="U180" s="19" t="s">
        <v>975</v>
      </c>
      <c r="V180" s="7">
        <v>5000</v>
      </c>
      <c r="W180" s="7" t="s">
        <v>1525</v>
      </c>
      <c r="X180" s="19"/>
      <c r="Y180" s="19"/>
      <c r="Z180" s="8"/>
      <c r="AA180" s="8"/>
      <c r="AB180" s="10"/>
      <c r="AC180" s="10"/>
      <c r="AD180" s="10"/>
      <c r="AE180" s="11"/>
      <c r="AF180" s="11"/>
      <c r="AG180" s="11"/>
      <c r="AH180" s="11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36" customHeight="1" x14ac:dyDescent="0.25">
      <c r="A181" s="2"/>
      <c r="B181" s="2"/>
      <c r="C181" s="2" t="s">
        <v>781</v>
      </c>
      <c r="D181" s="2" t="s">
        <v>369</v>
      </c>
      <c r="E181" s="2" t="s">
        <v>431</v>
      </c>
      <c r="F181" s="2">
        <v>3035649579</v>
      </c>
      <c r="G181" s="3"/>
      <c r="H181" s="3"/>
      <c r="I181" s="3"/>
      <c r="J181" s="3"/>
      <c r="K181" s="4"/>
      <c r="L181" s="4"/>
      <c r="M181" s="4"/>
      <c r="N181" s="4"/>
      <c r="O181" s="5">
        <v>0</v>
      </c>
      <c r="P181" s="5">
        <v>0</v>
      </c>
      <c r="Q181" s="5"/>
      <c r="R181" s="5"/>
      <c r="S181" s="18">
        <v>18000</v>
      </c>
      <c r="T181" s="19">
        <v>5000</v>
      </c>
      <c r="U181" s="19" t="s">
        <v>1077</v>
      </c>
      <c r="V181" s="7"/>
      <c r="W181" s="7"/>
      <c r="X181" s="19"/>
      <c r="Y181" s="19"/>
      <c r="Z181" s="8"/>
      <c r="AA181" s="8"/>
      <c r="AB181" s="10"/>
      <c r="AC181" s="10"/>
      <c r="AD181" s="10"/>
      <c r="AE181" s="11"/>
      <c r="AF181" s="11"/>
      <c r="AG181" s="11"/>
      <c r="AH181" s="11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36" customHeight="1" x14ac:dyDescent="0.25">
      <c r="A182" s="2"/>
      <c r="B182" s="2"/>
      <c r="C182" s="2" t="s">
        <v>782</v>
      </c>
      <c r="D182" s="2" t="s">
        <v>783</v>
      </c>
      <c r="E182" s="2" t="s">
        <v>431</v>
      </c>
      <c r="F182" s="2">
        <v>3039118445</v>
      </c>
      <c r="G182" s="3"/>
      <c r="H182" s="3"/>
      <c r="I182" s="3"/>
      <c r="J182" s="3"/>
      <c r="K182" s="4"/>
      <c r="L182" s="4"/>
      <c r="M182" s="4"/>
      <c r="N182" s="4"/>
      <c r="O182" s="5">
        <v>5000</v>
      </c>
      <c r="P182" s="5"/>
      <c r="Q182" s="5"/>
      <c r="R182" s="5"/>
      <c r="S182" s="18">
        <v>13000</v>
      </c>
      <c r="T182" s="19">
        <v>5000</v>
      </c>
      <c r="U182" s="19" t="s">
        <v>1099</v>
      </c>
      <c r="V182" s="7">
        <v>2000</v>
      </c>
      <c r="W182" s="7" t="s">
        <v>1544</v>
      </c>
      <c r="X182" s="19"/>
      <c r="Y182" s="19"/>
      <c r="Z182" s="8"/>
      <c r="AA182" s="8"/>
      <c r="AB182" s="10"/>
      <c r="AC182" s="10"/>
      <c r="AD182" s="10"/>
      <c r="AE182" s="11"/>
      <c r="AF182" s="11"/>
      <c r="AG182" s="11"/>
      <c r="AH182" s="11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36" customHeight="1" x14ac:dyDescent="0.25">
      <c r="A183" s="2"/>
      <c r="B183" s="2"/>
      <c r="C183" s="2" t="s">
        <v>784</v>
      </c>
      <c r="D183" s="2" t="s">
        <v>76</v>
      </c>
      <c r="E183" s="2" t="s">
        <v>431</v>
      </c>
      <c r="F183" s="2">
        <v>3039400816</v>
      </c>
      <c r="G183" s="3"/>
      <c r="H183" s="3"/>
      <c r="I183" s="3"/>
      <c r="J183" s="3"/>
      <c r="K183" s="4"/>
      <c r="L183" s="4"/>
      <c r="M183" s="4"/>
      <c r="N183" s="4"/>
      <c r="O183" s="5">
        <v>5000</v>
      </c>
      <c r="P183" s="5">
        <v>5000</v>
      </c>
      <c r="Q183" s="5" t="s">
        <v>1754</v>
      </c>
      <c r="R183" s="5"/>
      <c r="S183" s="18">
        <v>19000</v>
      </c>
      <c r="T183" s="19">
        <v>5000</v>
      </c>
      <c r="U183" s="19" t="s">
        <v>1095</v>
      </c>
      <c r="V183" s="7">
        <v>10000</v>
      </c>
      <c r="W183" s="7" t="s">
        <v>1809</v>
      </c>
      <c r="X183" s="19"/>
      <c r="Y183" s="19"/>
      <c r="Z183" s="8"/>
      <c r="AA183" s="8"/>
      <c r="AB183" s="10"/>
      <c r="AC183" s="10"/>
      <c r="AD183" s="10"/>
      <c r="AE183" s="11"/>
      <c r="AF183" s="11"/>
      <c r="AG183" s="11"/>
      <c r="AH183" s="11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36" customHeight="1" x14ac:dyDescent="0.25">
      <c r="A184" s="2"/>
      <c r="B184" s="2"/>
      <c r="C184" s="2" t="s">
        <v>785</v>
      </c>
      <c r="D184" s="2" t="s">
        <v>786</v>
      </c>
      <c r="E184" s="2" t="s">
        <v>431</v>
      </c>
      <c r="F184" s="2">
        <v>3027796249</v>
      </c>
      <c r="G184" s="3"/>
      <c r="H184" s="3"/>
      <c r="I184" s="3"/>
      <c r="J184" s="3"/>
      <c r="K184" s="4"/>
      <c r="L184" s="4"/>
      <c r="M184" s="4"/>
      <c r="N184" s="4"/>
      <c r="O184" s="5">
        <v>0</v>
      </c>
      <c r="P184" s="5">
        <v>0</v>
      </c>
      <c r="Q184" s="5"/>
      <c r="R184" s="5"/>
      <c r="S184" s="18">
        <v>30000</v>
      </c>
      <c r="T184" s="19">
        <v>2000</v>
      </c>
      <c r="U184" s="19" t="s">
        <v>995</v>
      </c>
      <c r="V184" s="7">
        <v>5000</v>
      </c>
      <c r="W184" s="7" t="s">
        <v>1516</v>
      </c>
      <c r="X184" s="19"/>
      <c r="Y184" s="19"/>
      <c r="Z184" s="8"/>
      <c r="AA184" s="8"/>
      <c r="AB184" s="10"/>
      <c r="AC184" s="10"/>
      <c r="AD184" s="10"/>
      <c r="AE184" s="11"/>
      <c r="AF184" s="11"/>
      <c r="AG184" s="11"/>
      <c r="AH184" s="11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36" customHeight="1" x14ac:dyDescent="0.25">
      <c r="A185" s="2"/>
      <c r="B185" s="2"/>
      <c r="C185" s="2" t="s">
        <v>787</v>
      </c>
      <c r="D185" s="2" t="s">
        <v>788</v>
      </c>
      <c r="E185" s="2" t="s">
        <v>431</v>
      </c>
      <c r="F185" s="2">
        <v>3067456313</v>
      </c>
      <c r="G185" s="3"/>
      <c r="H185" s="3"/>
      <c r="I185" s="3"/>
      <c r="J185" s="3"/>
      <c r="K185" s="4"/>
      <c r="L185" s="4"/>
      <c r="M185" s="4"/>
      <c r="N185" s="4"/>
      <c r="O185" s="5">
        <v>5000</v>
      </c>
      <c r="P185" s="5"/>
      <c r="Q185" s="5"/>
      <c r="R185" s="5"/>
      <c r="S185" s="18">
        <v>10000</v>
      </c>
      <c r="T185" s="19">
        <v>5000</v>
      </c>
      <c r="U185" s="19" t="s">
        <v>1126</v>
      </c>
      <c r="V185" s="7"/>
      <c r="W185" s="7"/>
      <c r="X185" s="19"/>
      <c r="Y185" s="19"/>
      <c r="Z185" s="8"/>
      <c r="AA185" s="8"/>
      <c r="AB185" s="10"/>
      <c r="AC185" s="10"/>
      <c r="AD185" s="10"/>
      <c r="AE185" s="11"/>
      <c r="AF185" s="11"/>
      <c r="AG185" s="11"/>
      <c r="AH185" s="11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36" customHeight="1" x14ac:dyDescent="0.25">
      <c r="A186" s="2"/>
      <c r="B186" s="2"/>
      <c r="C186" s="2" t="s">
        <v>789</v>
      </c>
      <c r="D186" s="2" t="s">
        <v>790</v>
      </c>
      <c r="E186" s="2" t="s">
        <v>431</v>
      </c>
      <c r="F186" s="2">
        <v>3076383840</v>
      </c>
      <c r="G186" s="3"/>
      <c r="H186" s="3"/>
      <c r="I186" s="3"/>
      <c r="J186" s="3"/>
      <c r="K186" s="4"/>
      <c r="L186" s="4"/>
      <c r="M186" s="4"/>
      <c r="N186" s="4"/>
      <c r="O186" s="5">
        <v>2000</v>
      </c>
      <c r="P186" s="5">
        <v>2000</v>
      </c>
      <c r="Q186" s="5" t="s">
        <v>1753</v>
      </c>
      <c r="R186" s="5"/>
      <c r="S186" s="18">
        <v>17000</v>
      </c>
      <c r="T186" s="19">
        <v>4000</v>
      </c>
      <c r="U186" s="19" t="s">
        <v>1191</v>
      </c>
      <c r="V186" s="7">
        <v>5000</v>
      </c>
      <c r="W186" s="7" t="s">
        <v>1578</v>
      </c>
      <c r="X186" s="19"/>
      <c r="Y186" s="19"/>
      <c r="Z186" s="8"/>
      <c r="AA186" s="8"/>
      <c r="AB186" s="10"/>
      <c r="AC186" s="10"/>
      <c r="AD186" s="10"/>
      <c r="AE186" s="11"/>
      <c r="AF186" s="11"/>
      <c r="AG186" s="11"/>
      <c r="AH186" s="11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36" customHeight="1" x14ac:dyDescent="0.25">
      <c r="A187" s="2"/>
      <c r="B187" s="2"/>
      <c r="C187" s="2" t="s">
        <v>791</v>
      </c>
      <c r="D187" s="2" t="s">
        <v>792</v>
      </c>
      <c r="E187" s="2" t="s">
        <v>431</v>
      </c>
      <c r="F187" s="2">
        <v>3046830145</v>
      </c>
      <c r="G187" s="3"/>
      <c r="H187" s="3"/>
      <c r="I187" s="3"/>
      <c r="J187" s="3"/>
      <c r="K187" s="4"/>
      <c r="L187" s="4"/>
      <c r="M187" s="4"/>
      <c r="N187" s="4"/>
      <c r="O187" s="5">
        <v>5000</v>
      </c>
      <c r="P187" s="5"/>
      <c r="Q187" s="5"/>
      <c r="R187" s="5"/>
      <c r="S187" s="18">
        <v>15000</v>
      </c>
      <c r="T187" s="19">
        <v>3000</v>
      </c>
      <c r="U187" s="19" t="s">
        <v>1029</v>
      </c>
      <c r="V187" s="7"/>
      <c r="W187" s="7"/>
      <c r="X187" s="19"/>
      <c r="Y187" s="19"/>
      <c r="Z187" s="8"/>
      <c r="AA187" s="8"/>
      <c r="AB187" s="10"/>
      <c r="AC187" s="10"/>
      <c r="AD187" s="10"/>
      <c r="AE187" s="11"/>
      <c r="AF187" s="11"/>
      <c r="AG187" s="11"/>
      <c r="AH187" s="11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36" customHeight="1" x14ac:dyDescent="0.25">
      <c r="A188" s="2"/>
      <c r="B188" s="2"/>
      <c r="C188" s="2" t="s">
        <v>748</v>
      </c>
      <c r="D188" s="2" t="s">
        <v>700</v>
      </c>
      <c r="E188" s="2" t="s">
        <v>431</v>
      </c>
      <c r="F188" s="2">
        <v>3017591917</v>
      </c>
      <c r="G188" s="3"/>
      <c r="H188" s="3"/>
      <c r="I188" s="3"/>
      <c r="J188" s="3"/>
      <c r="K188" s="4"/>
      <c r="L188" s="4"/>
      <c r="M188" s="4"/>
      <c r="N188" s="4"/>
      <c r="O188" s="5">
        <v>0</v>
      </c>
      <c r="P188" s="5">
        <v>0</v>
      </c>
      <c r="Q188" s="5"/>
      <c r="R188" s="5"/>
      <c r="S188" s="18">
        <v>24000</v>
      </c>
      <c r="T188" s="19">
        <v>5000</v>
      </c>
      <c r="U188" s="19" t="s">
        <v>967</v>
      </c>
      <c r="V188" s="7"/>
      <c r="W188" s="7"/>
      <c r="X188" s="19"/>
      <c r="Y188" s="19"/>
      <c r="Z188" s="8"/>
      <c r="AA188" s="8"/>
      <c r="AB188" s="10"/>
      <c r="AC188" s="10"/>
      <c r="AD188" s="10"/>
      <c r="AE188" s="11"/>
      <c r="AF188" s="11"/>
      <c r="AG188" s="11"/>
      <c r="AH188" s="11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36" customHeight="1" x14ac:dyDescent="0.25">
      <c r="A189" s="2"/>
      <c r="B189" s="2"/>
      <c r="C189" s="2" t="s">
        <v>793</v>
      </c>
      <c r="D189" s="2" t="s">
        <v>794</v>
      </c>
      <c r="E189" s="2" t="s">
        <v>431</v>
      </c>
      <c r="F189" s="2">
        <v>3017824420</v>
      </c>
      <c r="G189" s="3"/>
      <c r="H189" s="3"/>
      <c r="I189" s="3"/>
      <c r="J189" s="3"/>
      <c r="K189" s="4"/>
      <c r="L189" s="4"/>
      <c r="M189" s="4"/>
      <c r="N189" s="4"/>
      <c r="O189" s="5">
        <v>5000</v>
      </c>
      <c r="P189" s="5"/>
      <c r="Q189" s="5"/>
      <c r="R189" s="5"/>
      <c r="S189" s="18">
        <v>18000</v>
      </c>
      <c r="T189" s="19">
        <v>2500</v>
      </c>
      <c r="U189" s="19" t="s">
        <v>1205</v>
      </c>
      <c r="V189" s="7"/>
      <c r="W189" s="7"/>
      <c r="X189" s="19"/>
      <c r="Y189" s="19"/>
      <c r="Z189" s="8"/>
      <c r="AA189" s="8"/>
      <c r="AB189" s="10"/>
      <c r="AC189" s="10"/>
      <c r="AD189" s="10"/>
      <c r="AE189" s="11"/>
      <c r="AF189" s="11"/>
      <c r="AG189" s="11"/>
      <c r="AH189" s="11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36" customHeight="1" x14ac:dyDescent="0.25">
      <c r="A190" s="2"/>
      <c r="B190" s="2"/>
      <c r="C190" s="2" t="s">
        <v>803</v>
      </c>
      <c r="D190" s="2" t="s">
        <v>42</v>
      </c>
      <c r="E190" s="2" t="s">
        <v>431</v>
      </c>
      <c r="F190" s="2">
        <v>3067332917</v>
      </c>
      <c r="G190" s="3"/>
      <c r="H190" s="3"/>
      <c r="I190" s="3"/>
      <c r="J190" s="3"/>
      <c r="K190" s="4"/>
      <c r="L190" s="4"/>
      <c r="M190" s="4"/>
      <c r="N190" s="4"/>
      <c r="O190" s="5">
        <v>0</v>
      </c>
      <c r="P190" s="5">
        <v>0</v>
      </c>
      <c r="Q190" s="5"/>
      <c r="R190" s="5"/>
      <c r="S190" s="18">
        <v>18000</v>
      </c>
      <c r="T190" s="19">
        <v>5000</v>
      </c>
      <c r="U190" s="19" t="s">
        <v>1023</v>
      </c>
      <c r="V190" s="7">
        <v>3000</v>
      </c>
      <c r="W190" s="7" t="s">
        <v>1646</v>
      </c>
      <c r="X190" s="19"/>
      <c r="Y190" s="19"/>
      <c r="Z190" s="8"/>
      <c r="AA190" s="8"/>
      <c r="AB190" s="10"/>
      <c r="AC190" s="10"/>
      <c r="AD190" s="10"/>
      <c r="AE190" s="11"/>
      <c r="AF190" s="11"/>
      <c r="AG190" s="11"/>
      <c r="AH190" s="11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36" customHeight="1" x14ac:dyDescent="0.25">
      <c r="A191" s="2"/>
      <c r="B191" s="2"/>
      <c r="C191" s="2" t="s">
        <v>804</v>
      </c>
      <c r="D191" s="2" t="s">
        <v>87</v>
      </c>
      <c r="E191" s="2" t="s">
        <v>431</v>
      </c>
      <c r="F191" s="2">
        <v>3067835011</v>
      </c>
      <c r="G191" s="3"/>
      <c r="H191" s="3"/>
      <c r="I191" s="3"/>
      <c r="J191" s="3"/>
      <c r="K191" s="4"/>
      <c r="L191" s="4"/>
      <c r="M191" s="4"/>
      <c r="N191" s="4"/>
      <c r="O191" s="5">
        <v>5000</v>
      </c>
      <c r="P191" s="5"/>
      <c r="Q191" s="5"/>
      <c r="R191" s="5"/>
      <c r="S191" s="18">
        <v>12000</v>
      </c>
      <c r="T191" s="19">
        <v>2000</v>
      </c>
      <c r="U191" s="19" t="s">
        <v>1189</v>
      </c>
      <c r="V191" s="7">
        <v>6000</v>
      </c>
      <c r="W191" s="37" t="s">
        <v>1405</v>
      </c>
      <c r="X191" s="19"/>
      <c r="Y191" s="19"/>
      <c r="Z191" s="8"/>
      <c r="AA191" s="8"/>
      <c r="AB191" s="10"/>
      <c r="AC191" s="10"/>
      <c r="AD191" s="10"/>
      <c r="AE191" s="11"/>
      <c r="AF191" s="11"/>
      <c r="AG191" s="11"/>
      <c r="AH191" s="11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36" customHeight="1" x14ac:dyDescent="0.25">
      <c r="A192" s="2"/>
      <c r="B192" s="2"/>
      <c r="C192" s="2" t="s">
        <v>805</v>
      </c>
      <c r="D192" s="2" t="s">
        <v>806</v>
      </c>
      <c r="E192" s="2" t="s">
        <v>431</v>
      </c>
      <c r="F192" s="2">
        <v>3036918220</v>
      </c>
      <c r="G192" s="3"/>
      <c r="H192" s="3"/>
      <c r="I192" s="3"/>
      <c r="J192" s="3"/>
      <c r="K192" s="4"/>
      <c r="L192" s="4"/>
      <c r="M192" s="4"/>
      <c r="N192" s="4"/>
      <c r="O192" s="5">
        <v>5000</v>
      </c>
      <c r="P192" s="5"/>
      <c r="Q192" s="5"/>
      <c r="R192" s="5"/>
      <c r="S192" s="18">
        <v>20000</v>
      </c>
      <c r="T192" s="19">
        <v>5000</v>
      </c>
      <c r="U192" s="19" t="s">
        <v>1530</v>
      </c>
      <c r="V192" s="7">
        <v>5000</v>
      </c>
      <c r="W192" s="7" t="s">
        <v>1818</v>
      </c>
      <c r="X192" s="19"/>
      <c r="Y192" s="19"/>
      <c r="Z192" s="8"/>
      <c r="AA192" s="8"/>
      <c r="AB192" s="10"/>
      <c r="AC192" s="10"/>
      <c r="AD192" s="10"/>
      <c r="AE192" s="11"/>
      <c r="AF192" s="11"/>
      <c r="AG192" s="11"/>
      <c r="AH192" s="11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36" customHeight="1" x14ac:dyDescent="0.25">
      <c r="A193" s="2"/>
      <c r="B193" s="2"/>
      <c r="C193" s="2" t="s">
        <v>807</v>
      </c>
      <c r="D193" s="2" t="s">
        <v>389</v>
      </c>
      <c r="E193" s="2" t="s">
        <v>431</v>
      </c>
      <c r="F193" s="2">
        <v>3027817463</v>
      </c>
      <c r="G193" s="3"/>
      <c r="H193" s="3"/>
      <c r="I193" s="3"/>
      <c r="J193" s="3"/>
      <c r="K193" s="4"/>
      <c r="L193" s="4"/>
      <c r="M193" s="4"/>
      <c r="N193" s="4"/>
      <c r="O193" s="5">
        <v>5000</v>
      </c>
      <c r="P193" s="5"/>
      <c r="Q193" s="5"/>
      <c r="R193" s="5"/>
      <c r="S193" s="18">
        <v>25000</v>
      </c>
      <c r="T193" s="19">
        <v>5000</v>
      </c>
      <c r="U193" s="19" t="s">
        <v>1368</v>
      </c>
      <c r="V193" s="7">
        <v>3000</v>
      </c>
      <c r="W193" s="7" t="s">
        <v>1697</v>
      </c>
      <c r="X193" s="19"/>
      <c r="Y193" s="19"/>
      <c r="Z193" s="8"/>
      <c r="AA193" s="8"/>
      <c r="AB193" s="10"/>
      <c r="AC193" s="10"/>
      <c r="AD193" s="10"/>
      <c r="AE193" s="11"/>
      <c r="AF193" s="11"/>
      <c r="AG193" s="11"/>
      <c r="AH193" s="11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36" customHeight="1" x14ac:dyDescent="0.25">
      <c r="A194" s="2"/>
      <c r="B194" s="2"/>
      <c r="C194" s="2" t="s">
        <v>808</v>
      </c>
      <c r="D194" s="2" t="s">
        <v>76</v>
      </c>
      <c r="E194" s="2" t="s">
        <v>431</v>
      </c>
      <c r="F194" s="2">
        <v>3487658688</v>
      </c>
      <c r="G194" s="3"/>
      <c r="H194" s="3"/>
      <c r="I194" s="3"/>
      <c r="J194" s="3"/>
      <c r="K194" s="4"/>
      <c r="L194" s="4"/>
      <c r="M194" s="4"/>
      <c r="N194" s="4"/>
      <c r="O194" s="5">
        <v>5000</v>
      </c>
      <c r="P194" s="5"/>
      <c r="Q194" s="5"/>
      <c r="R194" s="5"/>
      <c r="S194" s="18">
        <v>13000</v>
      </c>
      <c r="T194" s="19">
        <v>2000</v>
      </c>
      <c r="U194" s="19" t="s">
        <v>1209</v>
      </c>
      <c r="V194" s="7"/>
      <c r="W194" s="7"/>
      <c r="X194" s="19"/>
      <c r="Y194" s="19"/>
      <c r="Z194" s="8"/>
      <c r="AA194" s="8"/>
      <c r="AB194" s="10"/>
      <c r="AC194" s="10"/>
      <c r="AD194" s="10"/>
      <c r="AE194" s="11"/>
      <c r="AF194" s="11"/>
      <c r="AG194" s="11"/>
      <c r="AH194" s="11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36" customHeight="1" x14ac:dyDescent="0.25">
      <c r="A195" s="2"/>
      <c r="B195" s="2"/>
      <c r="C195" s="2" t="s">
        <v>809</v>
      </c>
      <c r="D195" s="2" t="s">
        <v>12</v>
      </c>
      <c r="E195" s="2" t="s">
        <v>431</v>
      </c>
      <c r="F195" s="2">
        <v>3487209129</v>
      </c>
      <c r="G195" s="3"/>
      <c r="H195" s="3"/>
      <c r="I195" s="3"/>
      <c r="J195" s="3"/>
      <c r="K195" s="4"/>
      <c r="L195" s="4"/>
      <c r="M195" s="4"/>
      <c r="N195" s="4"/>
      <c r="O195" s="5">
        <v>5000</v>
      </c>
      <c r="P195" s="5"/>
      <c r="Q195" s="5"/>
      <c r="R195" s="5"/>
      <c r="S195" s="18">
        <v>17000</v>
      </c>
      <c r="T195" s="19">
        <v>5000</v>
      </c>
      <c r="U195" s="19" t="s">
        <v>1159</v>
      </c>
      <c r="V195" s="7"/>
      <c r="W195" s="7"/>
      <c r="X195" s="19"/>
      <c r="Y195" s="19"/>
      <c r="Z195" s="8"/>
      <c r="AA195" s="8"/>
      <c r="AB195" s="10"/>
      <c r="AC195" s="10"/>
      <c r="AD195" s="10"/>
      <c r="AE195" s="11"/>
      <c r="AF195" s="11"/>
      <c r="AG195" s="11"/>
      <c r="AH195" s="11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36" customHeight="1" x14ac:dyDescent="0.25">
      <c r="A196" s="2"/>
      <c r="B196" s="2"/>
      <c r="C196" s="2" t="s">
        <v>810</v>
      </c>
      <c r="D196" s="2" t="s">
        <v>84</v>
      </c>
      <c r="E196" s="2" t="s">
        <v>431</v>
      </c>
      <c r="F196" s="2">
        <v>3096546684</v>
      </c>
      <c r="G196" s="3"/>
      <c r="H196" s="3"/>
      <c r="I196" s="3"/>
      <c r="J196" s="3"/>
      <c r="K196" s="4"/>
      <c r="L196" s="4"/>
      <c r="M196" s="4"/>
      <c r="N196" s="4"/>
      <c r="O196" s="5">
        <v>0</v>
      </c>
      <c r="P196" s="5">
        <v>0</v>
      </c>
      <c r="Q196" s="5"/>
      <c r="R196" s="5"/>
      <c r="S196" s="18">
        <v>20000</v>
      </c>
      <c r="T196" s="19">
        <v>10000</v>
      </c>
      <c r="U196" s="19" t="s">
        <v>1017</v>
      </c>
      <c r="V196" s="7"/>
      <c r="W196" s="7"/>
      <c r="X196" s="19"/>
      <c r="Y196" s="19"/>
      <c r="Z196" s="8"/>
      <c r="AA196" s="8"/>
      <c r="AB196" s="10"/>
      <c r="AC196" s="10"/>
      <c r="AD196" s="10"/>
      <c r="AE196" s="11"/>
      <c r="AF196" s="11"/>
      <c r="AG196" s="11"/>
      <c r="AH196" s="11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36" customHeight="1" x14ac:dyDescent="0.25">
      <c r="A197" s="2"/>
      <c r="B197" s="2"/>
      <c r="C197" s="2" t="s">
        <v>529</v>
      </c>
      <c r="D197" s="2" t="s">
        <v>391</v>
      </c>
      <c r="E197" s="2" t="s">
        <v>431</v>
      </c>
      <c r="F197" s="2">
        <v>3082414710</v>
      </c>
      <c r="G197" s="3"/>
      <c r="H197" s="3"/>
      <c r="I197" s="3"/>
      <c r="J197" s="3"/>
      <c r="K197" s="4"/>
      <c r="L197" s="4"/>
      <c r="M197" s="4"/>
      <c r="N197" s="4"/>
      <c r="O197" s="5">
        <v>5000</v>
      </c>
      <c r="P197" s="5"/>
      <c r="Q197" s="5"/>
      <c r="R197" s="5"/>
      <c r="S197" s="18">
        <v>10000</v>
      </c>
      <c r="T197" s="19">
        <v>3000</v>
      </c>
      <c r="U197" s="19" t="s">
        <v>1148</v>
      </c>
      <c r="V197" s="7">
        <v>2000</v>
      </c>
      <c r="W197" s="7" t="s">
        <v>1645</v>
      </c>
      <c r="X197" s="19"/>
      <c r="Y197" s="19"/>
      <c r="Z197" s="8"/>
      <c r="AA197" s="8"/>
      <c r="AB197" s="10"/>
      <c r="AC197" s="10"/>
      <c r="AD197" s="10"/>
      <c r="AE197" s="11"/>
      <c r="AF197" s="11"/>
      <c r="AG197" s="11"/>
      <c r="AH197" s="11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36" customHeight="1" x14ac:dyDescent="0.25">
      <c r="A198" s="2"/>
      <c r="B198" s="2"/>
      <c r="C198" s="2" t="s">
        <v>709</v>
      </c>
      <c r="D198" s="2" t="s">
        <v>811</v>
      </c>
      <c r="E198" s="2" t="s">
        <v>431</v>
      </c>
      <c r="F198" s="2">
        <v>3052469102</v>
      </c>
      <c r="G198" s="3"/>
      <c r="H198" s="3"/>
      <c r="I198" s="3"/>
      <c r="J198" s="3"/>
      <c r="K198" s="4"/>
      <c r="L198" s="4"/>
      <c r="M198" s="4"/>
      <c r="N198" s="4"/>
      <c r="O198" s="5">
        <v>5000</v>
      </c>
      <c r="P198" s="5"/>
      <c r="Q198" s="5"/>
      <c r="R198" s="5"/>
      <c r="S198" s="18">
        <v>10000</v>
      </c>
      <c r="T198" s="19">
        <v>3000</v>
      </c>
      <c r="U198" s="19" t="s">
        <v>1149</v>
      </c>
      <c r="V198" s="7">
        <v>2900</v>
      </c>
      <c r="W198" s="7" t="s">
        <v>1720</v>
      </c>
      <c r="X198" s="19"/>
      <c r="Y198" s="19"/>
      <c r="Z198" s="8"/>
      <c r="AA198" s="8"/>
      <c r="AB198" s="10"/>
      <c r="AC198" s="10"/>
      <c r="AD198" s="10"/>
      <c r="AE198" s="11"/>
      <c r="AF198" s="11"/>
      <c r="AG198" s="11"/>
      <c r="AH198" s="11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36" customHeight="1" x14ac:dyDescent="0.25">
      <c r="A199" s="2"/>
      <c r="B199" s="2"/>
      <c r="C199" s="2" t="s">
        <v>812</v>
      </c>
      <c r="D199" s="2" t="s">
        <v>42</v>
      </c>
      <c r="E199" s="2" t="s">
        <v>431</v>
      </c>
      <c r="F199" s="2">
        <v>3072087039</v>
      </c>
      <c r="G199" s="3"/>
      <c r="H199" s="3"/>
      <c r="I199" s="3"/>
      <c r="J199" s="3"/>
      <c r="K199" s="4"/>
      <c r="L199" s="4"/>
      <c r="M199" s="4"/>
      <c r="N199" s="4"/>
      <c r="O199" s="5">
        <v>5000</v>
      </c>
      <c r="P199" s="5"/>
      <c r="Q199" s="5"/>
      <c r="R199" s="5"/>
      <c r="S199" s="18">
        <v>20000</v>
      </c>
      <c r="T199" s="19">
        <v>2000</v>
      </c>
      <c r="U199" s="19" t="s">
        <v>1111</v>
      </c>
      <c r="V199" s="7"/>
      <c r="W199" s="7"/>
      <c r="X199" s="19"/>
      <c r="Y199" s="19"/>
      <c r="Z199" s="8"/>
      <c r="AA199" s="8"/>
      <c r="AB199" s="10"/>
      <c r="AC199" s="10"/>
      <c r="AD199" s="10"/>
      <c r="AE199" s="11"/>
      <c r="AF199" s="11"/>
      <c r="AG199" s="11"/>
      <c r="AH199" s="11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36" customHeight="1" x14ac:dyDescent="0.25">
      <c r="A200" s="2"/>
      <c r="B200" s="2"/>
      <c r="C200" s="2" t="s">
        <v>813</v>
      </c>
      <c r="D200" s="2" t="s">
        <v>87</v>
      </c>
      <c r="E200" s="2" t="s">
        <v>431</v>
      </c>
      <c r="F200" s="2">
        <v>3427122515</v>
      </c>
      <c r="G200" s="3"/>
      <c r="H200" s="3"/>
      <c r="I200" s="3"/>
      <c r="J200" s="3"/>
      <c r="K200" s="4"/>
      <c r="L200" s="4"/>
      <c r="M200" s="4"/>
      <c r="N200" s="4"/>
      <c r="O200" s="5">
        <v>5000</v>
      </c>
      <c r="P200" s="5"/>
      <c r="Q200" s="5"/>
      <c r="R200" s="5"/>
      <c r="S200" s="18">
        <v>17000</v>
      </c>
      <c r="T200" s="19">
        <v>5000</v>
      </c>
      <c r="U200" s="19" t="s">
        <v>1158</v>
      </c>
      <c r="V200" s="7"/>
      <c r="W200" s="7"/>
      <c r="X200" s="19"/>
      <c r="Y200" s="19"/>
      <c r="Z200" s="8"/>
      <c r="AA200" s="8"/>
      <c r="AB200" s="10"/>
      <c r="AC200" s="10"/>
      <c r="AD200" s="10"/>
      <c r="AE200" s="11"/>
      <c r="AF200" s="11"/>
      <c r="AG200" s="11"/>
      <c r="AH200" s="11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36" customHeight="1" x14ac:dyDescent="0.25">
      <c r="A201" s="2"/>
      <c r="B201" s="2"/>
      <c r="C201" s="2" t="s">
        <v>814</v>
      </c>
      <c r="D201" s="2" t="s">
        <v>579</v>
      </c>
      <c r="E201" s="2" t="s">
        <v>431</v>
      </c>
      <c r="F201" s="2">
        <v>3024373286</v>
      </c>
      <c r="G201" s="3"/>
      <c r="H201" s="3"/>
      <c r="I201" s="3"/>
      <c r="J201" s="3"/>
      <c r="K201" s="4"/>
      <c r="L201" s="4"/>
      <c r="M201" s="4"/>
      <c r="N201" s="4"/>
      <c r="O201" s="5">
        <v>5000</v>
      </c>
      <c r="P201" s="5"/>
      <c r="Q201" s="5"/>
      <c r="R201" s="5"/>
      <c r="S201" s="18">
        <v>15000</v>
      </c>
      <c r="T201" s="19">
        <v>3000</v>
      </c>
      <c r="U201" s="19" t="s">
        <v>1174</v>
      </c>
      <c r="V201" s="7">
        <v>3000</v>
      </c>
      <c r="W201" s="7" t="s">
        <v>1668</v>
      </c>
      <c r="X201" s="19"/>
      <c r="Y201" s="19"/>
      <c r="Z201" s="8"/>
      <c r="AA201" s="8"/>
      <c r="AB201" s="10"/>
      <c r="AC201" s="10"/>
      <c r="AD201" s="10"/>
      <c r="AE201" s="11"/>
      <c r="AF201" s="11"/>
      <c r="AG201" s="11"/>
      <c r="AH201" s="11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36" customHeight="1" x14ac:dyDescent="0.25">
      <c r="A202" s="2"/>
      <c r="B202" s="2"/>
      <c r="C202" s="2" t="s">
        <v>815</v>
      </c>
      <c r="D202" s="2" t="s">
        <v>722</v>
      </c>
      <c r="E202" s="2" t="s">
        <v>431</v>
      </c>
      <c r="F202" s="2">
        <v>3037934922</v>
      </c>
      <c r="G202" s="3"/>
      <c r="H202" s="3"/>
      <c r="I202" s="3"/>
      <c r="J202" s="3"/>
      <c r="K202" s="4"/>
      <c r="L202" s="4"/>
      <c r="M202" s="4"/>
      <c r="N202" s="4"/>
      <c r="O202" s="5">
        <v>5000</v>
      </c>
      <c r="P202" s="5"/>
      <c r="Q202" s="5"/>
      <c r="R202" s="5"/>
      <c r="S202" s="18">
        <v>15000</v>
      </c>
      <c r="T202" s="19">
        <v>3000</v>
      </c>
      <c r="U202" s="19" t="s">
        <v>1175</v>
      </c>
      <c r="V202" s="7">
        <v>2000</v>
      </c>
      <c r="W202" s="7" t="s">
        <v>1744</v>
      </c>
      <c r="X202" s="19"/>
      <c r="Y202" s="19"/>
      <c r="Z202" s="8"/>
      <c r="AA202" s="8"/>
      <c r="AB202" s="10"/>
      <c r="AC202" s="10"/>
      <c r="AD202" s="10"/>
      <c r="AE202" s="11"/>
      <c r="AF202" s="11"/>
      <c r="AG202" s="11"/>
      <c r="AH202" s="11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36" customHeight="1" x14ac:dyDescent="0.25">
      <c r="A203" s="2"/>
      <c r="B203" s="2"/>
      <c r="C203" s="2" t="s">
        <v>816</v>
      </c>
      <c r="D203" s="2" t="s">
        <v>135</v>
      </c>
      <c r="E203" s="2" t="s">
        <v>431</v>
      </c>
      <c r="F203" s="2">
        <v>3459487542</v>
      </c>
      <c r="G203" s="3"/>
      <c r="H203" s="3"/>
      <c r="I203" s="3"/>
      <c r="J203" s="3"/>
      <c r="K203" s="4"/>
      <c r="L203" s="4"/>
      <c r="M203" s="4"/>
      <c r="N203" s="4"/>
      <c r="O203" s="5">
        <v>5000</v>
      </c>
      <c r="P203" s="5"/>
      <c r="Q203" s="5"/>
      <c r="R203" s="5"/>
      <c r="S203" s="18">
        <v>15000</v>
      </c>
      <c r="T203" s="19">
        <v>5000</v>
      </c>
      <c r="U203" s="19" t="s">
        <v>1167</v>
      </c>
      <c r="V203" s="7">
        <v>5000</v>
      </c>
      <c r="W203" s="7" t="s">
        <v>1422</v>
      </c>
      <c r="X203" s="19"/>
      <c r="Y203" s="19"/>
      <c r="Z203" s="8"/>
      <c r="AA203" s="8"/>
      <c r="AB203" s="10"/>
      <c r="AC203" s="10"/>
      <c r="AD203" s="10"/>
      <c r="AE203" s="11"/>
      <c r="AF203" s="11"/>
      <c r="AG203" s="11"/>
      <c r="AH203" s="11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36" customHeight="1" x14ac:dyDescent="0.25">
      <c r="A204" s="2"/>
      <c r="B204" s="2"/>
      <c r="C204" s="2" t="s">
        <v>566</v>
      </c>
      <c r="D204" s="2" t="s">
        <v>817</v>
      </c>
      <c r="E204" s="2" t="s">
        <v>431</v>
      </c>
      <c r="F204" s="2">
        <v>3056000386</v>
      </c>
      <c r="G204" s="3"/>
      <c r="H204" s="3"/>
      <c r="I204" s="3"/>
      <c r="J204" s="3"/>
      <c r="K204" s="4"/>
      <c r="L204" s="4"/>
      <c r="M204" s="4"/>
      <c r="N204" s="4"/>
      <c r="O204" s="5">
        <v>5000</v>
      </c>
      <c r="P204" s="5"/>
      <c r="Q204" s="5"/>
      <c r="R204" s="5"/>
      <c r="S204" s="18">
        <v>15000</v>
      </c>
      <c r="T204" s="19">
        <v>4000</v>
      </c>
      <c r="U204" s="19" t="s">
        <v>1162</v>
      </c>
      <c r="V204" s="7"/>
      <c r="W204" s="7"/>
      <c r="X204" s="19"/>
      <c r="Y204" s="19"/>
      <c r="Z204" s="8"/>
      <c r="AA204" s="8"/>
      <c r="AB204" s="10"/>
      <c r="AC204" s="10"/>
      <c r="AD204" s="10"/>
      <c r="AE204" s="11"/>
      <c r="AF204" s="11"/>
      <c r="AG204" s="11"/>
      <c r="AH204" s="11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36" customHeight="1" x14ac:dyDescent="0.25">
      <c r="A205" s="2"/>
      <c r="B205" s="2"/>
      <c r="C205" s="2" t="s">
        <v>818</v>
      </c>
      <c r="D205" s="2" t="s">
        <v>819</v>
      </c>
      <c r="E205" s="2" t="s">
        <v>431</v>
      </c>
      <c r="F205" s="2">
        <v>3063181088</v>
      </c>
      <c r="G205" s="3"/>
      <c r="H205" s="3"/>
      <c r="I205" s="3"/>
      <c r="J205" s="3"/>
      <c r="K205" s="4"/>
      <c r="L205" s="4"/>
      <c r="M205" s="4"/>
      <c r="N205" s="4"/>
      <c r="O205" s="5">
        <v>5000</v>
      </c>
      <c r="P205" s="5"/>
      <c r="Q205" s="5"/>
      <c r="R205" s="5"/>
      <c r="S205" s="18">
        <v>13000</v>
      </c>
      <c r="T205" s="19">
        <v>2000</v>
      </c>
      <c r="U205" s="19" t="s">
        <v>1165</v>
      </c>
      <c r="V205" s="7">
        <v>4000</v>
      </c>
      <c r="W205" s="7" t="s">
        <v>1308</v>
      </c>
      <c r="X205" s="19">
        <v>3000</v>
      </c>
      <c r="Y205" s="19" t="s">
        <v>1817</v>
      </c>
      <c r="Z205" s="8"/>
      <c r="AA205" s="8"/>
      <c r="AB205" s="10"/>
      <c r="AC205" s="10"/>
      <c r="AD205" s="10"/>
      <c r="AE205" s="11"/>
      <c r="AF205" s="11"/>
      <c r="AG205" s="11"/>
      <c r="AH205" s="11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36" customHeight="1" x14ac:dyDescent="0.25">
      <c r="A206" s="2"/>
      <c r="B206" s="2"/>
      <c r="C206" s="2" t="s">
        <v>820</v>
      </c>
      <c r="D206" s="2" t="s">
        <v>167</v>
      </c>
      <c r="E206" s="2" t="s">
        <v>431</v>
      </c>
      <c r="F206" s="2">
        <v>3016843186</v>
      </c>
      <c r="G206" s="3"/>
      <c r="H206" s="3"/>
      <c r="I206" s="3"/>
      <c r="J206" s="3"/>
      <c r="K206" s="4"/>
      <c r="L206" s="4"/>
      <c r="M206" s="4"/>
      <c r="N206" s="4"/>
      <c r="O206" s="5">
        <v>5000</v>
      </c>
      <c r="P206" s="5"/>
      <c r="Q206" s="5"/>
      <c r="R206" s="5"/>
      <c r="S206" s="18">
        <v>15000</v>
      </c>
      <c r="T206" s="19">
        <v>5000</v>
      </c>
      <c r="U206" s="19" t="s">
        <v>1186</v>
      </c>
      <c r="V206" s="7">
        <v>5000</v>
      </c>
      <c r="W206" s="7" t="s">
        <v>1521</v>
      </c>
      <c r="X206" s="19"/>
      <c r="Y206" s="19"/>
      <c r="Z206" s="8"/>
      <c r="AA206" s="8"/>
      <c r="AB206" s="10"/>
      <c r="AC206" s="10"/>
      <c r="AD206" s="10"/>
      <c r="AE206" s="11"/>
      <c r="AF206" s="11"/>
      <c r="AG206" s="11"/>
      <c r="AH206" s="11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36" customHeight="1" x14ac:dyDescent="0.25">
      <c r="A207" s="2"/>
      <c r="B207" s="2"/>
      <c r="C207" s="2" t="s">
        <v>393</v>
      </c>
      <c r="D207" s="2" t="s">
        <v>821</v>
      </c>
      <c r="E207" s="2" t="s">
        <v>431</v>
      </c>
      <c r="F207" s="2">
        <v>3023442565</v>
      </c>
      <c r="G207" s="3"/>
      <c r="H207" s="3"/>
      <c r="I207" s="3"/>
      <c r="J207" s="3"/>
      <c r="K207" s="4"/>
      <c r="L207" s="4"/>
      <c r="M207" s="4"/>
      <c r="N207" s="4"/>
      <c r="O207" s="5">
        <v>5000</v>
      </c>
      <c r="P207" s="5"/>
      <c r="Q207" s="5"/>
      <c r="R207" s="5"/>
      <c r="S207" s="18">
        <v>20000</v>
      </c>
      <c r="T207" s="19">
        <v>1000</v>
      </c>
      <c r="U207" s="19" t="s">
        <v>1206</v>
      </c>
      <c r="V207" s="7">
        <v>1000</v>
      </c>
      <c r="W207" s="7" t="s">
        <v>1414</v>
      </c>
      <c r="X207" s="19">
        <v>2000</v>
      </c>
      <c r="Y207" s="19" t="s">
        <v>1820</v>
      </c>
      <c r="Z207" s="8"/>
      <c r="AA207" s="8"/>
      <c r="AB207" s="10"/>
      <c r="AC207" s="10"/>
      <c r="AD207" s="10"/>
      <c r="AE207" s="11"/>
      <c r="AF207" s="11"/>
      <c r="AG207" s="11"/>
      <c r="AH207" s="11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36" customHeight="1" x14ac:dyDescent="0.25">
      <c r="A208" s="2"/>
      <c r="B208" s="2"/>
      <c r="C208" s="2" t="s">
        <v>822</v>
      </c>
      <c r="D208" s="2" t="s">
        <v>823</v>
      </c>
      <c r="E208" s="2" t="s">
        <v>431</v>
      </c>
      <c r="F208" s="2">
        <v>3406671123</v>
      </c>
      <c r="G208" s="3"/>
      <c r="H208" s="3"/>
      <c r="I208" s="3"/>
      <c r="J208" s="3"/>
      <c r="K208" s="4"/>
      <c r="L208" s="4"/>
      <c r="M208" s="4"/>
      <c r="N208" s="4"/>
      <c r="O208" s="5">
        <v>5000</v>
      </c>
      <c r="P208" s="5"/>
      <c r="Q208" s="5"/>
      <c r="R208" s="5"/>
      <c r="S208" s="18">
        <v>20000</v>
      </c>
      <c r="T208" s="19">
        <v>5000</v>
      </c>
      <c r="U208" s="19" t="s">
        <v>1203</v>
      </c>
      <c r="V208" s="7"/>
      <c r="W208" s="7"/>
      <c r="X208" s="19"/>
      <c r="Y208" s="19"/>
      <c r="Z208" s="8"/>
      <c r="AA208" s="8"/>
      <c r="AB208" s="10"/>
      <c r="AC208" s="10"/>
      <c r="AD208" s="10"/>
      <c r="AE208" s="11"/>
      <c r="AF208" s="11"/>
      <c r="AG208" s="11"/>
      <c r="AH208" s="11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36" customHeight="1" x14ac:dyDescent="0.25">
      <c r="A209" s="2"/>
      <c r="B209" s="2"/>
      <c r="C209" s="2" t="s">
        <v>824</v>
      </c>
      <c r="D209" s="2" t="s">
        <v>407</v>
      </c>
      <c r="E209" s="2" t="s">
        <v>431</v>
      </c>
      <c r="F209" s="2">
        <v>3047442587</v>
      </c>
      <c r="G209" s="3"/>
      <c r="H209" s="3"/>
      <c r="I209" s="3"/>
      <c r="J209" s="3"/>
      <c r="K209" s="4"/>
      <c r="L209" s="4"/>
      <c r="M209" s="4"/>
      <c r="N209" s="4"/>
      <c r="O209" s="5">
        <v>5000</v>
      </c>
      <c r="P209" s="5"/>
      <c r="Q209" s="5"/>
      <c r="R209" s="5"/>
      <c r="S209" s="18">
        <v>15000</v>
      </c>
      <c r="T209" s="19">
        <v>3500</v>
      </c>
      <c r="U209" s="19" t="s">
        <v>1242</v>
      </c>
      <c r="V209" s="7">
        <v>7000</v>
      </c>
      <c r="W209" s="7" t="s">
        <v>1810</v>
      </c>
      <c r="X209" s="19"/>
      <c r="Y209" s="19"/>
      <c r="Z209" s="8"/>
      <c r="AA209" s="8"/>
      <c r="AB209" s="10"/>
      <c r="AC209" s="10"/>
      <c r="AD209" s="10"/>
      <c r="AE209" s="11"/>
      <c r="AF209" s="11"/>
      <c r="AG209" s="11"/>
      <c r="AH209" s="11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36" customHeight="1" x14ac:dyDescent="0.25">
      <c r="A210" s="2"/>
      <c r="B210" s="2"/>
      <c r="C210" s="2" t="s">
        <v>257</v>
      </c>
      <c r="D210" s="2" t="s">
        <v>71</v>
      </c>
      <c r="E210" s="2" t="s">
        <v>431</v>
      </c>
      <c r="F210" s="2">
        <v>3078694376</v>
      </c>
      <c r="G210" s="3"/>
      <c r="H210" s="3"/>
      <c r="I210" s="3"/>
      <c r="J210" s="3"/>
      <c r="K210" s="4"/>
      <c r="L210" s="4"/>
      <c r="M210" s="4"/>
      <c r="N210" s="4"/>
      <c r="O210" s="5">
        <v>5000</v>
      </c>
      <c r="P210" s="5"/>
      <c r="Q210" s="5"/>
      <c r="R210" s="5"/>
      <c r="S210" s="18">
        <v>17000</v>
      </c>
      <c r="T210" s="19">
        <v>7000</v>
      </c>
      <c r="U210" s="19" t="s">
        <v>1252</v>
      </c>
      <c r="V210" s="7">
        <v>2000</v>
      </c>
      <c r="W210" s="7" t="s">
        <v>1703</v>
      </c>
      <c r="X210" s="19"/>
      <c r="Y210" s="19"/>
      <c r="Z210" s="8"/>
      <c r="AA210" s="8"/>
      <c r="AB210" s="10"/>
      <c r="AC210" s="10"/>
      <c r="AD210" s="10"/>
      <c r="AE210" s="11"/>
      <c r="AF210" s="11"/>
      <c r="AG210" s="11"/>
      <c r="AH210" s="11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36" customHeight="1" x14ac:dyDescent="0.25">
      <c r="A211" s="2"/>
      <c r="B211" s="2"/>
      <c r="C211" s="2" t="s">
        <v>825</v>
      </c>
      <c r="D211" s="2" t="s">
        <v>1260</v>
      </c>
      <c r="E211" s="2" t="s">
        <v>431</v>
      </c>
      <c r="F211" s="2">
        <v>3451055000</v>
      </c>
      <c r="G211" s="3"/>
      <c r="H211" s="3"/>
      <c r="I211" s="3"/>
      <c r="J211" s="3"/>
      <c r="K211" s="4"/>
      <c r="L211" s="4"/>
      <c r="M211" s="4"/>
      <c r="N211" s="4"/>
      <c r="O211" s="5">
        <v>5000</v>
      </c>
      <c r="P211" s="5"/>
      <c r="Q211" s="5"/>
      <c r="R211" s="5"/>
      <c r="S211" s="18">
        <v>20000</v>
      </c>
      <c r="T211" s="19">
        <v>5000</v>
      </c>
      <c r="U211" s="19" t="s">
        <v>1288</v>
      </c>
      <c r="V211" s="7">
        <v>10000</v>
      </c>
      <c r="W211" s="7" t="s">
        <v>1727</v>
      </c>
      <c r="X211" s="19"/>
      <c r="Y211" s="19"/>
      <c r="Z211" s="8"/>
      <c r="AA211" s="8"/>
      <c r="AB211" s="10"/>
      <c r="AC211" s="10"/>
      <c r="AD211" s="10"/>
      <c r="AE211" s="11"/>
      <c r="AF211" s="11"/>
      <c r="AG211" s="11"/>
      <c r="AH211" s="11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36" customHeight="1" x14ac:dyDescent="0.25">
      <c r="A212" s="2"/>
      <c r="B212" s="2"/>
      <c r="C212" s="2" t="s">
        <v>826</v>
      </c>
      <c r="D212" s="2" t="s">
        <v>153</v>
      </c>
      <c r="E212" s="2" t="s">
        <v>431</v>
      </c>
      <c r="F212" s="2">
        <v>3030715923</v>
      </c>
      <c r="G212" s="3"/>
      <c r="H212" s="3"/>
      <c r="I212" s="3"/>
      <c r="J212" s="3"/>
      <c r="K212" s="4"/>
      <c r="L212" s="4"/>
      <c r="M212" s="4"/>
      <c r="N212" s="4"/>
      <c r="O212" s="5">
        <v>5000</v>
      </c>
      <c r="P212" s="5"/>
      <c r="Q212" s="5"/>
      <c r="R212" s="5"/>
      <c r="S212" s="18">
        <v>5000</v>
      </c>
      <c r="T212" s="19">
        <v>2000</v>
      </c>
      <c r="U212" s="19" t="s">
        <v>1266</v>
      </c>
      <c r="V212" s="7">
        <v>2000</v>
      </c>
      <c r="W212" s="7" t="s">
        <v>1750</v>
      </c>
      <c r="X212" s="19"/>
      <c r="Y212" s="19"/>
      <c r="Z212" s="8"/>
      <c r="AA212" s="8"/>
      <c r="AB212" s="10"/>
      <c r="AC212" s="10"/>
      <c r="AD212" s="10"/>
      <c r="AE212" s="11"/>
      <c r="AF212" s="11"/>
      <c r="AG212" s="11"/>
      <c r="AH212" s="11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36" customHeight="1" x14ac:dyDescent="0.25">
      <c r="A213" s="2"/>
      <c r="B213" s="2"/>
      <c r="C213" s="2" t="s">
        <v>827</v>
      </c>
      <c r="D213" s="2" t="s">
        <v>576</v>
      </c>
      <c r="E213" s="2" t="s">
        <v>431</v>
      </c>
      <c r="F213" s="2">
        <v>3007184117</v>
      </c>
      <c r="G213" s="3"/>
      <c r="H213" s="3"/>
      <c r="I213" s="3"/>
      <c r="J213" s="3"/>
      <c r="K213" s="4"/>
      <c r="L213" s="4"/>
      <c r="M213" s="4"/>
      <c r="N213" s="4"/>
      <c r="O213" s="5">
        <v>5000</v>
      </c>
      <c r="P213" s="5"/>
      <c r="Q213" s="5"/>
      <c r="R213" s="5"/>
      <c r="S213" s="18">
        <v>20000</v>
      </c>
      <c r="T213" s="19">
        <v>5000</v>
      </c>
      <c r="U213" s="19" t="s">
        <v>1329</v>
      </c>
      <c r="V213" s="7"/>
      <c r="W213" s="7"/>
      <c r="X213" s="19"/>
      <c r="Y213" s="19"/>
      <c r="Z213" s="8"/>
      <c r="AA213" s="8"/>
      <c r="AB213" s="10"/>
      <c r="AC213" s="10"/>
      <c r="AD213" s="10"/>
      <c r="AE213" s="11"/>
      <c r="AF213" s="11"/>
      <c r="AG213" s="11"/>
      <c r="AH213" s="11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36" customHeight="1" x14ac:dyDescent="0.25">
      <c r="A214" s="2"/>
      <c r="B214" s="2"/>
      <c r="C214" s="2" t="s">
        <v>828</v>
      </c>
      <c r="D214" s="2" t="s">
        <v>829</v>
      </c>
      <c r="E214" s="2" t="s">
        <v>431</v>
      </c>
      <c r="F214" s="2">
        <v>3076550773</v>
      </c>
      <c r="G214" s="3"/>
      <c r="H214" s="3"/>
      <c r="I214" s="3"/>
      <c r="J214" s="3"/>
      <c r="K214" s="4"/>
      <c r="L214" s="4"/>
      <c r="M214" s="4"/>
      <c r="N214" s="4"/>
      <c r="O214" s="5">
        <v>5000</v>
      </c>
      <c r="P214" s="5"/>
      <c r="Q214" s="5"/>
      <c r="R214" s="5"/>
      <c r="S214" s="18">
        <v>25000</v>
      </c>
      <c r="T214" s="19">
        <v>5000</v>
      </c>
      <c r="U214" s="19" t="s">
        <v>1342</v>
      </c>
      <c r="V214" s="7">
        <v>5000</v>
      </c>
      <c r="W214" s="7" t="s">
        <v>1630</v>
      </c>
      <c r="X214" s="19"/>
      <c r="Y214" s="19"/>
      <c r="Z214" s="8"/>
      <c r="AA214" s="8"/>
      <c r="AB214" s="10"/>
      <c r="AC214" s="10"/>
      <c r="AD214" s="10"/>
      <c r="AE214" s="11"/>
      <c r="AF214" s="11"/>
      <c r="AG214" s="11"/>
      <c r="AH214" s="11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36" customHeight="1" x14ac:dyDescent="0.25">
      <c r="A215" s="2"/>
      <c r="B215" s="2"/>
      <c r="C215" s="2" t="s">
        <v>830</v>
      </c>
      <c r="D215" s="2" t="s">
        <v>257</v>
      </c>
      <c r="E215" s="2" t="s">
        <v>431</v>
      </c>
      <c r="F215" s="2">
        <v>3036794694</v>
      </c>
      <c r="G215" s="3"/>
      <c r="H215" s="3"/>
      <c r="I215" s="3"/>
      <c r="J215" s="3"/>
      <c r="K215" s="4"/>
      <c r="L215" s="4"/>
      <c r="M215" s="4"/>
      <c r="N215" s="4"/>
      <c r="O215" s="5">
        <v>5000</v>
      </c>
      <c r="P215" s="5"/>
      <c r="Q215" s="5"/>
      <c r="R215" s="5"/>
      <c r="S215" s="18">
        <v>15000</v>
      </c>
      <c r="T215" s="19">
        <v>5000</v>
      </c>
      <c r="U215" s="19" t="s">
        <v>1398</v>
      </c>
      <c r="V215" s="7"/>
      <c r="W215" s="7"/>
      <c r="X215" s="19"/>
      <c r="Y215" s="19"/>
      <c r="Z215" s="8"/>
      <c r="AA215" s="8"/>
      <c r="AB215" s="10"/>
      <c r="AC215" s="10"/>
      <c r="AD215" s="10"/>
      <c r="AE215" s="11"/>
      <c r="AF215" s="11"/>
      <c r="AG215" s="11"/>
      <c r="AH215" s="11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36" customHeight="1" x14ac:dyDescent="0.25">
      <c r="A216" s="2"/>
      <c r="B216" s="2"/>
      <c r="C216" s="2" t="s">
        <v>535</v>
      </c>
      <c r="D216" s="2" t="s">
        <v>831</v>
      </c>
      <c r="E216" s="2" t="s">
        <v>431</v>
      </c>
      <c r="F216" s="2">
        <v>3077378295</v>
      </c>
      <c r="G216" s="3"/>
      <c r="H216" s="3"/>
      <c r="I216" s="3"/>
      <c r="J216" s="3"/>
      <c r="K216" s="4"/>
      <c r="L216" s="4"/>
      <c r="M216" s="4"/>
      <c r="N216" s="4"/>
      <c r="O216" s="5">
        <v>5000</v>
      </c>
      <c r="P216" s="5"/>
      <c r="Q216" s="5"/>
      <c r="R216" s="5"/>
      <c r="S216" s="18">
        <v>20000</v>
      </c>
      <c r="T216" s="19">
        <v>3000</v>
      </c>
      <c r="U216" s="19" t="s">
        <v>1388</v>
      </c>
      <c r="V216" s="7">
        <v>15000</v>
      </c>
      <c r="W216" s="7" t="s">
        <v>1816</v>
      </c>
      <c r="X216" s="19"/>
      <c r="Y216" s="19"/>
      <c r="Z216" s="8"/>
      <c r="AA216" s="8"/>
      <c r="AB216" s="10"/>
      <c r="AC216" s="10"/>
      <c r="AD216" s="10"/>
      <c r="AE216" s="11"/>
      <c r="AF216" s="11"/>
      <c r="AG216" s="11"/>
      <c r="AH216" s="11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36" customHeight="1" x14ac:dyDescent="0.25">
      <c r="A217" s="2"/>
      <c r="B217" s="2"/>
      <c r="C217" s="2" t="s">
        <v>832</v>
      </c>
      <c r="D217" s="2" t="s">
        <v>833</v>
      </c>
      <c r="E217" s="2" t="s">
        <v>431</v>
      </c>
      <c r="F217" s="2">
        <v>3017789104</v>
      </c>
      <c r="G217" s="3"/>
      <c r="H217" s="3"/>
      <c r="I217" s="3"/>
      <c r="J217" s="3"/>
      <c r="K217" s="4"/>
      <c r="L217" s="4"/>
      <c r="M217" s="4"/>
      <c r="N217" s="4"/>
      <c r="O217" s="5">
        <v>5000</v>
      </c>
      <c r="P217" s="5"/>
      <c r="Q217" s="5"/>
      <c r="R217" s="5"/>
      <c r="S217" s="18">
        <v>15000</v>
      </c>
      <c r="T217" s="19">
        <v>5000</v>
      </c>
      <c r="U217" s="19" t="s">
        <v>1425</v>
      </c>
      <c r="V217" s="7"/>
      <c r="W217" s="7"/>
      <c r="X217" s="19"/>
      <c r="Y217" s="19"/>
      <c r="Z217" s="8"/>
      <c r="AA217" s="8"/>
      <c r="AB217" s="10"/>
      <c r="AC217" s="10"/>
      <c r="AD217" s="10"/>
      <c r="AE217" s="11"/>
      <c r="AF217" s="11"/>
      <c r="AG217" s="11"/>
      <c r="AH217" s="11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36" customHeight="1" x14ac:dyDescent="0.25">
      <c r="A218" s="2"/>
      <c r="B218" s="2"/>
      <c r="C218" s="2" t="s">
        <v>834</v>
      </c>
      <c r="D218" s="2" t="s">
        <v>84</v>
      </c>
      <c r="E218" s="2" t="s">
        <v>431</v>
      </c>
      <c r="F218" s="2">
        <v>3430837313</v>
      </c>
      <c r="G218" s="3"/>
      <c r="H218" s="3"/>
      <c r="I218" s="3"/>
      <c r="J218" s="3"/>
      <c r="K218" s="4"/>
      <c r="L218" s="4"/>
      <c r="M218" s="4"/>
      <c r="N218" s="4"/>
      <c r="O218" s="5">
        <v>5000</v>
      </c>
      <c r="P218" s="5"/>
      <c r="Q218" s="5"/>
      <c r="R218" s="5"/>
      <c r="S218" s="18">
        <v>18000</v>
      </c>
      <c r="T218" s="19">
        <v>5000</v>
      </c>
      <c r="U218" s="19" t="s">
        <v>1463</v>
      </c>
      <c r="V218" s="7"/>
      <c r="W218" s="7"/>
      <c r="X218" s="19"/>
      <c r="Y218" s="19"/>
      <c r="Z218" s="8"/>
      <c r="AA218" s="8"/>
      <c r="AB218" s="10"/>
      <c r="AC218" s="10"/>
      <c r="AD218" s="10"/>
      <c r="AE218" s="11"/>
      <c r="AF218" s="11"/>
      <c r="AG218" s="11"/>
      <c r="AH218" s="11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36" customHeight="1" x14ac:dyDescent="0.25">
      <c r="A219" s="2"/>
      <c r="B219" s="2"/>
      <c r="C219" s="2" t="s">
        <v>835</v>
      </c>
      <c r="D219" s="2" t="s">
        <v>1470</v>
      </c>
      <c r="E219" s="2" t="s">
        <v>431</v>
      </c>
      <c r="F219" s="2">
        <v>3018046733</v>
      </c>
      <c r="G219" s="3"/>
      <c r="H219" s="3"/>
      <c r="I219" s="3"/>
      <c r="J219" s="3"/>
      <c r="K219" s="4"/>
      <c r="L219" s="4"/>
      <c r="M219" s="4"/>
      <c r="N219" s="4"/>
      <c r="O219" s="5">
        <v>5000</v>
      </c>
      <c r="P219" s="5"/>
      <c r="Q219" s="5"/>
      <c r="R219" s="5"/>
      <c r="S219" s="18"/>
      <c r="T219" s="19">
        <v>5000</v>
      </c>
      <c r="U219" s="19" t="s">
        <v>1471</v>
      </c>
      <c r="V219" s="7"/>
      <c r="W219" s="7"/>
      <c r="X219" s="19"/>
      <c r="Y219" s="19"/>
      <c r="Z219" s="8"/>
      <c r="AA219" s="8"/>
      <c r="AB219" s="10"/>
      <c r="AC219" s="10"/>
      <c r="AD219" s="10"/>
      <c r="AE219" s="11"/>
      <c r="AF219" s="11"/>
      <c r="AG219" s="11"/>
      <c r="AH219" s="11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36" customHeight="1" x14ac:dyDescent="0.25">
      <c r="A220" s="2"/>
      <c r="B220" s="2"/>
      <c r="C220" s="2" t="s">
        <v>1500</v>
      </c>
      <c r="D220" s="2" t="s">
        <v>1501</v>
      </c>
      <c r="E220" s="2" t="s">
        <v>431</v>
      </c>
      <c r="F220" s="2">
        <v>3015383120</v>
      </c>
      <c r="G220" s="3"/>
      <c r="H220" s="3"/>
      <c r="I220" s="3"/>
      <c r="J220" s="3"/>
      <c r="K220" s="4"/>
      <c r="L220" s="4"/>
      <c r="M220" s="4"/>
      <c r="N220" s="4"/>
      <c r="O220" s="5">
        <v>5000</v>
      </c>
      <c r="P220" s="5"/>
      <c r="Q220" s="5"/>
      <c r="R220" s="5"/>
      <c r="S220" s="18">
        <v>16000</v>
      </c>
      <c r="T220" s="19">
        <v>5000</v>
      </c>
      <c r="U220" s="19" t="s">
        <v>1502</v>
      </c>
      <c r="V220" s="7"/>
      <c r="W220" s="7"/>
      <c r="X220" s="19"/>
      <c r="Y220" s="19"/>
      <c r="Z220" s="8"/>
      <c r="AA220" s="8"/>
      <c r="AB220" s="10"/>
      <c r="AC220" s="10"/>
      <c r="AD220" s="10"/>
      <c r="AE220" s="11"/>
      <c r="AF220" s="11"/>
      <c r="AG220" s="11"/>
      <c r="AH220" s="11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36" customHeight="1" x14ac:dyDescent="0.25">
      <c r="A221" s="2"/>
      <c r="B221" s="2"/>
      <c r="C221" s="2" t="s">
        <v>947</v>
      </c>
      <c r="D221" s="2" t="s">
        <v>42</v>
      </c>
      <c r="E221" s="2" t="s">
        <v>431</v>
      </c>
      <c r="F221" s="2">
        <v>3036742950</v>
      </c>
      <c r="G221" s="3"/>
      <c r="H221" s="3"/>
      <c r="I221" s="3"/>
      <c r="J221" s="3"/>
      <c r="K221" s="4"/>
      <c r="L221" s="4"/>
      <c r="M221" s="4"/>
      <c r="N221" s="4"/>
      <c r="O221" s="5">
        <v>5000</v>
      </c>
      <c r="P221" s="5"/>
      <c r="Q221" s="5">
        <v>5725</v>
      </c>
      <c r="R221" s="5"/>
      <c r="S221" s="18">
        <v>15000</v>
      </c>
      <c r="T221" s="19">
        <v>5000</v>
      </c>
      <c r="U221" s="19" t="s">
        <v>1812</v>
      </c>
      <c r="V221" s="7"/>
      <c r="W221" s="7"/>
      <c r="X221" s="19"/>
      <c r="Y221" s="19"/>
      <c r="Z221" s="8"/>
      <c r="AA221" s="8"/>
      <c r="AB221" s="10"/>
      <c r="AC221" s="10"/>
      <c r="AD221" s="10"/>
      <c r="AE221" s="11"/>
      <c r="AF221" s="11"/>
      <c r="AG221" s="11"/>
      <c r="AH221" s="11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36" customHeight="1" x14ac:dyDescent="0.25">
      <c r="A222" s="2"/>
      <c r="B222" s="2"/>
      <c r="C222" s="2" t="s">
        <v>836</v>
      </c>
      <c r="D222" s="2" t="s">
        <v>153</v>
      </c>
      <c r="E222" s="2" t="s">
        <v>431</v>
      </c>
      <c r="F222" s="2">
        <v>3039207071</v>
      </c>
      <c r="G222" s="3"/>
      <c r="H222" s="3"/>
      <c r="I222" s="3"/>
      <c r="J222" s="3"/>
      <c r="K222" s="4"/>
      <c r="L222" s="4"/>
      <c r="M222" s="4"/>
      <c r="N222" s="4"/>
      <c r="O222" s="5">
        <v>5000</v>
      </c>
      <c r="P222" s="5"/>
      <c r="Q222" s="5"/>
      <c r="R222" s="5"/>
      <c r="S222" s="18">
        <v>23000</v>
      </c>
      <c r="T222" s="19">
        <v>5000</v>
      </c>
      <c r="U222" s="19" t="s">
        <v>1627</v>
      </c>
      <c r="V222" s="7"/>
      <c r="W222" s="7"/>
      <c r="X222" s="19"/>
      <c r="Y222" s="19"/>
      <c r="Z222" s="8"/>
      <c r="AA222" s="8"/>
      <c r="AB222" s="10"/>
      <c r="AC222" s="10"/>
      <c r="AD222" s="10"/>
      <c r="AE222" s="11"/>
      <c r="AF222" s="11"/>
      <c r="AG222" s="11"/>
      <c r="AH222" s="11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36" customHeight="1" x14ac:dyDescent="0.25">
      <c r="A223" s="2"/>
      <c r="B223" s="2"/>
      <c r="C223" s="2" t="s">
        <v>837</v>
      </c>
      <c r="D223" s="2" t="s">
        <v>838</v>
      </c>
      <c r="E223" s="2" t="s">
        <v>496</v>
      </c>
      <c r="F223" s="2">
        <v>3004829870</v>
      </c>
      <c r="G223" s="3"/>
      <c r="H223" s="3"/>
      <c r="I223" s="3"/>
      <c r="J223" s="3"/>
      <c r="K223" s="4"/>
      <c r="L223" s="4"/>
      <c r="M223" s="4"/>
      <c r="N223" s="4"/>
      <c r="O223" s="5">
        <v>5000</v>
      </c>
      <c r="P223" s="5"/>
      <c r="Q223" s="5"/>
      <c r="R223" s="5"/>
      <c r="S223" s="18">
        <v>20000</v>
      </c>
      <c r="T223" s="19">
        <v>10000</v>
      </c>
      <c r="U223" s="19" t="s">
        <v>1042</v>
      </c>
      <c r="V223" s="7"/>
      <c r="W223" s="7"/>
      <c r="X223" s="19"/>
      <c r="Y223" s="19"/>
      <c r="Z223" s="8"/>
      <c r="AA223" s="8"/>
      <c r="AB223" s="10"/>
      <c r="AC223" s="10"/>
      <c r="AD223" s="10"/>
      <c r="AE223" s="11"/>
      <c r="AF223" s="11"/>
      <c r="AG223" s="11"/>
      <c r="AH223" s="11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36" customHeight="1" x14ac:dyDescent="0.25">
      <c r="A224" s="2"/>
      <c r="B224" s="2"/>
      <c r="C224" s="2" t="s">
        <v>946</v>
      </c>
      <c r="D224" s="2" t="s">
        <v>839</v>
      </c>
      <c r="E224" s="2" t="s">
        <v>496</v>
      </c>
      <c r="F224" s="2">
        <v>3047693139</v>
      </c>
      <c r="G224" s="3"/>
      <c r="H224" s="3"/>
      <c r="I224" s="3"/>
      <c r="J224" s="3"/>
      <c r="K224" s="4"/>
      <c r="L224" s="4"/>
      <c r="M224" s="4"/>
      <c r="N224" s="4"/>
      <c r="O224" s="5">
        <v>0</v>
      </c>
      <c r="P224" s="5">
        <v>0</v>
      </c>
      <c r="Q224" s="5"/>
      <c r="R224" s="5"/>
      <c r="S224" s="18">
        <v>18000</v>
      </c>
      <c r="T224" s="19">
        <v>5000</v>
      </c>
      <c r="U224" s="19" t="s">
        <v>999</v>
      </c>
      <c r="V224" s="7"/>
      <c r="W224" s="7"/>
      <c r="X224" s="19"/>
      <c r="Y224" s="19"/>
      <c r="Z224" s="8"/>
      <c r="AA224" s="8"/>
      <c r="AB224" s="10"/>
      <c r="AC224" s="10"/>
      <c r="AD224" s="10"/>
      <c r="AE224" s="11"/>
      <c r="AF224" s="11"/>
      <c r="AG224" s="11"/>
      <c r="AH224" s="11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36" customHeight="1" x14ac:dyDescent="0.25">
      <c r="A225" s="2"/>
      <c r="B225" s="2"/>
      <c r="C225" s="2" t="s">
        <v>944</v>
      </c>
      <c r="D225" s="2" t="s">
        <v>840</v>
      </c>
      <c r="E225" s="2" t="s">
        <v>496</v>
      </c>
      <c r="F225" s="2">
        <v>3047284295</v>
      </c>
      <c r="G225" s="3"/>
      <c r="H225" s="3"/>
      <c r="I225" s="3"/>
      <c r="J225" s="3"/>
      <c r="K225" s="4"/>
      <c r="L225" s="4"/>
      <c r="M225" s="4"/>
      <c r="N225" s="4"/>
      <c r="O225" s="5">
        <v>0</v>
      </c>
      <c r="P225" s="5">
        <v>0</v>
      </c>
      <c r="Q225" s="5"/>
      <c r="R225" s="5"/>
      <c r="S225" s="18">
        <v>12000</v>
      </c>
      <c r="T225" s="19">
        <v>4000</v>
      </c>
      <c r="U225" s="19" t="s">
        <v>987</v>
      </c>
      <c r="V225" s="7"/>
      <c r="W225" s="7"/>
      <c r="X225" s="19"/>
      <c r="Y225" s="19"/>
      <c r="Z225" s="8"/>
      <c r="AA225" s="8"/>
      <c r="AB225" s="10"/>
      <c r="AC225" s="10"/>
      <c r="AD225" s="10"/>
      <c r="AE225" s="11"/>
      <c r="AF225" s="11"/>
      <c r="AG225" s="11"/>
      <c r="AH225" s="11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36" customHeight="1" x14ac:dyDescent="0.25">
      <c r="A226" s="2"/>
      <c r="B226" s="2"/>
      <c r="C226" s="2" t="s">
        <v>841</v>
      </c>
      <c r="D226" s="2" t="s">
        <v>305</v>
      </c>
      <c r="E226" s="2" t="s">
        <v>496</v>
      </c>
      <c r="F226" s="2">
        <v>3007482864</v>
      </c>
      <c r="G226" s="3"/>
      <c r="H226" s="3"/>
      <c r="I226" s="3"/>
      <c r="J226" s="3"/>
      <c r="K226" s="4"/>
      <c r="L226" s="4"/>
      <c r="M226" s="4"/>
      <c r="N226" s="4"/>
      <c r="O226" s="5">
        <v>5000</v>
      </c>
      <c r="P226" s="5"/>
      <c r="Q226" s="5"/>
      <c r="R226" s="5"/>
      <c r="S226" s="18">
        <v>17000</v>
      </c>
      <c r="T226" s="19">
        <v>3000</v>
      </c>
      <c r="U226" s="19" t="s">
        <v>1285</v>
      </c>
      <c r="V226" s="7">
        <v>3000</v>
      </c>
      <c r="W226" s="7" t="s">
        <v>1669</v>
      </c>
      <c r="X226" s="19"/>
      <c r="Y226" s="19"/>
      <c r="Z226" s="8"/>
      <c r="AA226" s="8"/>
      <c r="AB226" s="10"/>
      <c r="AC226" s="10"/>
      <c r="AD226" s="10"/>
      <c r="AE226" s="11"/>
      <c r="AF226" s="11"/>
      <c r="AG226" s="11"/>
      <c r="AH226" s="11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36" customHeight="1" x14ac:dyDescent="0.25">
      <c r="A227" s="2"/>
      <c r="B227" s="2"/>
      <c r="C227" s="2" t="s">
        <v>842</v>
      </c>
      <c r="D227" s="2" t="s">
        <v>843</v>
      </c>
      <c r="E227" s="2" t="s">
        <v>496</v>
      </c>
      <c r="F227" s="2">
        <v>3017454335</v>
      </c>
      <c r="G227" s="3"/>
      <c r="H227" s="3"/>
      <c r="I227" s="3"/>
      <c r="J227" s="3"/>
      <c r="K227" s="4"/>
      <c r="L227" s="4"/>
      <c r="M227" s="4"/>
      <c r="N227" s="4"/>
      <c r="O227" s="5">
        <v>5000</v>
      </c>
      <c r="P227" s="5"/>
      <c r="Q227" s="5"/>
      <c r="R227" s="5"/>
      <c r="S227" s="18">
        <v>15000</v>
      </c>
      <c r="T227" s="19">
        <v>5000</v>
      </c>
      <c r="U227" s="19" t="s">
        <v>1064</v>
      </c>
      <c r="V227" s="7">
        <v>5000</v>
      </c>
      <c r="W227" s="7" t="s">
        <v>1666</v>
      </c>
      <c r="X227" s="19"/>
      <c r="Y227" s="19"/>
      <c r="Z227" s="8"/>
      <c r="AA227" s="8"/>
      <c r="AB227" s="10"/>
      <c r="AC227" s="10"/>
      <c r="AD227" s="10"/>
      <c r="AE227" s="11"/>
      <c r="AF227" s="11"/>
      <c r="AG227" s="11"/>
      <c r="AH227" s="11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36" customHeight="1" x14ac:dyDescent="0.25">
      <c r="A228" s="2"/>
      <c r="B228" s="2"/>
      <c r="C228" s="2" t="s">
        <v>844</v>
      </c>
      <c r="D228" s="2" t="s">
        <v>845</v>
      </c>
      <c r="E228" s="2" t="s">
        <v>496</v>
      </c>
      <c r="F228" s="2">
        <v>3074678359</v>
      </c>
      <c r="G228" s="3"/>
      <c r="H228" s="3"/>
      <c r="I228" s="3"/>
      <c r="J228" s="3"/>
      <c r="K228" s="4"/>
      <c r="L228" s="4"/>
      <c r="M228" s="4"/>
      <c r="N228" s="4"/>
      <c r="O228" s="5">
        <v>5000</v>
      </c>
      <c r="P228" s="5"/>
      <c r="Q228" s="5"/>
      <c r="R228" s="5"/>
      <c r="S228" s="18">
        <v>15000</v>
      </c>
      <c r="T228" s="19">
        <v>3000</v>
      </c>
      <c r="U228" s="19" t="s">
        <v>1048</v>
      </c>
      <c r="V228" s="7"/>
      <c r="W228" s="7"/>
      <c r="X228" s="19"/>
      <c r="Y228" s="19"/>
      <c r="Z228" s="8"/>
      <c r="AA228" s="8"/>
      <c r="AB228" s="10"/>
      <c r="AC228" s="10"/>
      <c r="AD228" s="10"/>
      <c r="AE228" s="11"/>
      <c r="AF228" s="11"/>
      <c r="AG228" s="11"/>
      <c r="AH228" s="11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36" customHeight="1" x14ac:dyDescent="0.25">
      <c r="A229" s="2"/>
      <c r="B229" s="2"/>
      <c r="C229" s="2" t="s">
        <v>846</v>
      </c>
      <c r="D229" s="2" t="s">
        <v>847</v>
      </c>
      <c r="E229" s="2" t="s">
        <v>496</v>
      </c>
      <c r="F229" s="2">
        <v>3357457097</v>
      </c>
      <c r="G229" s="3"/>
      <c r="H229" s="3"/>
      <c r="I229" s="3"/>
      <c r="J229" s="3"/>
      <c r="K229" s="4"/>
      <c r="L229" s="4"/>
      <c r="M229" s="4"/>
      <c r="N229" s="4"/>
      <c r="O229" s="5">
        <v>5000</v>
      </c>
      <c r="P229" s="5"/>
      <c r="Q229" s="5"/>
      <c r="R229" s="5"/>
      <c r="S229" s="18">
        <v>10000</v>
      </c>
      <c r="T229" s="19"/>
      <c r="U229" s="19"/>
      <c r="V229" s="7"/>
      <c r="W229" s="7"/>
      <c r="X229" s="19"/>
      <c r="Y229" s="19"/>
      <c r="Z229" s="8"/>
      <c r="AA229" s="8"/>
      <c r="AB229" s="10"/>
      <c r="AC229" s="10"/>
      <c r="AD229" s="10"/>
      <c r="AE229" s="11"/>
      <c r="AF229" s="11"/>
      <c r="AG229" s="11"/>
      <c r="AH229" s="11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36" customHeight="1" x14ac:dyDescent="0.25">
      <c r="A230" s="2"/>
      <c r="B230" s="2"/>
      <c r="C230" s="2" t="s">
        <v>369</v>
      </c>
      <c r="D230" s="2" t="s">
        <v>177</v>
      </c>
      <c r="E230" s="2" t="s">
        <v>496</v>
      </c>
      <c r="F230" s="2">
        <v>3047846477</v>
      </c>
      <c r="G230" s="3"/>
      <c r="H230" s="3"/>
      <c r="I230" s="3"/>
      <c r="J230" s="3"/>
      <c r="K230" s="4"/>
      <c r="L230" s="4"/>
      <c r="M230" s="4"/>
      <c r="N230" s="4"/>
      <c r="O230" s="5">
        <v>5000</v>
      </c>
      <c r="P230" s="5"/>
      <c r="Q230" s="5"/>
      <c r="R230" s="5"/>
      <c r="S230" s="18">
        <v>13000</v>
      </c>
      <c r="T230" s="19">
        <v>3000</v>
      </c>
      <c r="U230" s="19" t="s">
        <v>1215</v>
      </c>
      <c r="V230" s="7">
        <v>3000</v>
      </c>
      <c r="W230" s="7" t="s">
        <v>1790</v>
      </c>
      <c r="X230" s="19"/>
      <c r="Y230" s="19"/>
      <c r="Z230" s="8"/>
      <c r="AA230" s="8"/>
      <c r="AB230" s="10"/>
      <c r="AC230" s="10"/>
      <c r="AD230" s="10"/>
      <c r="AE230" s="11"/>
      <c r="AF230" s="11"/>
      <c r="AG230" s="11"/>
      <c r="AH230" s="11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36" customHeight="1" x14ac:dyDescent="0.25">
      <c r="A231" s="2"/>
      <c r="B231" s="2"/>
      <c r="C231" s="2" t="s">
        <v>520</v>
      </c>
      <c r="D231" s="2" t="s">
        <v>135</v>
      </c>
      <c r="E231" s="2" t="s">
        <v>496</v>
      </c>
      <c r="F231" s="2">
        <v>3064818840</v>
      </c>
      <c r="G231" s="3"/>
      <c r="H231" s="3"/>
      <c r="I231" s="3"/>
      <c r="J231" s="3"/>
      <c r="K231" s="4"/>
      <c r="L231" s="4"/>
      <c r="M231" s="4"/>
      <c r="N231" s="4"/>
      <c r="O231" s="5">
        <v>5000</v>
      </c>
      <c r="P231" s="5"/>
      <c r="Q231" s="5"/>
      <c r="R231" s="5"/>
      <c r="S231" s="18">
        <v>15000</v>
      </c>
      <c r="T231" s="19">
        <v>3000</v>
      </c>
      <c r="U231" s="19" t="s">
        <v>1038</v>
      </c>
      <c r="V231" s="7">
        <v>5000</v>
      </c>
      <c r="W231" s="7" t="s">
        <v>1711</v>
      </c>
      <c r="X231" s="19"/>
      <c r="Y231" s="19"/>
      <c r="Z231" s="8"/>
      <c r="AA231" s="8"/>
      <c r="AB231" s="10"/>
      <c r="AC231" s="10"/>
      <c r="AD231" s="10"/>
      <c r="AE231" s="11"/>
      <c r="AF231" s="11"/>
      <c r="AG231" s="11"/>
      <c r="AH231" s="11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36" customHeight="1" x14ac:dyDescent="0.25">
      <c r="A232" s="2"/>
      <c r="B232" s="2"/>
      <c r="C232" s="2" t="s">
        <v>848</v>
      </c>
      <c r="D232" s="2" t="s">
        <v>381</v>
      </c>
      <c r="E232" s="2" t="s">
        <v>496</v>
      </c>
      <c r="F232" s="2">
        <v>3058778182</v>
      </c>
      <c r="G232" s="3"/>
      <c r="H232" s="3"/>
      <c r="I232" s="3"/>
      <c r="J232" s="3"/>
      <c r="K232" s="4"/>
      <c r="L232" s="4"/>
      <c r="M232" s="4"/>
      <c r="N232" s="4"/>
      <c r="O232" s="5"/>
      <c r="P232" s="5"/>
      <c r="Q232" s="5"/>
      <c r="R232" s="5"/>
      <c r="S232" s="18"/>
      <c r="T232" s="19">
        <v>1000</v>
      </c>
      <c r="U232" s="19" t="s">
        <v>1118</v>
      </c>
      <c r="V232" s="7"/>
      <c r="W232" s="7"/>
      <c r="X232" s="19"/>
      <c r="Y232" s="19"/>
      <c r="Z232" s="8"/>
      <c r="AA232" s="8"/>
      <c r="AB232" s="10"/>
      <c r="AC232" s="10"/>
      <c r="AD232" s="10"/>
      <c r="AE232" s="11"/>
      <c r="AF232" s="11"/>
      <c r="AG232" s="11"/>
      <c r="AH232" s="11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36" customHeight="1" x14ac:dyDescent="0.25">
      <c r="A233" s="2"/>
      <c r="B233" s="2"/>
      <c r="C233" s="2" t="s">
        <v>945</v>
      </c>
      <c r="D233" s="2" t="s">
        <v>111</v>
      </c>
      <c r="E233" s="2" t="s">
        <v>496</v>
      </c>
      <c r="F233" s="2">
        <v>3017514609</v>
      </c>
      <c r="G233" s="3"/>
      <c r="H233" s="3"/>
      <c r="I233" s="3"/>
      <c r="J233" s="3"/>
      <c r="K233" s="4"/>
      <c r="L233" s="4"/>
      <c r="M233" s="4"/>
      <c r="N233" s="4"/>
      <c r="O233" s="5">
        <v>5000</v>
      </c>
      <c r="P233" s="5"/>
      <c r="Q233" s="5"/>
      <c r="R233" s="5"/>
      <c r="S233" s="18">
        <v>16000</v>
      </c>
      <c r="T233" s="19">
        <v>5000</v>
      </c>
      <c r="U233" s="19" t="s">
        <v>1261</v>
      </c>
      <c r="V233" s="7">
        <v>5000</v>
      </c>
      <c r="W233" s="7" t="s">
        <v>1676</v>
      </c>
      <c r="X233" s="19"/>
      <c r="Y233" s="19"/>
      <c r="Z233" s="8"/>
      <c r="AA233" s="8"/>
      <c r="AB233" s="10"/>
      <c r="AC233" s="10"/>
      <c r="AD233" s="10"/>
      <c r="AE233" s="11"/>
      <c r="AF233" s="11"/>
      <c r="AG233" s="11"/>
      <c r="AH233" s="11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36" customHeight="1" x14ac:dyDescent="0.25">
      <c r="A234" s="2"/>
      <c r="B234" s="2"/>
      <c r="C234" s="2" t="s">
        <v>849</v>
      </c>
      <c r="D234" s="2" t="s">
        <v>105</v>
      </c>
      <c r="E234" s="2" t="s">
        <v>496</v>
      </c>
      <c r="F234" s="2"/>
      <c r="G234" s="3"/>
      <c r="H234" s="3"/>
      <c r="I234" s="3"/>
      <c r="J234" s="3"/>
      <c r="K234" s="4"/>
      <c r="L234" s="4"/>
      <c r="M234" s="4"/>
      <c r="N234" s="4"/>
      <c r="O234" s="5">
        <v>5000</v>
      </c>
      <c r="P234" s="5"/>
      <c r="Q234" s="5"/>
      <c r="R234" s="5"/>
      <c r="S234" s="18">
        <v>10000</v>
      </c>
      <c r="T234" s="19">
        <v>5000</v>
      </c>
      <c r="U234" s="19" t="s">
        <v>943</v>
      </c>
      <c r="V234" s="7"/>
      <c r="W234" s="7"/>
      <c r="X234" s="19"/>
      <c r="Y234" s="19"/>
      <c r="Z234" s="8"/>
      <c r="AA234" s="8"/>
      <c r="AB234" s="10"/>
      <c r="AC234" s="10"/>
      <c r="AD234" s="10"/>
      <c r="AE234" s="11"/>
      <c r="AF234" s="11"/>
      <c r="AG234" s="11"/>
      <c r="AH234" s="11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36" customHeight="1" x14ac:dyDescent="0.25">
      <c r="A235" s="2"/>
      <c r="B235" s="2"/>
      <c r="C235" s="2" t="s">
        <v>850</v>
      </c>
      <c r="D235" s="2" t="s">
        <v>594</v>
      </c>
      <c r="E235" s="2" t="s">
        <v>496</v>
      </c>
      <c r="F235" s="2">
        <v>3062894628</v>
      </c>
      <c r="G235" s="3"/>
      <c r="H235" s="3"/>
      <c r="I235" s="3"/>
      <c r="J235" s="3"/>
      <c r="K235" s="4"/>
      <c r="L235" s="4"/>
      <c r="M235" s="4"/>
      <c r="N235" s="4"/>
      <c r="O235" s="5">
        <v>5000</v>
      </c>
      <c r="P235" s="5"/>
      <c r="Q235" s="5"/>
      <c r="R235" s="5"/>
      <c r="S235" s="18">
        <v>10000</v>
      </c>
      <c r="T235" s="19">
        <v>5000</v>
      </c>
      <c r="U235" s="19" t="s">
        <v>1337</v>
      </c>
      <c r="V235" s="7">
        <v>2000</v>
      </c>
      <c r="W235" s="7" t="s">
        <v>1659</v>
      </c>
      <c r="X235" s="19"/>
      <c r="Y235" s="19"/>
      <c r="Z235" s="8"/>
      <c r="AA235" s="8"/>
      <c r="AB235" s="10"/>
      <c r="AC235" s="10"/>
      <c r="AD235" s="10"/>
      <c r="AE235" s="11"/>
      <c r="AF235" s="11"/>
      <c r="AG235" s="11"/>
      <c r="AH235" s="11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36" customHeight="1" x14ac:dyDescent="0.25">
      <c r="A236" s="2"/>
      <c r="B236" s="2"/>
      <c r="C236" s="2" t="s">
        <v>851</v>
      </c>
      <c r="D236" s="2" t="s">
        <v>852</v>
      </c>
      <c r="E236" s="2" t="s">
        <v>496</v>
      </c>
      <c r="F236" s="2">
        <v>3006898061</v>
      </c>
      <c r="G236" s="3"/>
      <c r="H236" s="3"/>
      <c r="I236" s="3"/>
      <c r="J236" s="3"/>
      <c r="K236" s="4"/>
      <c r="L236" s="4"/>
      <c r="M236" s="4"/>
      <c r="N236" s="4"/>
      <c r="O236" s="5">
        <v>5000</v>
      </c>
      <c r="P236" s="5"/>
      <c r="Q236" s="5"/>
      <c r="R236" s="5"/>
      <c r="S236" s="18">
        <v>17000</v>
      </c>
      <c r="T236" s="19">
        <v>5000</v>
      </c>
      <c r="U236" s="19" t="s">
        <v>1345</v>
      </c>
      <c r="V236" s="7">
        <v>5000</v>
      </c>
      <c r="W236" s="7" t="s">
        <v>1571</v>
      </c>
      <c r="X236" s="19"/>
      <c r="Y236" s="19"/>
      <c r="Z236" s="8"/>
      <c r="AA236" s="8"/>
      <c r="AB236" s="10"/>
      <c r="AC236" s="10"/>
      <c r="AD236" s="10"/>
      <c r="AE236" s="11"/>
      <c r="AF236" s="11"/>
      <c r="AG236" s="11"/>
      <c r="AH236" s="11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36" customHeight="1" x14ac:dyDescent="0.25">
      <c r="A237" s="2"/>
      <c r="B237" s="2"/>
      <c r="C237" s="2" t="s">
        <v>853</v>
      </c>
      <c r="D237" s="2" t="s">
        <v>854</v>
      </c>
      <c r="E237" s="2" t="s">
        <v>496</v>
      </c>
      <c r="F237" s="2">
        <v>3013665819</v>
      </c>
      <c r="G237" s="3"/>
      <c r="H237" s="3"/>
      <c r="I237" s="3"/>
      <c r="J237" s="3"/>
      <c r="K237" s="4"/>
      <c r="L237" s="4"/>
      <c r="M237" s="4"/>
      <c r="N237" s="4"/>
      <c r="O237" s="5">
        <v>5000</v>
      </c>
      <c r="P237" s="5"/>
      <c r="Q237" s="5"/>
      <c r="R237" s="5"/>
      <c r="S237" s="18">
        <v>20000</v>
      </c>
      <c r="T237" s="19">
        <v>5000</v>
      </c>
      <c r="U237" s="19" t="s">
        <v>1350</v>
      </c>
      <c r="V237" s="7"/>
      <c r="W237" s="7"/>
      <c r="X237" s="19"/>
      <c r="Y237" s="19"/>
      <c r="Z237" s="8"/>
      <c r="AA237" s="8"/>
      <c r="AB237" s="10"/>
      <c r="AC237" s="10"/>
      <c r="AD237" s="10"/>
      <c r="AE237" s="11"/>
      <c r="AF237" s="11"/>
      <c r="AG237" s="11"/>
      <c r="AH237" s="11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36" customHeight="1" x14ac:dyDescent="0.25">
      <c r="A238" s="2"/>
      <c r="B238" s="2"/>
      <c r="C238" s="2" t="s">
        <v>855</v>
      </c>
      <c r="D238" s="2" t="s">
        <v>190</v>
      </c>
      <c r="E238" s="2" t="s">
        <v>496</v>
      </c>
      <c r="F238" s="2">
        <v>3075874531</v>
      </c>
      <c r="G238" s="3"/>
      <c r="H238" s="3"/>
      <c r="I238" s="3"/>
      <c r="J238" s="3"/>
      <c r="K238" s="4"/>
      <c r="L238" s="4"/>
      <c r="M238" s="4"/>
      <c r="N238" s="4"/>
      <c r="O238" s="5">
        <v>5000</v>
      </c>
      <c r="P238" s="5"/>
      <c r="Q238" s="5"/>
      <c r="R238" s="5"/>
      <c r="S238" s="18">
        <v>25000</v>
      </c>
      <c r="T238" s="19">
        <v>5000</v>
      </c>
      <c r="U238" s="19" t="s">
        <v>1488</v>
      </c>
      <c r="V238" s="7"/>
      <c r="W238" s="7"/>
      <c r="X238" s="19"/>
      <c r="Y238" s="19"/>
      <c r="Z238" s="8"/>
      <c r="AA238" s="8"/>
      <c r="AB238" s="10"/>
      <c r="AC238" s="10"/>
      <c r="AD238" s="10"/>
      <c r="AE238" s="11"/>
      <c r="AF238" s="11"/>
      <c r="AG238" s="11"/>
      <c r="AH238" s="11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36" customHeight="1" x14ac:dyDescent="0.25">
      <c r="A239" s="2"/>
      <c r="B239" s="2"/>
      <c r="C239" s="2" t="s">
        <v>856</v>
      </c>
      <c r="D239" s="2" t="s">
        <v>857</v>
      </c>
      <c r="E239" s="2" t="s">
        <v>496</v>
      </c>
      <c r="F239" s="2">
        <v>3337515114</v>
      </c>
      <c r="G239" s="3"/>
      <c r="H239" s="3"/>
      <c r="I239" s="3"/>
      <c r="J239" s="3"/>
      <c r="K239" s="4"/>
      <c r="L239" s="4"/>
      <c r="M239" s="4"/>
      <c r="N239" s="4"/>
      <c r="O239" s="5">
        <v>5000</v>
      </c>
      <c r="P239" s="5"/>
      <c r="Q239" s="5"/>
      <c r="R239" s="5"/>
      <c r="S239" s="18">
        <v>20000</v>
      </c>
      <c r="T239" s="19">
        <v>5000</v>
      </c>
      <c r="U239" s="19" t="s">
        <v>1135</v>
      </c>
      <c r="V239" s="7"/>
      <c r="W239" s="7"/>
      <c r="X239" s="19"/>
      <c r="Y239" s="19"/>
      <c r="Z239" s="8"/>
      <c r="AA239" s="8"/>
      <c r="AB239" s="10"/>
      <c r="AC239" s="10"/>
      <c r="AD239" s="10"/>
      <c r="AE239" s="11"/>
      <c r="AF239" s="11"/>
      <c r="AG239" s="11"/>
      <c r="AH239" s="11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36" customHeight="1" x14ac:dyDescent="0.25">
      <c r="A240" s="2"/>
      <c r="B240" s="2"/>
      <c r="C240" s="2" t="s">
        <v>858</v>
      </c>
      <c r="D240" s="2" t="s">
        <v>859</v>
      </c>
      <c r="E240" s="2" t="s">
        <v>496</v>
      </c>
      <c r="F240" s="2">
        <v>3036564043</v>
      </c>
      <c r="G240" s="3"/>
      <c r="H240" s="3"/>
      <c r="I240" s="3"/>
      <c r="J240" s="3"/>
      <c r="K240" s="4"/>
      <c r="L240" s="4"/>
      <c r="M240" s="4"/>
      <c r="N240" s="4"/>
      <c r="O240" s="5">
        <v>5000</v>
      </c>
      <c r="P240" s="5"/>
      <c r="Q240" s="5"/>
      <c r="R240" s="5"/>
      <c r="S240" s="18">
        <v>15000</v>
      </c>
      <c r="T240" s="19"/>
      <c r="U240" s="19"/>
      <c r="V240" s="7"/>
      <c r="W240" s="7"/>
      <c r="X240" s="19"/>
      <c r="Y240" s="19"/>
      <c r="Z240" s="8"/>
      <c r="AA240" s="8"/>
      <c r="AB240" s="10"/>
      <c r="AC240" s="10"/>
      <c r="AD240" s="10"/>
      <c r="AE240" s="11"/>
      <c r="AF240" s="11"/>
      <c r="AG240" s="11"/>
      <c r="AH240" s="11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36" customHeight="1" x14ac:dyDescent="0.25">
      <c r="A241" s="2"/>
      <c r="B241" s="2"/>
      <c r="C241" s="2" t="s">
        <v>860</v>
      </c>
      <c r="D241" s="2" t="s">
        <v>861</v>
      </c>
      <c r="E241" s="2" t="s">
        <v>496</v>
      </c>
      <c r="F241" s="2">
        <v>3017515247</v>
      </c>
      <c r="G241" s="3"/>
      <c r="H241" s="3"/>
      <c r="I241" s="3"/>
      <c r="J241" s="3"/>
      <c r="K241" s="4"/>
      <c r="L241" s="4"/>
      <c r="M241" s="4"/>
      <c r="N241" s="4"/>
      <c r="O241" s="5">
        <v>5000</v>
      </c>
      <c r="P241" s="5"/>
      <c r="Q241" s="5"/>
      <c r="R241" s="5"/>
      <c r="S241" s="18">
        <v>10000</v>
      </c>
      <c r="T241" s="19">
        <v>5000</v>
      </c>
      <c r="U241" s="19" t="s">
        <v>1386</v>
      </c>
      <c r="V241" s="7">
        <v>10000</v>
      </c>
      <c r="W241" s="7" t="s">
        <v>1532</v>
      </c>
      <c r="X241" s="19"/>
      <c r="Y241" s="19"/>
      <c r="Z241" s="8"/>
      <c r="AA241" s="8"/>
      <c r="AB241" s="10"/>
      <c r="AC241" s="10"/>
      <c r="AD241" s="10"/>
      <c r="AE241" s="11"/>
      <c r="AF241" s="11"/>
      <c r="AG241" s="11"/>
      <c r="AH241" s="11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36" customHeight="1" x14ac:dyDescent="0.25">
      <c r="A242" s="2"/>
      <c r="B242" s="2"/>
      <c r="C242" s="2" t="s">
        <v>862</v>
      </c>
      <c r="D242" s="2" t="s">
        <v>717</v>
      </c>
      <c r="E242" s="2" t="s">
        <v>496</v>
      </c>
      <c r="F242" s="2">
        <v>3069103052</v>
      </c>
      <c r="G242" s="3"/>
      <c r="H242" s="3"/>
      <c r="I242" s="3"/>
      <c r="J242" s="3"/>
      <c r="K242" s="4"/>
      <c r="L242" s="4"/>
      <c r="M242" s="4"/>
      <c r="N242" s="4"/>
      <c r="O242" s="5">
        <v>5000</v>
      </c>
      <c r="P242" s="5"/>
      <c r="Q242" s="5"/>
      <c r="R242" s="5"/>
      <c r="S242" s="18">
        <v>22000</v>
      </c>
      <c r="T242" s="19">
        <v>5000</v>
      </c>
      <c r="U242" s="19" t="s">
        <v>1385</v>
      </c>
      <c r="V242" s="7"/>
      <c r="W242" s="7"/>
      <c r="X242" s="19"/>
      <c r="Y242" s="19"/>
      <c r="Z242" s="8"/>
      <c r="AA242" s="8"/>
      <c r="AB242" s="10"/>
      <c r="AC242" s="10"/>
      <c r="AD242" s="10"/>
      <c r="AE242" s="11"/>
      <c r="AF242" s="11"/>
      <c r="AG242" s="11"/>
      <c r="AH242" s="11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36" customHeight="1" x14ac:dyDescent="0.25">
      <c r="A243" s="2"/>
      <c r="B243" s="2"/>
      <c r="C243" s="2" t="s">
        <v>842</v>
      </c>
      <c r="D243" s="2" t="s">
        <v>863</v>
      </c>
      <c r="E243" s="2" t="s">
        <v>496</v>
      </c>
      <c r="F243" s="2">
        <v>3337650515</v>
      </c>
      <c r="G243" s="3"/>
      <c r="H243" s="3"/>
      <c r="I243" s="3"/>
      <c r="J243" s="3"/>
      <c r="K243" s="4"/>
      <c r="L243" s="4"/>
      <c r="M243" s="4"/>
      <c r="N243" s="4"/>
      <c r="O243" s="5">
        <v>5000</v>
      </c>
      <c r="P243" s="5"/>
      <c r="Q243" s="5"/>
      <c r="R243" s="5"/>
      <c r="S243" s="18">
        <v>25000</v>
      </c>
      <c r="T243" s="19">
        <v>5000</v>
      </c>
      <c r="U243" s="19" t="s">
        <v>1427</v>
      </c>
      <c r="V243" s="7"/>
      <c r="W243" s="7"/>
      <c r="X243" s="19"/>
      <c r="Y243" s="19"/>
      <c r="Z243" s="8"/>
      <c r="AA243" s="8"/>
      <c r="AB243" s="10"/>
      <c r="AC243" s="10"/>
      <c r="AD243" s="10"/>
      <c r="AE243" s="11"/>
      <c r="AF243" s="11"/>
      <c r="AG243" s="11"/>
      <c r="AH243" s="11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36" customHeight="1" x14ac:dyDescent="0.25">
      <c r="A244" s="2"/>
      <c r="B244" s="2"/>
      <c r="C244" s="2" t="s">
        <v>864</v>
      </c>
      <c r="D244" s="2" t="s">
        <v>167</v>
      </c>
      <c r="E244" s="2" t="s">
        <v>496</v>
      </c>
      <c r="F244" s="2">
        <v>3048615684</v>
      </c>
      <c r="G244" s="3"/>
      <c r="H244" s="3"/>
      <c r="I244" s="3"/>
      <c r="J244" s="3"/>
      <c r="K244" s="4"/>
      <c r="L244" s="4"/>
      <c r="M244" s="4"/>
      <c r="N244" s="4"/>
      <c r="O244" s="5">
        <v>5000</v>
      </c>
      <c r="P244" s="5"/>
      <c r="Q244" s="5"/>
      <c r="R244" s="5"/>
      <c r="S244" s="18">
        <v>15000</v>
      </c>
      <c r="T244" s="19">
        <v>3000</v>
      </c>
      <c r="U244" s="19" t="s">
        <v>1359</v>
      </c>
      <c r="V244" s="7"/>
      <c r="W244" s="7"/>
      <c r="X244" s="19"/>
      <c r="Y244" s="19"/>
      <c r="Z244" s="8"/>
      <c r="AA244" s="8"/>
      <c r="AB244" s="10"/>
      <c r="AC244" s="10"/>
      <c r="AD244" s="10"/>
      <c r="AE244" s="11"/>
      <c r="AF244" s="11"/>
      <c r="AG244" s="11"/>
      <c r="AH244" s="11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36" customHeight="1" x14ac:dyDescent="0.25">
      <c r="A245" s="2"/>
      <c r="B245" s="2"/>
      <c r="C245" s="2" t="s">
        <v>865</v>
      </c>
      <c r="D245" s="2" t="s">
        <v>866</v>
      </c>
      <c r="E245" s="2" t="s">
        <v>496</v>
      </c>
      <c r="F245" s="2">
        <v>3088113403</v>
      </c>
      <c r="G245" s="3"/>
      <c r="H245" s="3"/>
      <c r="I245" s="3"/>
      <c r="J245" s="3"/>
      <c r="K245" s="4"/>
      <c r="L245" s="4"/>
      <c r="M245" s="4"/>
      <c r="N245" s="4"/>
      <c r="O245" s="5">
        <v>5000</v>
      </c>
      <c r="P245" s="5"/>
      <c r="Q245" s="5"/>
      <c r="R245" s="5"/>
      <c r="S245" s="18">
        <v>12000</v>
      </c>
      <c r="T245" s="19">
        <v>3000</v>
      </c>
      <c r="U245" s="19" t="s">
        <v>1370</v>
      </c>
      <c r="V245" s="7">
        <v>3000</v>
      </c>
      <c r="W245" s="7" t="s">
        <v>1833</v>
      </c>
      <c r="X245" s="19"/>
      <c r="Y245" s="19"/>
      <c r="Z245" s="8"/>
      <c r="AA245" s="8"/>
      <c r="AB245" s="10"/>
      <c r="AC245" s="10"/>
      <c r="AD245" s="10"/>
      <c r="AE245" s="11"/>
      <c r="AF245" s="11"/>
      <c r="AG245" s="11"/>
      <c r="AH245" s="11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36" customHeight="1" x14ac:dyDescent="0.25">
      <c r="A246" s="2"/>
      <c r="B246" s="2"/>
      <c r="C246" s="2" t="s">
        <v>867</v>
      </c>
      <c r="D246" s="2" t="s">
        <v>220</v>
      </c>
      <c r="E246" s="2" t="s">
        <v>496</v>
      </c>
      <c r="F246" s="2">
        <v>3017478510</v>
      </c>
      <c r="G246" s="3"/>
      <c r="H246" s="3"/>
      <c r="I246" s="3"/>
      <c r="J246" s="3"/>
      <c r="K246" s="4"/>
      <c r="L246" s="4"/>
      <c r="M246" s="4"/>
      <c r="N246" s="4"/>
      <c r="O246" s="5">
        <v>5000</v>
      </c>
      <c r="P246" s="5"/>
      <c r="Q246" s="5"/>
      <c r="R246" s="5"/>
      <c r="S246" s="18">
        <v>14000</v>
      </c>
      <c r="T246" s="19">
        <v>2000</v>
      </c>
      <c r="U246" s="19" t="s">
        <v>1469</v>
      </c>
      <c r="V246" s="7">
        <v>3000</v>
      </c>
      <c r="W246" s="7" t="s">
        <v>1822</v>
      </c>
      <c r="X246" s="19"/>
      <c r="Y246" s="19"/>
      <c r="Z246" s="8"/>
      <c r="AA246" s="8"/>
      <c r="AB246" s="10"/>
      <c r="AC246" s="10"/>
      <c r="AD246" s="10"/>
      <c r="AE246" s="11"/>
      <c r="AF246" s="11"/>
      <c r="AG246" s="11"/>
      <c r="AH246" s="11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36" customHeight="1" x14ac:dyDescent="0.25">
      <c r="A247" s="2"/>
      <c r="B247" s="2"/>
      <c r="C247" s="2" t="s">
        <v>812</v>
      </c>
      <c r="D247" s="2" t="s">
        <v>868</v>
      </c>
      <c r="E247" s="2" t="s">
        <v>496</v>
      </c>
      <c r="F247" s="2">
        <v>3052492167</v>
      </c>
      <c r="G247" s="3"/>
      <c r="H247" s="3"/>
      <c r="I247" s="3"/>
      <c r="J247" s="3"/>
      <c r="K247" s="4"/>
      <c r="L247" s="4"/>
      <c r="M247" s="4"/>
      <c r="N247" s="4"/>
      <c r="O247" s="5">
        <v>5000</v>
      </c>
      <c r="P247" s="5"/>
      <c r="Q247" s="5"/>
      <c r="R247" s="5"/>
      <c r="S247" s="18">
        <v>25000</v>
      </c>
      <c r="T247" s="19">
        <v>5000</v>
      </c>
      <c r="U247" s="19" t="s">
        <v>1453</v>
      </c>
      <c r="V247" s="7"/>
      <c r="W247" s="7"/>
      <c r="X247" s="19"/>
      <c r="Y247" s="19"/>
      <c r="Z247" s="8"/>
      <c r="AA247" s="8"/>
      <c r="AB247" s="10"/>
      <c r="AC247" s="10"/>
      <c r="AD247" s="10"/>
      <c r="AE247" s="11"/>
      <c r="AF247" s="11"/>
      <c r="AG247" s="11"/>
      <c r="AH247" s="11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36" customHeight="1" x14ac:dyDescent="0.25">
      <c r="A248" s="2"/>
      <c r="B248" s="2"/>
      <c r="C248" s="2" t="s">
        <v>869</v>
      </c>
      <c r="D248" s="2" t="s">
        <v>98</v>
      </c>
      <c r="E248" s="2" t="s">
        <v>496</v>
      </c>
      <c r="F248" s="2">
        <v>3039535112</v>
      </c>
      <c r="G248" s="3"/>
      <c r="H248" s="3"/>
      <c r="I248" s="3"/>
      <c r="J248" s="3"/>
      <c r="K248" s="4"/>
      <c r="L248" s="4"/>
      <c r="M248" s="4"/>
      <c r="N248" s="4"/>
      <c r="O248" s="5">
        <v>5000</v>
      </c>
      <c r="P248" s="5"/>
      <c r="Q248" s="5"/>
      <c r="R248" s="5"/>
      <c r="S248" s="18">
        <v>18000</v>
      </c>
      <c r="T248" s="19">
        <v>10000</v>
      </c>
      <c r="U248" s="19" t="s">
        <v>1481</v>
      </c>
      <c r="V248" s="7"/>
      <c r="W248" s="7"/>
      <c r="X248" s="19"/>
      <c r="Y248" s="19"/>
      <c r="Z248" s="8"/>
      <c r="AA248" s="8"/>
      <c r="AB248" s="10"/>
      <c r="AC248" s="10"/>
      <c r="AD248" s="10"/>
      <c r="AE248" s="11"/>
      <c r="AF248" s="11"/>
      <c r="AG248" s="11"/>
      <c r="AH248" s="11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36" customHeight="1" x14ac:dyDescent="0.25">
      <c r="A249" s="2"/>
      <c r="B249" s="2"/>
      <c r="C249" s="2" t="s">
        <v>870</v>
      </c>
      <c r="D249" s="2" t="s">
        <v>553</v>
      </c>
      <c r="E249" s="2" t="s">
        <v>496</v>
      </c>
      <c r="F249" s="2">
        <v>3003168335</v>
      </c>
      <c r="G249" s="3"/>
      <c r="H249" s="3"/>
      <c r="I249" s="3"/>
      <c r="J249" s="3"/>
      <c r="K249" s="4"/>
      <c r="L249" s="4"/>
      <c r="M249" s="4"/>
      <c r="N249" s="4"/>
      <c r="O249" s="5">
        <v>5000</v>
      </c>
      <c r="P249" s="5">
        <v>1000</v>
      </c>
      <c r="Q249" s="5" t="s">
        <v>1012</v>
      </c>
      <c r="R249" s="5"/>
      <c r="S249" s="18">
        <v>0</v>
      </c>
      <c r="T249" s="19">
        <v>0</v>
      </c>
      <c r="U249" s="19">
        <v>0</v>
      </c>
      <c r="V249" s="7"/>
      <c r="W249" s="7"/>
      <c r="X249" s="19"/>
      <c r="Y249" s="19"/>
      <c r="Z249" s="8"/>
      <c r="AA249" s="8"/>
      <c r="AB249" s="10"/>
      <c r="AC249" s="10"/>
      <c r="AD249" s="10"/>
      <c r="AE249" s="11"/>
      <c r="AF249" s="11"/>
      <c r="AG249" s="11"/>
      <c r="AH249" s="11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36" customHeight="1" x14ac:dyDescent="0.25">
      <c r="A250" s="2"/>
      <c r="B250" s="2"/>
      <c r="C250" s="2" t="s">
        <v>871</v>
      </c>
      <c r="D250" s="2" t="s">
        <v>502</v>
      </c>
      <c r="E250" s="2" t="s">
        <v>496</v>
      </c>
      <c r="F250" s="2">
        <v>3087828432</v>
      </c>
      <c r="G250" s="3"/>
      <c r="H250" s="3"/>
      <c r="I250" s="3"/>
      <c r="J250" s="3"/>
      <c r="K250" s="4"/>
      <c r="L250" s="4"/>
      <c r="M250" s="4"/>
      <c r="N250" s="4"/>
      <c r="O250" s="5">
        <v>5000</v>
      </c>
      <c r="P250" s="5"/>
      <c r="Q250" s="5"/>
      <c r="R250" s="5"/>
      <c r="S250" s="18">
        <v>20000</v>
      </c>
      <c r="T250" s="19">
        <v>5000</v>
      </c>
      <c r="U250" s="19" t="s">
        <v>1767</v>
      </c>
      <c r="V250" s="7"/>
      <c r="W250" s="7"/>
      <c r="X250" s="19"/>
      <c r="Y250" s="19"/>
      <c r="Z250" s="8"/>
      <c r="AA250" s="8"/>
      <c r="AB250" s="10"/>
      <c r="AC250" s="10"/>
      <c r="AD250" s="10"/>
      <c r="AE250" s="11"/>
      <c r="AF250" s="11"/>
      <c r="AG250" s="11"/>
      <c r="AH250" s="11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36" customHeight="1" x14ac:dyDescent="0.25">
      <c r="A251" s="2"/>
      <c r="B251" s="2"/>
      <c r="C251" s="2" t="s">
        <v>872</v>
      </c>
      <c r="D251" s="2" t="s">
        <v>873</v>
      </c>
      <c r="E251" s="2" t="s">
        <v>496</v>
      </c>
      <c r="F251" s="2">
        <v>3017596308</v>
      </c>
      <c r="G251" s="3"/>
      <c r="H251" s="3"/>
      <c r="I251" s="3"/>
      <c r="J251" s="3"/>
      <c r="K251" s="4"/>
      <c r="L251" s="4"/>
      <c r="M251" s="4"/>
      <c r="N251" s="4"/>
      <c r="O251" s="5">
        <v>5000</v>
      </c>
      <c r="P251" s="5"/>
      <c r="Q251" s="5"/>
      <c r="R251" s="5"/>
      <c r="S251" s="18">
        <v>20000</v>
      </c>
      <c r="T251" s="19">
        <v>5000</v>
      </c>
      <c r="U251" s="19" t="s">
        <v>1515</v>
      </c>
      <c r="V251" s="7">
        <v>5000</v>
      </c>
      <c r="W251" s="7" t="s">
        <v>1733</v>
      </c>
      <c r="X251" s="19"/>
      <c r="Y251" s="19"/>
      <c r="Z251" s="8"/>
      <c r="AA251" s="8"/>
      <c r="AB251" s="10"/>
      <c r="AC251" s="10"/>
      <c r="AD251" s="10"/>
      <c r="AE251" s="11"/>
      <c r="AF251" s="11"/>
      <c r="AG251" s="11"/>
      <c r="AH251" s="11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36" customHeight="1" x14ac:dyDescent="0.25">
      <c r="A252" s="2"/>
      <c r="B252" s="2"/>
      <c r="C252" s="2" t="s">
        <v>874</v>
      </c>
      <c r="D252" s="2" t="s">
        <v>71</v>
      </c>
      <c r="E252" s="2" t="s">
        <v>939</v>
      </c>
      <c r="F252" s="2">
        <v>3014545468</v>
      </c>
      <c r="G252" s="3"/>
      <c r="H252" s="3"/>
      <c r="I252" s="3"/>
      <c r="J252" s="3"/>
      <c r="K252" s="4"/>
      <c r="L252" s="4"/>
      <c r="M252" s="4"/>
      <c r="N252" s="4"/>
      <c r="O252" s="5">
        <v>0</v>
      </c>
      <c r="P252" s="5">
        <v>0</v>
      </c>
      <c r="Q252" s="5"/>
      <c r="R252" s="5"/>
      <c r="S252" s="18">
        <v>15000</v>
      </c>
      <c r="T252" s="19">
        <v>3000</v>
      </c>
      <c r="U252" s="19" t="s">
        <v>954</v>
      </c>
      <c r="V252" s="7">
        <v>2000</v>
      </c>
      <c r="W252" s="7" t="s">
        <v>1644</v>
      </c>
      <c r="X252" s="19"/>
      <c r="Y252" s="19"/>
      <c r="Z252" s="8"/>
      <c r="AA252" s="8"/>
      <c r="AB252" s="10"/>
      <c r="AC252" s="10"/>
      <c r="AD252" s="10"/>
      <c r="AE252" s="11"/>
      <c r="AF252" s="11"/>
      <c r="AG252" s="11"/>
      <c r="AH252" s="11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36" customHeight="1" x14ac:dyDescent="0.25">
      <c r="A253" s="2"/>
      <c r="B253" s="2"/>
      <c r="C253" s="2" t="s">
        <v>875</v>
      </c>
      <c r="D253" s="2" t="s">
        <v>876</v>
      </c>
      <c r="E253" s="2" t="s">
        <v>939</v>
      </c>
      <c r="F253" s="2">
        <v>3017489550</v>
      </c>
      <c r="G253" s="3"/>
      <c r="H253" s="3"/>
      <c r="I253" s="3"/>
      <c r="J253" s="3"/>
      <c r="K253" s="4"/>
      <c r="L253" s="4"/>
      <c r="M253" s="4"/>
      <c r="N253" s="4"/>
      <c r="O253" s="5">
        <v>5000</v>
      </c>
      <c r="P253" s="5"/>
      <c r="Q253" s="5"/>
      <c r="R253" s="5"/>
      <c r="S253" s="18">
        <v>15000</v>
      </c>
      <c r="T253" s="19">
        <v>5000</v>
      </c>
      <c r="U253" s="19" t="s">
        <v>1121</v>
      </c>
      <c r="V253" s="7"/>
      <c r="W253" s="7"/>
      <c r="X253" s="19"/>
      <c r="Y253" s="19"/>
      <c r="Z253" s="8"/>
      <c r="AA253" s="8"/>
      <c r="AB253" s="10"/>
      <c r="AC253" s="10"/>
      <c r="AD253" s="10"/>
      <c r="AE253" s="11"/>
      <c r="AF253" s="11"/>
      <c r="AG253" s="11"/>
      <c r="AH253" s="11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36" customHeight="1" x14ac:dyDescent="0.25">
      <c r="A254" s="2"/>
      <c r="B254" s="2"/>
      <c r="C254" s="2" t="s">
        <v>874</v>
      </c>
      <c r="D254" s="2" t="s">
        <v>628</v>
      </c>
      <c r="E254" s="2" t="s">
        <v>939</v>
      </c>
      <c r="F254" s="2">
        <v>3007192740</v>
      </c>
      <c r="G254" s="3"/>
      <c r="H254" s="3"/>
      <c r="I254" s="3"/>
      <c r="J254" s="3"/>
      <c r="K254" s="4"/>
      <c r="L254" s="4"/>
      <c r="M254" s="4"/>
      <c r="N254" s="4"/>
      <c r="O254" s="5">
        <v>0</v>
      </c>
      <c r="P254" s="5">
        <v>0</v>
      </c>
      <c r="Q254" s="5"/>
      <c r="R254" s="5"/>
      <c r="S254" s="18">
        <v>15000</v>
      </c>
      <c r="T254" s="19">
        <v>3000</v>
      </c>
      <c r="U254" s="19" t="s">
        <v>955</v>
      </c>
      <c r="V254" s="7">
        <v>4000</v>
      </c>
      <c r="W254" s="7" t="s">
        <v>1506</v>
      </c>
      <c r="X254" s="19"/>
      <c r="Y254" s="19"/>
      <c r="Z254" s="8"/>
      <c r="AA254" s="8"/>
      <c r="AB254" s="10"/>
      <c r="AC254" s="10"/>
      <c r="AD254" s="10"/>
      <c r="AE254" s="11"/>
      <c r="AF254" s="11"/>
      <c r="AG254" s="11"/>
      <c r="AH254" s="11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36" customHeight="1" x14ac:dyDescent="0.25">
      <c r="A255" s="2"/>
      <c r="B255" s="2"/>
      <c r="C255" s="2" t="s">
        <v>877</v>
      </c>
      <c r="D255" s="2" t="s">
        <v>878</v>
      </c>
      <c r="E255" s="2" t="s">
        <v>939</v>
      </c>
      <c r="F255" s="2">
        <v>3039383560</v>
      </c>
      <c r="G255" s="3"/>
      <c r="H255" s="3"/>
      <c r="I255" s="3"/>
      <c r="J255" s="3"/>
      <c r="K255" s="4"/>
      <c r="L255" s="4"/>
      <c r="M255" s="4"/>
      <c r="N255" s="4"/>
      <c r="O255" s="5">
        <v>5000</v>
      </c>
      <c r="P255" s="5"/>
      <c r="Q255" s="5"/>
      <c r="R255" s="5"/>
      <c r="S255" s="18">
        <v>15000</v>
      </c>
      <c r="T255" s="19">
        <v>2000</v>
      </c>
      <c r="U255" s="19" t="s">
        <v>1138</v>
      </c>
      <c r="V255" s="7">
        <v>2000</v>
      </c>
      <c r="W255" s="7" t="s">
        <v>1564</v>
      </c>
      <c r="X255" s="19"/>
      <c r="Y255" s="19"/>
      <c r="Z255" s="8"/>
      <c r="AA255" s="8"/>
      <c r="AB255" s="10"/>
      <c r="AC255" s="10"/>
      <c r="AD255" s="10"/>
      <c r="AE255" s="11"/>
      <c r="AF255" s="11"/>
      <c r="AG255" s="11"/>
      <c r="AH255" s="11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36" customHeight="1" x14ac:dyDescent="0.25">
      <c r="A256" s="2"/>
      <c r="B256" s="2"/>
      <c r="C256" s="2" t="s">
        <v>879</v>
      </c>
      <c r="D256" s="2" t="s">
        <v>722</v>
      </c>
      <c r="E256" s="2" t="s">
        <v>939</v>
      </c>
      <c r="F256" s="2">
        <v>3086062255</v>
      </c>
      <c r="G256" s="3"/>
      <c r="H256" s="3"/>
      <c r="I256" s="3"/>
      <c r="J256" s="3"/>
      <c r="K256" s="4"/>
      <c r="L256" s="4"/>
      <c r="M256" s="4"/>
      <c r="N256" s="4"/>
      <c r="O256" s="5">
        <v>0</v>
      </c>
      <c r="P256" s="5">
        <v>0</v>
      </c>
      <c r="Q256" s="5"/>
      <c r="R256" s="5"/>
      <c r="S256" s="18"/>
      <c r="T256" s="19">
        <v>3000</v>
      </c>
      <c r="U256" s="19" t="s">
        <v>1199</v>
      </c>
      <c r="V256" s="7"/>
      <c r="W256" s="7"/>
      <c r="X256" s="19"/>
      <c r="Y256" s="19"/>
      <c r="Z256" s="8"/>
      <c r="AA256" s="8"/>
      <c r="AB256" s="10"/>
      <c r="AC256" s="10"/>
      <c r="AD256" s="10"/>
      <c r="AE256" s="11"/>
      <c r="AF256" s="11"/>
      <c r="AG256" s="11"/>
      <c r="AH256" s="11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36" customHeight="1" x14ac:dyDescent="0.25">
      <c r="A257" s="2"/>
      <c r="B257" s="2"/>
      <c r="C257" s="2" t="s">
        <v>880</v>
      </c>
      <c r="D257" s="2" t="s">
        <v>881</v>
      </c>
      <c r="E257" s="2" t="s">
        <v>939</v>
      </c>
      <c r="F257" s="2">
        <v>3056576129</v>
      </c>
      <c r="G257" s="3"/>
      <c r="H257" s="3"/>
      <c r="I257" s="3"/>
      <c r="J257" s="3"/>
      <c r="K257" s="4"/>
      <c r="L257" s="4"/>
      <c r="M257" s="4"/>
      <c r="N257" s="4"/>
      <c r="O257" s="5">
        <v>0</v>
      </c>
      <c r="P257" s="5">
        <v>0</v>
      </c>
      <c r="Q257" s="5"/>
      <c r="R257" s="5"/>
      <c r="S257" s="18">
        <v>15000</v>
      </c>
      <c r="T257" s="19">
        <v>3000</v>
      </c>
      <c r="U257" s="19" t="s">
        <v>956</v>
      </c>
      <c r="V257" s="7">
        <v>4000</v>
      </c>
      <c r="W257" s="7" t="s">
        <v>1559</v>
      </c>
      <c r="X257" s="19"/>
      <c r="Y257" s="19"/>
      <c r="Z257" s="8"/>
      <c r="AA257" s="8"/>
      <c r="AB257" s="10"/>
      <c r="AC257" s="10"/>
      <c r="AD257" s="10"/>
      <c r="AE257" s="11"/>
      <c r="AF257" s="11"/>
      <c r="AG257" s="11"/>
      <c r="AH257" s="11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36" customHeight="1" x14ac:dyDescent="0.25">
      <c r="A258" s="2"/>
      <c r="B258" s="2"/>
      <c r="C258" s="2" t="s">
        <v>361</v>
      </c>
      <c r="D258" s="2" t="s">
        <v>882</v>
      </c>
      <c r="E258" s="2" t="s">
        <v>939</v>
      </c>
      <c r="F258" s="2">
        <v>3027820076</v>
      </c>
      <c r="G258" s="3"/>
      <c r="H258" s="3"/>
      <c r="I258" s="3"/>
      <c r="J258" s="3"/>
      <c r="K258" s="4"/>
      <c r="L258" s="4"/>
      <c r="M258" s="4"/>
      <c r="N258" s="4"/>
      <c r="O258" s="5">
        <v>5000</v>
      </c>
      <c r="P258" s="5"/>
      <c r="Q258" s="5"/>
      <c r="R258" s="5"/>
      <c r="S258" s="18">
        <v>15000</v>
      </c>
      <c r="T258" s="19">
        <v>2000</v>
      </c>
      <c r="U258" s="19" t="s">
        <v>1050</v>
      </c>
      <c r="V258" s="7">
        <v>2000</v>
      </c>
      <c r="W258" s="7" t="s">
        <v>1723</v>
      </c>
      <c r="X258" s="19"/>
      <c r="Y258" s="19"/>
      <c r="Z258" s="8"/>
      <c r="AA258" s="8"/>
      <c r="AB258" s="10"/>
      <c r="AC258" s="10"/>
      <c r="AD258" s="10"/>
      <c r="AE258" s="11"/>
      <c r="AF258" s="11"/>
      <c r="AG258" s="11"/>
      <c r="AH258" s="11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36" customHeight="1" x14ac:dyDescent="0.25">
      <c r="A259" s="2"/>
      <c r="B259" s="2"/>
      <c r="C259" s="2" t="s">
        <v>883</v>
      </c>
      <c r="D259" s="2" t="s">
        <v>884</v>
      </c>
      <c r="E259" s="2" t="s">
        <v>939</v>
      </c>
      <c r="F259" s="2">
        <v>3055481041</v>
      </c>
      <c r="G259" s="3"/>
      <c r="H259" s="3"/>
      <c r="I259" s="3"/>
      <c r="J259" s="3"/>
      <c r="K259" s="4"/>
      <c r="L259" s="4"/>
      <c r="M259" s="4"/>
      <c r="N259" s="4"/>
      <c r="O259" s="5">
        <v>0</v>
      </c>
      <c r="P259" s="5">
        <v>0</v>
      </c>
      <c r="Q259" s="5"/>
      <c r="R259" s="5"/>
      <c r="S259" s="18">
        <v>18000</v>
      </c>
      <c r="T259" s="19">
        <v>5000</v>
      </c>
      <c r="U259" s="19" t="s">
        <v>968</v>
      </c>
      <c r="V259" s="7">
        <v>5000</v>
      </c>
      <c r="W259" s="7" t="s">
        <v>1164</v>
      </c>
      <c r="X259" s="19"/>
      <c r="Y259" s="19"/>
      <c r="Z259" s="8"/>
      <c r="AA259" s="8"/>
      <c r="AB259" s="10"/>
      <c r="AC259" s="10"/>
      <c r="AD259" s="10"/>
      <c r="AE259" s="11"/>
      <c r="AF259" s="11"/>
      <c r="AG259" s="11"/>
      <c r="AH259" s="11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36" customHeight="1" x14ac:dyDescent="0.25">
      <c r="A260" s="2"/>
      <c r="B260" s="2"/>
      <c r="C260" s="2" t="s">
        <v>885</v>
      </c>
      <c r="D260" s="2" t="s">
        <v>886</v>
      </c>
      <c r="E260" s="2" t="s">
        <v>939</v>
      </c>
      <c r="F260" s="2">
        <v>3419694334</v>
      </c>
      <c r="G260" s="3"/>
      <c r="H260" s="3"/>
      <c r="I260" s="3"/>
      <c r="J260" s="3"/>
      <c r="K260" s="4"/>
      <c r="L260" s="4"/>
      <c r="M260" s="4"/>
      <c r="N260" s="4"/>
      <c r="O260" s="5">
        <v>5000</v>
      </c>
      <c r="P260" s="5"/>
      <c r="Q260" s="5"/>
      <c r="R260" s="5"/>
      <c r="S260" s="18">
        <v>12000</v>
      </c>
      <c r="T260" s="19">
        <v>3000</v>
      </c>
      <c r="U260" s="19" t="s">
        <v>1049</v>
      </c>
      <c r="V260" s="7">
        <v>3000</v>
      </c>
      <c r="W260" s="7" t="s">
        <v>1694</v>
      </c>
      <c r="X260" s="19"/>
      <c r="Y260" s="19"/>
      <c r="Z260" s="8"/>
      <c r="AA260" s="8"/>
      <c r="AB260" s="10"/>
      <c r="AC260" s="10"/>
      <c r="AD260" s="10"/>
      <c r="AE260" s="11"/>
      <c r="AF260" s="11"/>
      <c r="AG260" s="11"/>
      <c r="AH260" s="11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36" customHeight="1" x14ac:dyDescent="0.25">
      <c r="A261" s="2"/>
      <c r="B261" s="2"/>
      <c r="C261" s="2" t="s">
        <v>887</v>
      </c>
      <c r="D261" s="2" t="s">
        <v>888</v>
      </c>
      <c r="E261" s="2" t="s">
        <v>939</v>
      </c>
      <c r="F261" s="2">
        <v>3017766400</v>
      </c>
      <c r="G261" s="3"/>
      <c r="H261" s="3"/>
      <c r="I261" s="3"/>
      <c r="J261" s="3"/>
      <c r="K261" s="4"/>
      <c r="L261" s="4"/>
      <c r="M261" s="4"/>
      <c r="N261" s="4"/>
      <c r="O261" s="5">
        <v>0</v>
      </c>
      <c r="P261" s="5">
        <v>0</v>
      </c>
      <c r="Q261" s="5"/>
      <c r="R261" s="5"/>
      <c r="S261" s="18">
        <v>14000</v>
      </c>
      <c r="T261" s="19"/>
      <c r="U261" s="19"/>
      <c r="V261" s="7"/>
      <c r="W261" s="7"/>
      <c r="X261" s="19"/>
      <c r="Y261" s="19"/>
      <c r="Z261" s="8"/>
      <c r="AA261" s="8"/>
      <c r="AB261" s="10"/>
      <c r="AC261" s="10"/>
      <c r="AD261" s="10"/>
      <c r="AE261" s="11"/>
      <c r="AF261" s="11"/>
      <c r="AG261" s="11"/>
      <c r="AH261" s="11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36" customHeight="1" x14ac:dyDescent="0.25">
      <c r="A262" s="2"/>
      <c r="B262" s="2"/>
      <c r="C262" s="2" t="s">
        <v>889</v>
      </c>
      <c r="D262" s="2" t="s">
        <v>890</v>
      </c>
      <c r="E262" s="2" t="s">
        <v>939</v>
      </c>
      <c r="F262" s="2">
        <v>3057870118</v>
      </c>
      <c r="G262" s="3"/>
      <c r="H262" s="3"/>
      <c r="I262" s="3"/>
      <c r="J262" s="3"/>
      <c r="K262" s="4"/>
      <c r="L262" s="4"/>
      <c r="M262" s="4"/>
      <c r="N262" s="4"/>
      <c r="O262" s="5">
        <v>5000</v>
      </c>
      <c r="P262" s="5"/>
      <c r="Q262" s="5"/>
      <c r="R262" s="5"/>
      <c r="S262" s="18">
        <v>20000</v>
      </c>
      <c r="T262" s="19">
        <v>1000</v>
      </c>
      <c r="U262" s="19" t="s">
        <v>1103</v>
      </c>
      <c r="V262" s="7"/>
      <c r="W262" s="7"/>
      <c r="X262" s="19"/>
      <c r="Y262" s="19"/>
      <c r="Z262" s="8"/>
      <c r="AA262" s="8"/>
      <c r="AB262" s="10"/>
      <c r="AC262" s="10"/>
      <c r="AD262" s="10"/>
      <c r="AE262" s="11"/>
      <c r="AF262" s="11"/>
      <c r="AG262" s="11"/>
      <c r="AH262" s="11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36" customHeight="1" x14ac:dyDescent="0.25">
      <c r="A263" s="2"/>
      <c r="B263" s="2"/>
      <c r="C263" s="2" t="s">
        <v>891</v>
      </c>
      <c r="D263" s="2" t="s">
        <v>98</v>
      </c>
      <c r="E263" s="2" t="s">
        <v>939</v>
      </c>
      <c r="F263" s="2"/>
      <c r="G263" s="3"/>
      <c r="H263" s="3"/>
      <c r="I263" s="3"/>
      <c r="J263" s="3"/>
      <c r="K263" s="4"/>
      <c r="L263" s="4"/>
      <c r="M263" s="4"/>
      <c r="N263" s="4"/>
      <c r="O263" s="5">
        <v>0</v>
      </c>
      <c r="P263" s="5">
        <v>0</v>
      </c>
      <c r="Q263" s="5"/>
      <c r="R263" s="5"/>
      <c r="S263" s="18">
        <v>20000</v>
      </c>
      <c r="T263" s="19">
        <v>20000</v>
      </c>
      <c r="U263" s="19" t="s">
        <v>978</v>
      </c>
      <c r="V263" s="7"/>
      <c r="W263" s="7"/>
      <c r="X263" s="19"/>
      <c r="Y263" s="19"/>
      <c r="Z263" s="8"/>
      <c r="AA263" s="8"/>
      <c r="AB263" s="10"/>
      <c r="AC263" s="10"/>
      <c r="AD263" s="10"/>
      <c r="AE263" s="11"/>
      <c r="AF263" s="11"/>
      <c r="AG263" s="11"/>
      <c r="AH263" s="11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36" customHeight="1" x14ac:dyDescent="0.25">
      <c r="A264" s="2"/>
      <c r="B264" s="2"/>
      <c r="C264" s="2" t="s">
        <v>892</v>
      </c>
      <c r="D264" s="2" t="s">
        <v>369</v>
      </c>
      <c r="E264" s="2" t="s">
        <v>939</v>
      </c>
      <c r="F264" s="2">
        <v>3462831103</v>
      </c>
      <c r="G264" s="3"/>
      <c r="H264" s="3"/>
      <c r="I264" s="3"/>
      <c r="J264" s="3"/>
      <c r="K264" s="4"/>
      <c r="L264" s="4"/>
      <c r="M264" s="4"/>
      <c r="N264" s="4"/>
      <c r="O264" s="5">
        <v>0</v>
      </c>
      <c r="P264" s="5">
        <v>0</v>
      </c>
      <c r="Q264" s="5"/>
      <c r="R264" s="5"/>
      <c r="S264" s="18">
        <v>20000</v>
      </c>
      <c r="T264" s="19">
        <v>3000</v>
      </c>
      <c r="U264" s="19" t="s">
        <v>1074</v>
      </c>
      <c r="V264" s="7"/>
      <c r="W264" s="7"/>
      <c r="X264" s="19"/>
      <c r="Y264" s="19"/>
      <c r="Z264" s="8"/>
      <c r="AA264" s="8"/>
      <c r="AB264" s="10"/>
      <c r="AC264" s="10"/>
      <c r="AD264" s="10"/>
      <c r="AE264" s="11"/>
      <c r="AF264" s="11"/>
      <c r="AG264" s="11"/>
      <c r="AH264" s="11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36" customHeight="1" x14ac:dyDescent="0.25">
      <c r="A265" s="2"/>
      <c r="B265" s="2"/>
      <c r="C265" s="2" t="s">
        <v>893</v>
      </c>
      <c r="D265" s="2" t="s">
        <v>894</v>
      </c>
      <c r="E265" s="2" t="s">
        <v>939</v>
      </c>
      <c r="F265" s="2">
        <v>3066322384</v>
      </c>
      <c r="G265" s="3"/>
      <c r="H265" s="3"/>
      <c r="I265" s="3"/>
      <c r="J265" s="3"/>
      <c r="K265" s="4"/>
      <c r="L265" s="4"/>
      <c r="M265" s="4"/>
      <c r="N265" s="4"/>
      <c r="O265" s="5">
        <v>3000</v>
      </c>
      <c r="P265" s="5"/>
      <c r="Q265" s="5"/>
      <c r="R265" s="5"/>
      <c r="S265" s="18">
        <v>10000</v>
      </c>
      <c r="T265" s="19">
        <v>6000</v>
      </c>
      <c r="U265" s="19" t="s">
        <v>1034</v>
      </c>
      <c r="V265" s="7" t="s">
        <v>1037</v>
      </c>
      <c r="W265" s="7"/>
      <c r="X265" s="19"/>
      <c r="Y265" s="19"/>
      <c r="Z265" s="8"/>
      <c r="AA265" s="8"/>
      <c r="AB265" s="10"/>
      <c r="AC265" s="10"/>
      <c r="AD265" s="10"/>
      <c r="AE265" s="11"/>
      <c r="AF265" s="11"/>
      <c r="AG265" s="11"/>
      <c r="AH265" s="11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36" customHeight="1" x14ac:dyDescent="0.25">
      <c r="A266" s="2"/>
      <c r="B266" s="2"/>
      <c r="C266" s="2" t="s">
        <v>664</v>
      </c>
      <c r="D266" s="2" t="s">
        <v>586</v>
      </c>
      <c r="E266" s="2" t="s">
        <v>939</v>
      </c>
      <c r="F266" s="2">
        <v>3077269561</v>
      </c>
      <c r="G266" s="3"/>
      <c r="H266" s="3"/>
      <c r="I266" s="3"/>
      <c r="J266" s="3"/>
      <c r="K266" s="4"/>
      <c r="L266" s="4"/>
      <c r="M266" s="4"/>
      <c r="N266" s="4"/>
      <c r="O266" s="5">
        <v>5000</v>
      </c>
      <c r="P266" s="5"/>
      <c r="Q266" s="5"/>
      <c r="R266" s="5"/>
      <c r="S266" s="18">
        <v>15000</v>
      </c>
      <c r="T266" s="19">
        <v>5000</v>
      </c>
      <c r="U266" s="19" t="s">
        <v>1045</v>
      </c>
      <c r="V266" s="7">
        <v>4000</v>
      </c>
      <c r="W266" s="7" t="s">
        <v>1724</v>
      </c>
      <c r="X266" s="19"/>
      <c r="Y266" s="19"/>
      <c r="Z266" s="8"/>
      <c r="AA266" s="8"/>
      <c r="AB266" s="10"/>
      <c r="AC266" s="10"/>
      <c r="AD266" s="10"/>
      <c r="AE266" s="11"/>
      <c r="AF266" s="11"/>
      <c r="AG266" s="11"/>
      <c r="AH266" s="11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36" customHeight="1" x14ac:dyDescent="0.25">
      <c r="A267" s="2"/>
      <c r="B267" s="2"/>
      <c r="C267" s="2" t="s">
        <v>895</v>
      </c>
      <c r="D267" s="2" t="s">
        <v>403</v>
      </c>
      <c r="E267" s="2" t="s">
        <v>939</v>
      </c>
      <c r="F267" s="2">
        <v>3086973604</v>
      </c>
      <c r="G267" s="3"/>
      <c r="H267" s="3"/>
      <c r="I267" s="3"/>
      <c r="J267" s="3"/>
      <c r="K267" s="4"/>
      <c r="L267" s="4"/>
      <c r="M267" s="4"/>
      <c r="N267" s="4"/>
      <c r="O267" s="5">
        <v>5000</v>
      </c>
      <c r="P267" s="5"/>
      <c r="Q267" s="5"/>
      <c r="R267" s="5"/>
      <c r="S267" s="18">
        <v>15000</v>
      </c>
      <c r="T267" s="19">
        <v>5000</v>
      </c>
      <c r="U267" s="19" t="s">
        <v>1190</v>
      </c>
      <c r="V267" s="7">
        <v>5000</v>
      </c>
      <c r="W267" s="7" t="s">
        <v>1671</v>
      </c>
      <c r="X267" s="19"/>
      <c r="Y267" s="19"/>
      <c r="Z267" s="8"/>
      <c r="AA267" s="8"/>
      <c r="AB267" s="10"/>
      <c r="AC267" s="10"/>
      <c r="AD267" s="10"/>
      <c r="AE267" s="11"/>
      <c r="AF267" s="11"/>
      <c r="AG267" s="11"/>
      <c r="AH267" s="11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36" customHeight="1" x14ac:dyDescent="0.25">
      <c r="A268" s="2"/>
      <c r="B268" s="2"/>
      <c r="C268" s="2" t="s">
        <v>111</v>
      </c>
      <c r="D268" s="2" t="s">
        <v>42</v>
      </c>
      <c r="E268" s="2" t="s">
        <v>939</v>
      </c>
      <c r="F268" s="2">
        <v>3067238468</v>
      </c>
      <c r="G268" s="3"/>
      <c r="H268" s="3"/>
      <c r="I268" s="3"/>
      <c r="J268" s="3"/>
      <c r="K268" s="4"/>
      <c r="L268" s="4"/>
      <c r="M268" s="4"/>
      <c r="N268" s="4"/>
      <c r="O268" s="5">
        <v>5000</v>
      </c>
      <c r="P268" s="5"/>
      <c r="Q268" s="5"/>
      <c r="R268" s="5"/>
      <c r="S268" s="18">
        <v>8000</v>
      </c>
      <c r="T268" s="19">
        <v>4000</v>
      </c>
      <c r="U268" s="19" t="s">
        <v>1066</v>
      </c>
      <c r="V268" s="7"/>
      <c r="W268" s="7"/>
      <c r="X268" s="19"/>
      <c r="Y268" s="19"/>
      <c r="Z268" s="8"/>
      <c r="AA268" s="8"/>
      <c r="AB268" s="10"/>
      <c r="AC268" s="10"/>
      <c r="AD268" s="10"/>
      <c r="AE268" s="11"/>
      <c r="AF268" s="11"/>
      <c r="AG268" s="11"/>
      <c r="AH268" s="11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36" customHeight="1" x14ac:dyDescent="0.25">
      <c r="A269" s="2"/>
      <c r="B269" s="2"/>
      <c r="C269" s="2" t="s">
        <v>560</v>
      </c>
      <c r="D269" s="2" t="s">
        <v>523</v>
      </c>
      <c r="E269" s="2" t="s">
        <v>939</v>
      </c>
      <c r="F269" s="2">
        <v>3026565861</v>
      </c>
      <c r="G269" s="3"/>
      <c r="H269" s="3"/>
      <c r="I269" s="3"/>
      <c r="J269" s="3"/>
      <c r="K269" s="4"/>
      <c r="L269" s="4"/>
      <c r="M269" s="4"/>
      <c r="N269" s="4"/>
      <c r="O269" s="5">
        <v>5000</v>
      </c>
      <c r="P269" s="5"/>
      <c r="Q269" s="5"/>
      <c r="R269" s="5"/>
      <c r="S269" s="18">
        <v>15000</v>
      </c>
      <c r="T269" s="19">
        <v>3000</v>
      </c>
      <c r="U269" s="19" t="s">
        <v>1051</v>
      </c>
      <c r="V269" s="7">
        <v>3000</v>
      </c>
      <c r="W269" s="7" t="s">
        <v>1739</v>
      </c>
      <c r="X269" s="19"/>
      <c r="Y269" s="19"/>
      <c r="Z269" s="8"/>
      <c r="AA269" s="8"/>
      <c r="AB269" s="10"/>
      <c r="AC269" s="10"/>
      <c r="AD269" s="10"/>
      <c r="AE269" s="11"/>
      <c r="AF269" s="11"/>
      <c r="AG269" s="11"/>
      <c r="AH269" s="11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36" customHeight="1" x14ac:dyDescent="0.25">
      <c r="A270" s="2"/>
      <c r="B270" s="2"/>
      <c r="C270" s="2" t="s">
        <v>826</v>
      </c>
      <c r="D270" s="2" t="s">
        <v>167</v>
      </c>
      <c r="E270" s="2" t="s">
        <v>939</v>
      </c>
      <c r="F270" s="2">
        <v>3328258528</v>
      </c>
      <c r="G270" s="3"/>
      <c r="H270" s="3"/>
      <c r="I270" s="3"/>
      <c r="J270" s="3"/>
      <c r="K270" s="4"/>
      <c r="L270" s="4"/>
      <c r="M270" s="4"/>
      <c r="N270" s="4"/>
      <c r="O270" s="5">
        <v>5000</v>
      </c>
      <c r="P270" s="5"/>
      <c r="Q270" s="5"/>
      <c r="R270" s="5"/>
      <c r="S270" s="18">
        <v>15000</v>
      </c>
      <c r="T270" s="19">
        <v>5000</v>
      </c>
      <c r="U270" s="19" t="s">
        <v>1196</v>
      </c>
      <c r="V270" s="7">
        <v>3000</v>
      </c>
      <c r="W270" s="7" t="s">
        <v>1557</v>
      </c>
      <c r="X270" s="19"/>
      <c r="Y270" s="19"/>
      <c r="Z270" s="8"/>
      <c r="AA270" s="8"/>
      <c r="AB270" s="10"/>
      <c r="AC270" s="10"/>
      <c r="AD270" s="10"/>
      <c r="AE270" s="11"/>
      <c r="AF270" s="11"/>
      <c r="AG270" s="11"/>
      <c r="AH270" s="11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36" customHeight="1" x14ac:dyDescent="0.25">
      <c r="A271" s="2"/>
      <c r="B271" s="2"/>
      <c r="C271" s="2" t="s">
        <v>896</v>
      </c>
      <c r="D271" s="2" t="s">
        <v>313</v>
      </c>
      <c r="E271" s="2" t="s">
        <v>939</v>
      </c>
      <c r="F271" s="2">
        <v>3346813144</v>
      </c>
      <c r="G271" s="3"/>
      <c r="H271" s="3"/>
      <c r="I271" s="3"/>
      <c r="J271" s="3"/>
      <c r="K271" s="4"/>
      <c r="L271" s="4"/>
      <c r="M271" s="4"/>
      <c r="N271" s="4"/>
      <c r="O271" s="5"/>
      <c r="P271" s="5"/>
      <c r="Q271" s="5"/>
      <c r="R271" s="5"/>
      <c r="S271" s="18"/>
      <c r="T271" s="19">
        <v>4000</v>
      </c>
      <c r="U271" s="19" t="s">
        <v>1200</v>
      </c>
      <c r="V271" s="7"/>
      <c r="W271" s="7"/>
      <c r="X271" s="19"/>
      <c r="Y271" s="19"/>
      <c r="Z271" s="8"/>
      <c r="AA271" s="8"/>
      <c r="AB271" s="10"/>
      <c r="AC271" s="10"/>
      <c r="AD271" s="10"/>
      <c r="AE271" s="11"/>
      <c r="AF271" s="11"/>
      <c r="AG271" s="11"/>
      <c r="AH271" s="11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36" customHeight="1" x14ac:dyDescent="0.25">
      <c r="A272" s="2"/>
      <c r="B272" s="2"/>
      <c r="C272" s="2" t="s">
        <v>897</v>
      </c>
      <c r="D272" s="2" t="s">
        <v>52</v>
      </c>
      <c r="E272" s="2" t="s">
        <v>939</v>
      </c>
      <c r="F272" s="2">
        <v>3486468096</v>
      </c>
      <c r="G272" s="3"/>
      <c r="H272" s="3"/>
      <c r="I272" s="3"/>
      <c r="J272" s="3"/>
      <c r="K272" s="4"/>
      <c r="L272" s="4"/>
      <c r="M272" s="4"/>
      <c r="N272" s="4"/>
      <c r="O272" s="5">
        <v>5000</v>
      </c>
      <c r="P272" s="5"/>
      <c r="Q272" s="5"/>
      <c r="R272" s="5"/>
      <c r="S272" s="18">
        <v>15000</v>
      </c>
      <c r="T272" s="19">
        <v>3000</v>
      </c>
      <c r="U272" s="19" t="s">
        <v>1187</v>
      </c>
      <c r="V272" s="7">
        <v>3000</v>
      </c>
      <c r="W272" s="7" t="s">
        <v>1691</v>
      </c>
      <c r="X272" s="19"/>
      <c r="Y272" s="19"/>
      <c r="Z272" s="8"/>
      <c r="AA272" s="8"/>
      <c r="AB272" s="10"/>
      <c r="AC272" s="10"/>
      <c r="AD272" s="10"/>
      <c r="AE272" s="11"/>
      <c r="AF272" s="11"/>
      <c r="AG272" s="11"/>
      <c r="AH272" s="11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36" customHeight="1" x14ac:dyDescent="0.25">
      <c r="A273" s="2"/>
      <c r="B273" s="2"/>
      <c r="C273" s="2" t="s">
        <v>898</v>
      </c>
      <c r="D273" s="2" t="s">
        <v>899</v>
      </c>
      <c r="E273" s="2" t="s">
        <v>939</v>
      </c>
      <c r="F273" s="2">
        <v>3017602701</v>
      </c>
      <c r="G273" s="3"/>
      <c r="H273" s="3"/>
      <c r="I273" s="3"/>
      <c r="J273" s="3"/>
      <c r="K273" s="4"/>
      <c r="L273" s="4"/>
      <c r="M273" s="4"/>
      <c r="N273" s="4"/>
      <c r="O273" s="5">
        <v>0</v>
      </c>
      <c r="P273" s="5">
        <v>0</v>
      </c>
      <c r="Q273" s="5"/>
      <c r="R273" s="5"/>
      <c r="S273" s="18">
        <v>20000</v>
      </c>
      <c r="T273" s="19">
        <v>5000</v>
      </c>
      <c r="U273" s="19" t="s">
        <v>1225</v>
      </c>
      <c r="V273" s="7">
        <v>5000</v>
      </c>
      <c r="W273" s="7" t="s">
        <v>1563</v>
      </c>
      <c r="X273" s="19"/>
      <c r="Y273" s="19"/>
      <c r="Z273" s="8"/>
      <c r="AA273" s="8"/>
      <c r="AB273" s="10"/>
      <c r="AC273" s="10"/>
      <c r="AD273" s="10"/>
      <c r="AE273" s="11"/>
      <c r="AF273" s="11"/>
      <c r="AG273" s="11"/>
      <c r="AH273" s="11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36" customHeight="1" x14ac:dyDescent="0.25">
      <c r="A274" s="2"/>
      <c r="B274" s="2"/>
      <c r="C274" s="2" t="s">
        <v>900</v>
      </c>
      <c r="D274" s="2" t="s">
        <v>577</v>
      </c>
      <c r="E274" s="2" t="s">
        <v>939</v>
      </c>
      <c r="F274" s="2">
        <v>3454174542</v>
      </c>
      <c r="G274" s="3"/>
      <c r="H274" s="3"/>
      <c r="I274" s="3"/>
      <c r="J274" s="3"/>
      <c r="K274" s="4"/>
      <c r="L274" s="4"/>
      <c r="M274" s="4"/>
      <c r="N274" s="4"/>
      <c r="O274" s="5">
        <v>5000</v>
      </c>
      <c r="P274" s="5"/>
      <c r="Q274" s="5"/>
      <c r="R274" s="5"/>
      <c r="S274" s="18">
        <v>14000</v>
      </c>
      <c r="T274" s="19">
        <v>5000</v>
      </c>
      <c r="U274" s="19" t="s">
        <v>1188</v>
      </c>
      <c r="V274" s="7"/>
      <c r="W274" s="7"/>
      <c r="X274" s="19"/>
      <c r="Y274" s="19"/>
      <c r="Z274" s="8"/>
      <c r="AA274" s="8"/>
      <c r="AB274" s="10"/>
      <c r="AC274" s="10"/>
      <c r="AD274" s="10"/>
      <c r="AE274" s="11"/>
      <c r="AF274" s="11"/>
      <c r="AG274" s="11"/>
      <c r="AH274" s="11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36" customHeight="1" x14ac:dyDescent="0.25">
      <c r="A275" s="2"/>
      <c r="B275" s="2"/>
      <c r="C275" s="2" t="s">
        <v>542</v>
      </c>
      <c r="D275" s="2" t="s">
        <v>157</v>
      </c>
      <c r="E275" s="2" t="s">
        <v>939</v>
      </c>
      <c r="F275" s="2">
        <v>3057820131</v>
      </c>
      <c r="G275" s="3"/>
      <c r="H275" s="3"/>
      <c r="I275" s="3"/>
      <c r="J275" s="3"/>
      <c r="K275" s="4"/>
      <c r="L275" s="4"/>
      <c r="M275" s="4"/>
      <c r="N275" s="4"/>
      <c r="O275" s="5">
        <v>5000</v>
      </c>
      <c r="P275" s="5"/>
      <c r="Q275" s="5"/>
      <c r="R275" s="5"/>
      <c r="S275" s="18">
        <v>15000</v>
      </c>
      <c r="T275" s="19">
        <v>8000</v>
      </c>
      <c r="U275" s="19" t="s">
        <v>1332</v>
      </c>
      <c r="V275" s="7"/>
      <c r="W275" s="7"/>
      <c r="X275" s="19"/>
      <c r="Y275" s="19"/>
      <c r="Z275" s="8"/>
      <c r="AA275" s="8"/>
      <c r="AB275" s="10"/>
      <c r="AC275" s="10"/>
      <c r="AD275" s="10"/>
      <c r="AE275" s="11"/>
      <c r="AF275" s="11"/>
      <c r="AG275" s="11"/>
      <c r="AH275" s="11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45.75" customHeight="1" x14ac:dyDescent="0.25">
      <c r="A276" s="2"/>
      <c r="B276" s="2"/>
      <c r="C276" s="2" t="s">
        <v>901</v>
      </c>
      <c r="D276" s="2" t="s">
        <v>82</v>
      </c>
      <c r="E276" s="2" t="s">
        <v>939</v>
      </c>
      <c r="F276" s="2">
        <v>3007190963</v>
      </c>
      <c r="G276" s="3"/>
      <c r="H276" s="3"/>
      <c r="I276" s="3"/>
      <c r="J276" s="3"/>
      <c r="K276" s="4"/>
      <c r="L276" s="4"/>
      <c r="M276" s="4"/>
      <c r="N276" s="4"/>
      <c r="O276" s="5">
        <v>5000</v>
      </c>
      <c r="P276" s="5">
        <v>2000</v>
      </c>
      <c r="Q276" s="5" t="s">
        <v>1766</v>
      </c>
      <c r="R276" s="5"/>
      <c r="S276" s="18">
        <v>0</v>
      </c>
      <c r="T276" s="19">
        <v>0</v>
      </c>
      <c r="U276" s="19">
        <v>0</v>
      </c>
      <c r="V276" s="7"/>
      <c r="W276" s="7"/>
      <c r="X276" s="19"/>
      <c r="Y276" s="19"/>
      <c r="Z276" s="8"/>
      <c r="AA276" s="8"/>
      <c r="AB276" s="10"/>
      <c r="AC276" s="10"/>
      <c r="AD276" s="10"/>
      <c r="AE276" s="11"/>
      <c r="AF276" s="11"/>
      <c r="AG276" s="11"/>
      <c r="AH276" s="11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36" customHeight="1" x14ac:dyDescent="0.25">
      <c r="A277" s="2"/>
      <c r="B277" s="2"/>
      <c r="C277" s="2" t="s">
        <v>902</v>
      </c>
      <c r="D277" s="2" t="s">
        <v>305</v>
      </c>
      <c r="E277" s="2" t="s">
        <v>939</v>
      </c>
      <c r="F277" s="2"/>
      <c r="G277" s="3"/>
      <c r="H277" s="3"/>
      <c r="I277" s="3"/>
      <c r="J277" s="3"/>
      <c r="K277" s="4"/>
      <c r="L277" s="4"/>
      <c r="M277" s="4"/>
      <c r="N277" s="4"/>
      <c r="O277" s="5"/>
      <c r="P277" s="5"/>
      <c r="Q277" s="5"/>
      <c r="R277" s="5"/>
      <c r="S277" s="18"/>
      <c r="T277" s="19"/>
      <c r="U277" s="19"/>
      <c r="V277" s="7"/>
      <c r="W277" s="7"/>
      <c r="X277" s="19"/>
      <c r="Y277" s="19"/>
      <c r="Z277" s="8"/>
      <c r="AA277" s="8"/>
      <c r="AB277" s="10"/>
      <c r="AC277" s="10"/>
      <c r="AD277" s="10"/>
      <c r="AE277" s="11"/>
      <c r="AF277" s="11"/>
      <c r="AG277" s="11"/>
      <c r="AH277" s="11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36" customHeight="1" x14ac:dyDescent="0.25">
      <c r="A278" s="2"/>
      <c r="B278" s="2"/>
      <c r="C278" s="2" t="s">
        <v>903</v>
      </c>
      <c r="D278" s="2" t="s">
        <v>904</v>
      </c>
      <c r="E278" s="2" t="s">
        <v>939</v>
      </c>
      <c r="F278" s="2">
        <v>3450232816</v>
      </c>
      <c r="G278" s="3"/>
      <c r="H278" s="3"/>
      <c r="I278" s="3"/>
      <c r="J278" s="3"/>
      <c r="K278" s="4"/>
      <c r="L278" s="4"/>
      <c r="M278" s="4"/>
      <c r="N278" s="4"/>
      <c r="O278" s="5">
        <v>5000</v>
      </c>
      <c r="P278" s="5"/>
      <c r="Q278" s="5"/>
      <c r="R278" s="5"/>
      <c r="S278" s="18">
        <v>12000</v>
      </c>
      <c r="T278" s="19">
        <v>3000</v>
      </c>
      <c r="U278" s="19" t="s">
        <v>1229</v>
      </c>
      <c r="V278" s="7"/>
      <c r="W278" s="7"/>
      <c r="X278" s="19"/>
      <c r="Y278" s="19"/>
      <c r="Z278" s="8"/>
      <c r="AA278" s="8"/>
      <c r="AB278" s="10"/>
      <c r="AC278" s="10"/>
      <c r="AD278" s="10"/>
      <c r="AE278" s="11"/>
      <c r="AF278" s="11"/>
      <c r="AG278" s="11"/>
      <c r="AH278" s="11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36" customHeight="1" x14ac:dyDescent="0.25">
      <c r="A279" s="2"/>
      <c r="B279" s="2"/>
      <c r="C279" s="2" t="s">
        <v>905</v>
      </c>
      <c r="D279" s="2" t="s">
        <v>906</v>
      </c>
      <c r="E279" s="2" t="s">
        <v>939</v>
      </c>
      <c r="F279" s="2"/>
      <c r="G279" s="3"/>
      <c r="H279" s="3"/>
      <c r="I279" s="3"/>
      <c r="J279" s="3"/>
      <c r="K279" s="4"/>
      <c r="L279" s="4"/>
      <c r="M279" s="4"/>
      <c r="N279" s="4"/>
      <c r="O279" s="5">
        <v>5000</v>
      </c>
      <c r="P279" s="5"/>
      <c r="Q279" s="5"/>
      <c r="R279" s="5"/>
      <c r="S279" s="18">
        <v>20000</v>
      </c>
      <c r="T279" s="19">
        <v>5000</v>
      </c>
      <c r="U279" s="19" t="s">
        <v>1286</v>
      </c>
      <c r="V279" s="7"/>
      <c r="W279" s="7"/>
      <c r="X279" s="19"/>
      <c r="Y279" s="19"/>
      <c r="Z279" s="8"/>
      <c r="AA279" s="8"/>
      <c r="AB279" s="10"/>
      <c r="AC279" s="10"/>
      <c r="AD279" s="10"/>
      <c r="AE279" s="11"/>
      <c r="AF279" s="11"/>
      <c r="AG279" s="11"/>
      <c r="AH279" s="11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36" customHeight="1" x14ac:dyDescent="0.25">
      <c r="A280" s="2"/>
      <c r="B280" s="2"/>
      <c r="C280" s="2" t="s">
        <v>907</v>
      </c>
      <c r="D280" s="2" t="s">
        <v>1184</v>
      </c>
      <c r="E280" s="2" t="s">
        <v>939</v>
      </c>
      <c r="F280" s="2">
        <v>3006106438</v>
      </c>
      <c r="G280" s="3"/>
      <c r="H280" s="3"/>
      <c r="I280" s="3"/>
      <c r="J280" s="3"/>
      <c r="K280" s="4"/>
      <c r="L280" s="4"/>
      <c r="M280" s="4"/>
      <c r="N280" s="4"/>
      <c r="O280" s="5">
        <v>5000</v>
      </c>
      <c r="P280" s="5"/>
      <c r="Q280" s="5"/>
      <c r="R280" s="5"/>
      <c r="S280" s="18">
        <v>15000</v>
      </c>
      <c r="T280" s="19">
        <v>3000</v>
      </c>
      <c r="U280" s="19" t="s">
        <v>1185</v>
      </c>
      <c r="V280" s="7"/>
      <c r="W280" s="7"/>
      <c r="X280" s="19"/>
      <c r="Y280" s="19"/>
      <c r="Z280" s="8"/>
      <c r="AA280" s="8"/>
      <c r="AB280" s="10"/>
      <c r="AC280" s="10"/>
      <c r="AD280" s="10"/>
      <c r="AE280" s="11"/>
      <c r="AF280" s="11"/>
      <c r="AG280" s="11"/>
      <c r="AH280" s="11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36" customHeight="1" x14ac:dyDescent="0.25">
      <c r="A281" s="2"/>
      <c r="B281" s="2"/>
      <c r="C281" s="2" t="s">
        <v>908</v>
      </c>
      <c r="D281" s="2" t="s">
        <v>909</v>
      </c>
      <c r="E281" s="2" t="s">
        <v>939</v>
      </c>
      <c r="F281" s="2">
        <v>3086969040</v>
      </c>
      <c r="G281" s="3"/>
      <c r="H281" s="3"/>
      <c r="I281" s="3"/>
      <c r="J281" s="3"/>
      <c r="K281" s="4"/>
      <c r="L281" s="4"/>
      <c r="M281" s="4"/>
      <c r="N281" s="4"/>
      <c r="O281" s="5">
        <v>5000</v>
      </c>
      <c r="P281" s="5"/>
      <c r="Q281" s="5"/>
      <c r="R281" s="5"/>
      <c r="S281" s="18">
        <v>10000</v>
      </c>
      <c r="T281" s="19">
        <v>4000</v>
      </c>
      <c r="U281" s="19" t="s">
        <v>1069</v>
      </c>
      <c r="V281" s="7"/>
      <c r="W281" s="7"/>
      <c r="X281" s="19"/>
      <c r="Y281" s="19"/>
      <c r="Z281" s="8"/>
      <c r="AA281" s="8"/>
      <c r="AB281" s="10"/>
      <c r="AC281" s="10"/>
      <c r="AD281" s="10"/>
      <c r="AE281" s="11"/>
      <c r="AF281" s="11"/>
      <c r="AG281" s="11"/>
      <c r="AH281" s="11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36" customHeight="1" x14ac:dyDescent="0.25">
      <c r="A282" s="2"/>
      <c r="B282" s="2"/>
      <c r="C282" s="2" t="s">
        <v>910</v>
      </c>
      <c r="D282" s="2" t="s">
        <v>911</v>
      </c>
      <c r="E282" s="2" t="s">
        <v>939</v>
      </c>
      <c r="F282" s="2">
        <v>3143290345</v>
      </c>
      <c r="G282" s="3"/>
      <c r="H282" s="3"/>
      <c r="I282" s="3"/>
      <c r="J282" s="3"/>
      <c r="K282" s="4"/>
      <c r="L282" s="4"/>
      <c r="M282" s="4"/>
      <c r="N282" s="4"/>
      <c r="O282" s="5">
        <v>5000</v>
      </c>
      <c r="P282" s="5"/>
      <c r="Q282" s="5"/>
      <c r="R282" s="5"/>
      <c r="S282" s="18">
        <v>15000</v>
      </c>
      <c r="T282" s="19">
        <v>3000</v>
      </c>
      <c r="U282" s="19" t="s">
        <v>1210</v>
      </c>
      <c r="V282" s="7">
        <v>3000</v>
      </c>
      <c r="W282" s="7" t="s">
        <v>1650</v>
      </c>
      <c r="X282" s="19"/>
      <c r="Y282" s="19"/>
      <c r="Z282" s="8"/>
      <c r="AA282" s="8"/>
      <c r="AB282" s="10"/>
      <c r="AC282" s="10"/>
      <c r="AD282" s="10"/>
      <c r="AE282" s="11"/>
      <c r="AF282" s="11"/>
      <c r="AG282" s="11"/>
      <c r="AH282" s="11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36" customHeight="1" x14ac:dyDescent="0.25">
      <c r="A283" s="2"/>
      <c r="B283" s="2"/>
      <c r="C283" s="2" t="s">
        <v>912</v>
      </c>
      <c r="D283" s="2" t="s">
        <v>942</v>
      </c>
      <c r="E283" s="2" t="s">
        <v>939</v>
      </c>
      <c r="F283" s="2">
        <v>3007894237</v>
      </c>
      <c r="G283" s="3"/>
      <c r="H283" s="3"/>
      <c r="I283" s="3"/>
      <c r="J283" s="3"/>
      <c r="K283" s="4"/>
      <c r="L283" s="4"/>
      <c r="M283" s="4"/>
      <c r="N283" s="4"/>
      <c r="O283" s="5">
        <v>5000</v>
      </c>
      <c r="P283" s="5"/>
      <c r="Q283" s="5"/>
      <c r="R283" s="5"/>
      <c r="S283" s="18">
        <v>10000</v>
      </c>
      <c r="T283" s="19">
        <v>1000</v>
      </c>
      <c r="U283" s="19" t="s">
        <v>1475</v>
      </c>
      <c r="V283" s="7">
        <v>1000</v>
      </c>
      <c r="W283" s="7" t="s">
        <v>1721</v>
      </c>
      <c r="X283" s="19"/>
      <c r="Y283" s="19"/>
      <c r="Z283" s="8"/>
      <c r="AA283" s="8"/>
      <c r="AB283" s="10"/>
      <c r="AC283" s="10"/>
      <c r="AD283" s="10"/>
      <c r="AE283" s="11"/>
      <c r="AF283" s="11"/>
      <c r="AG283" s="11"/>
      <c r="AH283" s="11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36" customHeight="1" x14ac:dyDescent="0.25">
      <c r="A284" s="2"/>
      <c r="B284" s="2"/>
      <c r="C284" s="2" t="s">
        <v>826</v>
      </c>
      <c r="D284" s="2" t="s">
        <v>913</v>
      </c>
      <c r="E284" s="2" t="s">
        <v>939</v>
      </c>
      <c r="F284" s="2">
        <v>3048615342</v>
      </c>
      <c r="G284" s="3"/>
      <c r="H284" s="3"/>
      <c r="I284" s="3"/>
      <c r="J284" s="3"/>
      <c r="K284" s="4"/>
      <c r="L284" s="4"/>
      <c r="M284" s="4"/>
      <c r="N284" s="4"/>
      <c r="O284" s="5">
        <v>5000</v>
      </c>
      <c r="P284" s="5"/>
      <c r="Q284" s="5"/>
      <c r="R284" s="5"/>
      <c r="S284" s="18">
        <v>15000</v>
      </c>
      <c r="T284" s="19">
        <v>3000</v>
      </c>
      <c r="U284" s="19" t="s">
        <v>1406</v>
      </c>
      <c r="V284" s="7">
        <v>2000</v>
      </c>
      <c r="W284" s="7" t="s">
        <v>1517</v>
      </c>
      <c r="X284" s="19">
        <v>2000</v>
      </c>
      <c r="Y284" s="19" t="s">
        <v>1798</v>
      </c>
      <c r="Z284" s="8"/>
      <c r="AA284" s="8"/>
      <c r="AB284" s="10"/>
      <c r="AC284" s="10"/>
      <c r="AD284" s="10"/>
      <c r="AE284" s="11"/>
      <c r="AF284" s="11"/>
      <c r="AG284" s="11"/>
      <c r="AH284" s="11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36" customHeight="1" x14ac:dyDescent="0.25">
      <c r="A285" s="2"/>
      <c r="B285" s="2"/>
      <c r="C285" s="2" t="s">
        <v>914</v>
      </c>
      <c r="D285" s="2" t="s">
        <v>717</v>
      </c>
      <c r="E285" s="2" t="s">
        <v>939</v>
      </c>
      <c r="F285" s="2">
        <v>3056856711</v>
      </c>
      <c r="G285" s="3"/>
      <c r="H285" s="3"/>
      <c r="I285" s="3"/>
      <c r="J285" s="3"/>
      <c r="K285" s="4"/>
      <c r="L285" s="4"/>
      <c r="M285" s="4"/>
      <c r="N285" s="4"/>
      <c r="O285" s="5">
        <v>5000</v>
      </c>
      <c r="P285" s="5"/>
      <c r="Q285" s="5"/>
      <c r="R285" s="5"/>
      <c r="S285" s="18">
        <v>20000</v>
      </c>
      <c r="T285" s="19">
        <v>5000</v>
      </c>
      <c r="U285" s="19" t="s">
        <v>1341</v>
      </c>
      <c r="V285" s="7">
        <v>5000</v>
      </c>
      <c r="W285" s="7" t="s">
        <v>1677</v>
      </c>
      <c r="X285" s="19"/>
      <c r="Y285" s="19"/>
      <c r="Z285" s="8"/>
      <c r="AA285" s="8"/>
      <c r="AB285" s="10"/>
      <c r="AC285" s="10"/>
      <c r="AD285" s="10"/>
      <c r="AE285" s="11"/>
      <c r="AF285" s="11"/>
      <c r="AG285" s="11"/>
      <c r="AH285" s="11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36" customHeight="1" x14ac:dyDescent="0.25">
      <c r="A286" s="2"/>
      <c r="B286" s="2"/>
      <c r="C286" s="2" t="s">
        <v>601</v>
      </c>
      <c r="D286" s="2" t="s">
        <v>821</v>
      </c>
      <c r="E286" s="2" t="s">
        <v>939</v>
      </c>
      <c r="F286" s="2">
        <v>3038187091</v>
      </c>
      <c r="G286" s="3"/>
      <c r="H286" s="3"/>
      <c r="I286" s="3"/>
      <c r="J286" s="3"/>
      <c r="K286" s="4"/>
      <c r="L286" s="4"/>
      <c r="M286" s="4"/>
      <c r="N286" s="4"/>
      <c r="O286" s="5">
        <v>5000</v>
      </c>
      <c r="P286" s="5"/>
      <c r="Q286" s="5"/>
      <c r="R286" s="5"/>
      <c r="S286" s="18">
        <v>15000</v>
      </c>
      <c r="T286" s="19">
        <v>5000</v>
      </c>
      <c r="U286" s="19" t="s">
        <v>1487</v>
      </c>
      <c r="V286" s="7"/>
      <c r="W286" s="7"/>
      <c r="X286" s="19"/>
      <c r="Y286" s="19"/>
      <c r="Z286" s="8"/>
      <c r="AA286" s="8"/>
      <c r="AB286" s="10"/>
      <c r="AC286" s="10"/>
      <c r="AD286" s="10"/>
      <c r="AE286" s="11"/>
      <c r="AF286" s="11"/>
      <c r="AG286" s="11"/>
      <c r="AH286" s="11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36" customHeight="1" x14ac:dyDescent="0.25">
      <c r="A287" s="2"/>
      <c r="B287" s="2"/>
      <c r="C287" s="2" t="s">
        <v>569</v>
      </c>
      <c r="D287" s="2" t="s">
        <v>289</v>
      </c>
      <c r="E287" s="2" t="s">
        <v>939</v>
      </c>
      <c r="F287" s="2">
        <v>3013261161</v>
      </c>
      <c r="G287" s="3"/>
      <c r="H287" s="3"/>
      <c r="I287" s="3"/>
      <c r="J287" s="3"/>
      <c r="K287" s="4"/>
      <c r="L287" s="4"/>
      <c r="M287" s="4"/>
      <c r="N287" s="4"/>
      <c r="O287" s="5">
        <v>5000</v>
      </c>
      <c r="P287" s="5"/>
      <c r="Q287" s="5"/>
      <c r="R287" s="5"/>
      <c r="S287" s="18">
        <v>17000</v>
      </c>
      <c r="T287" s="19">
        <v>5000</v>
      </c>
      <c r="U287" s="19" t="s">
        <v>1344</v>
      </c>
      <c r="V287" s="7">
        <v>5000</v>
      </c>
      <c r="W287" s="7" t="s">
        <v>1572</v>
      </c>
      <c r="X287" s="19"/>
      <c r="Y287" s="19"/>
      <c r="Z287" s="8"/>
      <c r="AA287" s="8"/>
      <c r="AB287" s="10"/>
      <c r="AC287" s="10"/>
      <c r="AD287" s="10"/>
      <c r="AE287" s="11"/>
      <c r="AF287" s="11"/>
      <c r="AG287" s="11"/>
      <c r="AH287" s="11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36" customHeight="1" x14ac:dyDescent="0.25">
      <c r="A288" s="2"/>
      <c r="B288" s="2"/>
      <c r="C288" s="2" t="s">
        <v>907</v>
      </c>
      <c r="D288" s="2" t="s">
        <v>84</v>
      </c>
      <c r="E288" s="2" t="s">
        <v>939</v>
      </c>
      <c r="F288" s="2">
        <v>3067257149</v>
      </c>
      <c r="G288" s="3"/>
      <c r="H288" s="3"/>
      <c r="I288" s="3"/>
      <c r="J288" s="3"/>
      <c r="K288" s="4"/>
      <c r="L288" s="4"/>
      <c r="M288" s="4"/>
      <c r="N288" s="4"/>
      <c r="O288" s="5">
        <v>5000</v>
      </c>
      <c r="P288" s="5"/>
      <c r="Q288" s="5"/>
      <c r="R288" s="5"/>
      <c r="S288" s="18">
        <v>18000</v>
      </c>
      <c r="T288" s="19">
        <v>5000</v>
      </c>
      <c r="U288" s="19" t="s">
        <v>1351</v>
      </c>
      <c r="V288" s="7"/>
      <c r="W288" s="7"/>
      <c r="X288" s="19"/>
      <c r="Y288" s="19"/>
      <c r="Z288" s="8"/>
      <c r="AA288" s="8"/>
      <c r="AB288" s="10"/>
      <c r="AC288" s="10"/>
      <c r="AD288" s="10"/>
      <c r="AE288" s="11"/>
      <c r="AF288" s="11"/>
      <c r="AG288" s="11"/>
      <c r="AH288" s="11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36" customHeight="1" x14ac:dyDescent="0.25">
      <c r="A289" s="2"/>
      <c r="B289" s="2"/>
      <c r="C289" s="2" t="s">
        <v>915</v>
      </c>
      <c r="D289" s="2" t="s">
        <v>18</v>
      </c>
      <c r="E289" s="2" t="s">
        <v>939</v>
      </c>
      <c r="F289" s="2">
        <v>3013994615</v>
      </c>
      <c r="G289" s="3"/>
      <c r="H289" s="3"/>
      <c r="I289" s="3"/>
      <c r="J289" s="3"/>
      <c r="K289" s="4"/>
      <c r="L289" s="4"/>
      <c r="M289" s="4"/>
      <c r="N289" s="4"/>
      <c r="O289" s="5">
        <v>5000</v>
      </c>
      <c r="P289" s="5"/>
      <c r="Q289" s="5"/>
      <c r="R289" s="5"/>
      <c r="S289" s="18">
        <v>25000</v>
      </c>
      <c r="T289" s="19">
        <v>5000</v>
      </c>
      <c r="U289" s="19" t="s">
        <v>1468</v>
      </c>
      <c r="V289" s="7">
        <v>5000</v>
      </c>
      <c r="W289" s="7" t="s">
        <v>1718</v>
      </c>
      <c r="X289" s="19"/>
      <c r="Y289" s="19"/>
      <c r="Z289" s="8"/>
      <c r="AA289" s="8"/>
      <c r="AB289" s="10"/>
      <c r="AC289" s="10"/>
      <c r="AD289" s="10"/>
      <c r="AE289" s="11"/>
      <c r="AF289" s="11"/>
      <c r="AG289" s="11"/>
      <c r="AH289" s="11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36" customHeight="1" x14ac:dyDescent="0.25">
      <c r="A290" s="2"/>
      <c r="B290" s="2"/>
      <c r="C290" s="2" t="s">
        <v>916</v>
      </c>
      <c r="D290" s="2" t="s">
        <v>607</v>
      </c>
      <c r="E290" s="2" t="s">
        <v>939</v>
      </c>
      <c r="F290" s="2">
        <v>3006386637</v>
      </c>
      <c r="G290" s="3"/>
      <c r="H290" s="3"/>
      <c r="I290" s="3"/>
      <c r="J290" s="3"/>
      <c r="K290" s="4"/>
      <c r="L290" s="4"/>
      <c r="M290" s="4"/>
      <c r="N290" s="4"/>
      <c r="O290" s="5"/>
      <c r="P290" s="5"/>
      <c r="Q290" s="5"/>
      <c r="R290" s="5"/>
      <c r="S290" s="18"/>
      <c r="T290" s="19">
        <v>4000</v>
      </c>
      <c r="U290" s="19" t="s">
        <v>1514</v>
      </c>
      <c r="V290" s="7"/>
      <c r="W290" s="7"/>
      <c r="X290" s="19"/>
      <c r="Y290" s="19"/>
      <c r="Z290" s="8"/>
      <c r="AA290" s="8"/>
      <c r="AB290" s="10"/>
      <c r="AC290" s="10"/>
      <c r="AD290" s="10"/>
      <c r="AE290" s="11"/>
      <c r="AF290" s="11"/>
      <c r="AG290" s="11"/>
      <c r="AH290" s="11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36" customHeight="1" x14ac:dyDescent="0.25">
      <c r="A291" s="2"/>
      <c r="B291" s="2"/>
      <c r="C291" s="2" t="s">
        <v>61</v>
      </c>
      <c r="D291" s="2" t="s">
        <v>917</v>
      </c>
      <c r="E291" s="2" t="s">
        <v>939</v>
      </c>
      <c r="F291" s="2">
        <v>3043756153</v>
      </c>
      <c r="G291" s="3"/>
      <c r="H291" s="3"/>
      <c r="I291" s="3"/>
      <c r="J291" s="3"/>
      <c r="K291" s="4"/>
      <c r="L291" s="4"/>
      <c r="M291" s="4"/>
      <c r="N291" s="4"/>
      <c r="O291" s="5">
        <v>5000</v>
      </c>
      <c r="P291" s="5"/>
      <c r="Q291" s="5"/>
      <c r="R291" s="5"/>
      <c r="S291" s="18">
        <v>15000</v>
      </c>
      <c r="T291" s="19">
        <v>5000</v>
      </c>
      <c r="U291" s="19" t="s">
        <v>1476</v>
      </c>
      <c r="V291" s="7"/>
      <c r="W291" s="7"/>
      <c r="X291" s="19"/>
      <c r="Y291" s="19"/>
      <c r="Z291" s="8"/>
      <c r="AA291" s="8"/>
      <c r="AB291" s="10"/>
      <c r="AC291" s="10"/>
      <c r="AD291" s="10"/>
      <c r="AE291" s="11"/>
      <c r="AF291" s="11"/>
      <c r="AG291" s="11"/>
      <c r="AH291" s="11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36" customHeight="1" x14ac:dyDescent="0.25">
      <c r="A292" s="12"/>
      <c r="B292" s="12"/>
      <c r="C292" s="12" t="s">
        <v>520</v>
      </c>
      <c r="D292" s="12" t="s">
        <v>918</v>
      </c>
      <c r="E292" s="12" t="s">
        <v>939</v>
      </c>
      <c r="F292" s="12">
        <v>3055145113</v>
      </c>
      <c r="G292" s="12"/>
      <c r="H292" s="12"/>
      <c r="I292" s="12"/>
      <c r="J292" s="12"/>
      <c r="K292" s="12"/>
      <c r="L292" s="12"/>
      <c r="M292" s="12"/>
      <c r="N292" s="12"/>
      <c r="O292" s="12">
        <v>5000</v>
      </c>
      <c r="P292" s="12"/>
      <c r="Q292" s="12"/>
      <c r="R292" s="12"/>
      <c r="S292" s="12">
        <v>30000</v>
      </c>
      <c r="T292" s="12">
        <v>5000</v>
      </c>
      <c r="U292" s="12" t="s">
        <v>1461</v>
      </c>
      <c r="V292" s="12"/>
      <c r="W292" s="12"/>
      <c r="X292" s="12"/>
      <c r="Y292" s="12"/>
      <c r="Z292" s="12"/>
      <c r="AA292" s="12" t="s">
        <v>1834</v>
      </c>
      <c r="AB292" s="10"/>
      <c r="AC292" s="10"/>
      <c r="AD292" s="10"/>
      <c r="AE292" s="11"/>
      <c r="AF292" s="11"/>
      <c r="AG292" s="11"/>
      <c r="AH292" s="11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36" customHeight="1" x14ac:dyDescent="0.25">
      <c r="A293" s="2"/>
      <c r="B293" s="2"/>
      <c r="C293" s="2" t="s">
        <v>919</v>
      </c>
      <c r="D293" s="2" t="s">
        <v>717</v>
      </c>
      <c r="E293" s="2" t="s">
        <v>939</v>
      </c>
      <c r="F293" s="2">
        <v>3017825721</v>
      </c>
      <c r="G293" s="3"/>
      <c r="H293" s="3"/>
      <c r="I293" s="3"/>
      <c r="J293" s="3"/>
      <c r="K293" s="4"/>
      <c r="L293" s="4"/>
      <c r="M293" s="4"/>
      <c r="N293" s="4"/>
      <c r="O293" s="5">
        <v>5000</v>
      </c>
      <c r="P293" s="5"/>
      <c r="Q293" s="5"/>
      <c r="R293" s="5"/>
      <c r="S293" s="18">
        <v>15000</v>
      </c>
      <c r="T293" s="19">
        <v>3400</v>
      </c>
      <c r="U293" s="19" t="s">
        <v>1490</v>
      </c>
      <c r="V293" s="7"/>
      <c r="W293" s="7"/>
      <c r="X293" s="19"/>
      <c r="Y293" s="19"/>
      <c r="Z293" s="8"/>
      <c r="AA293" s="8"/>
      <c r="AB293" s="10"/>
      <c r="AC293" s="10"/>
      <c r="AD293" s="10"/>
      <c r="AE293" s="11"/>
      <c r="AF293" s="11"/>
      <c r="AG293" s="11"/>
      <c r="AH293" s="11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36" customHeight="1" x14ac:dyDescent="0.25">
      <c r="A294" s="2"/>
      <c r="B294" s="2"/>
      <c r="C294" s="2" t="s">
        <v>920</v>
      </c>
      <c r="D294" s="2" t="s">
        <v>1417</v>
      </c>
      <c r="E294" s="2" t="s">
        <v>939</v>
      </c>
      <c r="F294" s="2">
        <v>3447374134</v>
      </c>
      <c r="G294" s="3"/>
      <c r="H294" s="3"/>
      <c r="I294" s="3"/>
      <c r="J294" s="3"/>
      <c r="K294" s="4"/>
      <c r="L294" s="4"/>
      <c r="M294" s="4"/>
      <c r="N294" s="4"/>
      <c r="O294" s="5">
        <v>5000</v>
      </c>
      <c r="P294" s="5"/>
      <c r="Q294" s="5"/>
      <c r="R294" s="5"/>
      <c r="S294" s="18">
        <v>15000</v>
      </c>
      <c r="T294" s="19">
        <v>3000</v>
      </c>
      <c r="U294" s="19" t="s">
        <v>1418</v>
      </c>
      <c r="V294" s="7">
        <v>3000</v>
      </c>
      <c r="W294" s="7" t="s">
        <v>1688</v>
      </c>
      <c r="X294" s="19"/>
      <c r="Y294" s="19"/>
      <c r="Z294" s="8"/>
      <c r="AA294" s="8"/>
      <c r="AB294" s="10"/>
      <c r="AC294" s="10"/>
      <c r="AD294" s="10"/>
      <c r="AE294" s="11"/>
      <c r="AF294" s="11"/>
      <c r="AG294" s="11"/>
      <c r="AH294" s="11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36" customHeight="1" x14ac:dyDescent="0.25">
      <c r="A295" s="2"/>
      <c r="B295" s="2"/>
      <c r="C295" s="2" t="s">
        <v>921</v>
      </c>
      <c r="D295" s="2" t="s">
        <v>98</v>
      </c>
      <c r="E295" s="2" t="s">
        <v>939</v>
      </c>
      <c r="F295" s="2">
        <v>3038023327</v>
      </c>
      <c r="G295" s="3"/>
      <c r="H295" s="3"/>
      <c r="I295" s="3"/>
      <c r="J295" s="3"/>
      <c r="K295" s="4"/>
      <c r="L295" s="4"/>
      <c r="M295" s="4"/>
      <c r="N295" s="4"/>
      <c r="O295" s="5">
        <v>5000</v>
      </c>
      <c r="P295" s="5"/>
      <c r="Q295" s="5"/>
      <c r="R295" s="5"/>
      <c r="S295" s="18">
        <v>15000</v>
      </c>
      <c r="T295" s="19">
        <v>4500</v>
      </c>
      <c r="U295" s="19" t="s">
        <v>1400</v>
      </c>
      <c r="V295" s="7">
        <v>6000</v>
      </c>
      <c r="W295" s="7" t="s">
        <v>1529</v>
      </c>
      <c r="X295" s="19"/>
      <c r="Y295" s="19"/>
      <c r="Z295" s="8"/>
      <c r="AA295" s="8"/>
      <c r="AB295" s="10"/>
      <c r="AC295" s="10"/>
      <c r="AD295" s="10"/>
      <c r="AE295" s="11"/>
      <c r="AF295" s="11"/>
      <c r="AG295" s="11"/>
      <c r="AH295" s="11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36" customHeight="1" x14ac:dyDescent="0.25">
      <c r="A296" s="2"/>
      <c r="B296" s="2"/>
      <c r="C296" s="2" t="s">
        <v>922</v>
      </c>
      <c r="D296" s="2" t="s">
        <v>940</v>
      </c>
      <c r="E296" s="2" t="s">
        <v>939</v>
      </c>
      <c r="F296" s="2">
        <v>3047822861</v>
      </c>
      <c r="G296" s="3"/>
      <c r="H296" s="3"/>
      <c r="I296" s="3"/>
      <c r="J296" s="3"/>
      <c r="K296" s="4"/>
      <c r="L296" s="4"/>
      <c r="M296" s="4"/>
      <c r="N296" s="4"/>
      <c r="O296" s="5"/>
      <c r="P296" s="5"/>
      <c r="Q296" s="5"/>
      <c r="R296" s="5"/>
      <c r="S296" s="18"/>
      <c r="T296" s="19">
        <v>5000</v>
      </c>
      <c r="U296" s="19" t="s">
        <v>1479</v>
      </c>
      <c r="V296" s="7"/>
      <c r="W296" s="7"/>
      <c r="X296" s="19"/>
      <c r="Y296" s="19"/>
      <c r="Z296" s="8"/>
      <c r="AA296" s="8"/>
      <c r="AB296" s="10"/>
      <c r="AC296" s="10"/>
      <c r="AD296" s="10"/>
      <c r="AE296" s="11"/>
      <c r="AF296" s="11"/>
      <c r="AG296" s="11"/>
      <c r="AH296" s="11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36" customHeight="1" x14ac:dyDescent="0.25">
      <c r="A297" s="2"/>
      <c r="B297" s="2"/>
      <c r="C297" s="2" t="s">
        <v>923</v>
      </c>
      <c r="D297" s="2" t="s">
        <v>640</v>
      </c>
      <c r="E297" s="2" t="s">
        <v>939</v>
      </c>
      <c r="F297" s="2">
        <v>3076242661</v>
      </c>
      <c r="G297" s="3"/>
      <c r="H297" s="3"/>
      <c r="I297" s="3"/>
      <c r="J297" s="3"/>
      <c r="K297" s="4"/>
      <c r="L297" s="4"/>
      <c r="M297" s="4"/>
      <c r="N297" s="4"/>
      <c r="O297" s="5">
        <v>0</v>
      </c>
      <c r="P297" s="5">
        <v>0</v>
      </c>
      <c r="Q297" s="5"/>
      <c r="R297" s="5"/>
      <c r="S297" s="18">
        <v>20000</v>
      </c>
      <c r="T297" s="19">
        <v>5000</v>
      </c>
      <c r="U297" s="19" t="s">
        <v>1202</v>
      </c>
      <c r="V297" s="7">
        <v>3000</v>
      </c>
      <c r="W297" s="7" t="s">
        <v>1528</v>
      </c>
      <c r="X297" s="19"/>
      <c r="Y297" s="19"/>
      <c r="Z297" s="8"/>
      <c r="AA297" s="8"/>
      <c r="AB297" s="10"/>
      <c r="AC297" s="10"/>
      <c r="AD297" s="10"/>
      <c r="AE297" s="11"/>
      <c r="AF297" s="11"/>
      <c r="AG297" s="11"/>
      <c r="AH297" s="11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36" customHeight="1" x14ac:dyDescent="0.25">
      <c r="A298" s="2"/>
      <c r="B298" s="2"/>
      <c r="C298" s="2" t="s">
        <v>924</v>
      </c>
      <c r="D298" s="2" t="s">
        <v>421</v>
      </c>
      <c r="E298" s="2" t="s">
        <v>939</v>
      </c>
      <c r="F298" s="2">
        <v>3088740115</v>
      </c>
      <c r="G298" s="3"/>
      <c r="H298" s="3"/>
      <c r="I298" s="3"/>
      <c r="J298" s="3"/>
      <c r="K298" s="4"/>
      <c r="L298" s="4"/>
      <c r="M298" s="4"/>
      <c r="N298" s="4"/>
      <c r="O298" s="5">
        <v>5000</v>
      </c>
      <c r="P298" s="5"/>
      <c r="Q298" s="5"/>
      <c r="R298" s="5"/>
      <c r="S298" s="18">
        <v>25000</v>
      </c>
      <c r="T298" s="19">
        <v>5000</v>
      </c>
      <c r="U298" s="19" t="s">
        <v>1413</v>
      </c>
      <c r="V298" s="7">
        <v>5000</v>
      </c>
      <c r="W298" s="7" t="s">
        <v>1678</v>
      </c>
      <c r="X298" s="19"/>
      <c r="Y298" s="19"/>
      <c r="Z298" s="8"/>
      <c r="AA298" s="8"/>
      <c r="AB298" s="10"/>
      <c r="AC298" s="10"/>
      <c r="AD298" s="10"/>
      <c r="AE298" s="11"/>
      <c r="AF298" s="11"/>
      <c r="AG298" s="11"/>
      <c r="AH298" s="11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36" customHeight="1" x14ac:dyDescent="0.25">
      <c r="A299" s="2"/>
      <c r="B299" s="2"/>
      <c r="C299" s="2" t="s">
        <v>567</v>
      </c>
      <c r="D299" s="2" t="s">
        <v>925</v>
      </c>
      <c r="E299" s="2" t="s">
        <v>939</v>
      </c>
      <c r="F299" s="2">
        <v>3057783528</v>
      </c>
      <c r="G299" s="3"/>
      <c r="H299" s="3"/>
      <c r="I299" s="3"/>
      <c r="J299" s="3"/>
      <c r="K299" s="4"/>
      <c r="L299" s="4"/>
      <c r="M299" s="4"/>
      <c r="N299" s="4"/>
      <c r="O299" s="5">
        <v>5000</v>
      </c>
      <c r="P299" s="5"/>
      <c r="Q299" s="5"/>
      <c r="R299" s="5"/>
      <c r="S299" s="18">
        <v>20000</v>
      </c>
      <c r="T299" s="19">
        <v>5000</v>
      </c>
      <c r="U299" s="19" t="s">
        <v>1480</v>
      </c>
      <c r="V299" s="7">
        <v>5000</v>
      </c>
      <c r="W299" s="7" t="s">
        <v>1665</v>
      </c>
      <c r="X299" s="19"/>
      <c r="Y299" s="19"/>
      <c r="Z299" s="8"/>
      <c r="AA299" s="8"/>
      <c r="AB299" s="10"/>
      <c r="AC299" s="10"/>
      <c r="AD299" s="10"/>
      <c r="AE299" s="11"/>
      <c r="AF299" s="11"/>
      <c r="AG299" s="11"/>
      <c r="AH299" s="11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36" customHeight="1" x14ac:dyDescent="0.25">
      <c r="A300" s="2"/>
      <c r="B300" s="2"/>
      <c r="C300" s="2" t="s">
        <v>1785</v>
      </c>
      <c r="D300" s="2" t="s">
        <v>1786</v>
      </c>
      <c r="E300" s="2" t="s">
        <v>939</v>
      </c>
      <c r="F300" s="2">
        <v>3447371124</v>
      </c>
      <c r="G300" s="3"/>
      <c r="H300" s="3"/>
      <c r="I300" s="3"/>
      <c r="J300" s="3"/>
      <c r="K300" s="4"/>
      <c r="L300" s="4"/>
      <c r="M300" s="4"/>
      <c r="N300" s="4"/>
      <c r="O300" s="5">
        <v>5000</v>
      </c>
      <c r="P300" s="5"/>
      <c r="Q300" s="5"/>
      <c r="R300" s="5"/>
      <c r="S300" s="18">
        <v>25000</v>
      </c>
      <c r="T300" s="19"/>
      <c r="U300" s="19">
        <v>3061</v>
      </c>
      <c r="V300" s="7"/>
      <c r="W300" s="7"/>
      <c r="X300" s="19"/>
      <c r="Y300" s="19"/>
      <c r="Z300" s="8"/>
      <c r="AA300" s="8"/>
      <c r="AB300" s="10"/>
      <c r="AC300" s="10"/>
      <c r="AD300" s="10"/>
      <c r="AE300" s="11"/>
      <c r="AF300" s="11"/>
      <c r="AG300" s="11"/>
      <c r="AH300" s="11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36" customHeight="1" x14ac:dyDescent="0.25">
      <c r="A301" s="2"/>
      <c r="B301" s="2"/>
      <c r="C301" s="2" t="s">
        <v>926</v>
      </c>
      <c r="D301" s="2" t="s">
        <v>941</v>
      </c>
      <c r="E301" s="2" t="s">
        <v>939</v>
      </c>
      <c r="F301" s="2">
        <v>3422255222</v>
      </c>
      <c r="G301" s="3"/>
      <c r="H301" s="3"/>
      <c r="I301" s="3"/>
      <c r="J301" s="3"/>
      <c r="K301" s="4"/>
      <c r="L301" s="4"/>
      <c r="M301" s="4"/>
      <c r="N301" s="4"/>
      <c r="O301" s="5">
        <v>8000</v>
      </c>
      <c r="P301" s="5">
        <v>8000</v>
      </c>
      <c r="Q301" s="5" t="s">
        <v>1403</v>
      </c>
      <c r="R301" s="5"/>
      <c r="S301" s="18">
        <v>0</v>
      </c>
      <c r="T301" s="19">
        <v>0</v>
      </c>
      <c r="U301" s="19">
        <v>0</v>
      </c>
      <c r="V301" s="7"/>
      <c r="W301" s="7"/>
      <c r="X301" s="19"/>
      <c r="Y301" s="19"/>
      <c r="Z301" s="8"/>
      <c r="AA301" s="8"/>
      <c r="AB301" s="10"/>
      <c r="AC301" s="10"/>
      <c r="AD301" s="10"/>
      <c r="AE301" s="11"/>
      <c r="AF301" s="11"/>
      <c r="AG301" s="11"/>
      <c r="AH301" s="11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ht="36" customHeight="1" x14ac:dyDescent="0.25">
      <c r="A302" s="2"/>
      <c r="B302" s="2"/>
      <c r="C302" s="2" t="s">
        <v>927</v>
      </c>
      <c r="D302" s="2" t="s">
        <v>542</v>
      </c>
      <c r="E302" s="2" t="s">
        <v>939</v>
      </c>
      <c r="F302" s="2">
        <v>3009135723</v>
      </c>
      <c r="G302" s="3"/>
      <c r="H302" s="3"/>
      <c r="I302" s="3"/>
      <c r="J302" s="3"/>
      <c r="K302" s="4"/>
      <c r="L302" s="4"/>
      <c r="M302" s="4"/>
      <c r="N302" s="4"/>
      <c r="O302" s="5">
        <v>5000</v>
      </c>
      <c r="P302" s="5"/>
      <c r="Q302" s="5"/>
      <c r="R302" s="5"/>
      <c r="S302" s="18">
        <v>20000</v>
      </c>
      <c r="T302" s="19">
        <v>6000</v>
      </c>
      <c r="U302" s="19" t="s">
        <v>1440</v>
      </c>
      <c r="V302" s="7">
        <v>2000</v>
      </c>
      <c r="W302" s="7" t="s">
        <v>1689</v>
      </c>
      <c r="X302" s="19"/>
      <c r="Y302" s="19"/>
      <c r="Z302" s="8"/>
      <c r="AA302" s="8"/>
      <c r="AB302" s="10"/>
      <c r="AC302" s="10"/>
      <c r="AD302" s="10"/>
      <c r="AE302" s="11"/>
      <c r="AF302" s="11"/>
      <c r="AG302" s="11"/>
      <c r="AH302" s="11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ht="36" customHeight="1" x14ac:dyDescent="0.25">
      <c r="A303" s="2"/>
      <c r="B303" s="2"/>
      <c r="C303" s="2" t="s">
        <v>895</v>
      </c>
      <c r="D303" s="2" t="s">
        <v>928</v>
      </c>
      <c r="E303" s="2" t="s">
        <v>939</v>
      </c>
      <c r="F303" s="2">
        <v>3222128975</v>
      </c>
      <c r="G303" s="3"/>
      <c r="H303" s="3"/>
      <c r="I303" s="3"/>
      <c r="J303" s="3"/>
      <c r="K303" s="4"/>
      <c r="L303" s="4"/>
      <c r="M303" s="4"/>
      <c r="N303" s="4"/>
      <c r="O303" s="5">
        <v>5000</v>
      </c>
      <c r="P303" s="5"/>
      <c r="Q303" s="5"/>
      <c r="R303" s="5"/>
      <c r="S303" s="18">
        <v>25000</v>
      </c>
      <c r="T303" s="19">
        <v>5000</v>
      </c>
      <c r="U303" s="19" t="s">
        <v>1381</v>
      </c>
      <c r="V303" s="7"/>
      <c r="W303" s="7"/>
      <c r="X303" s="19"/>
      <c r="Y303" s="19"/>
      <c r="Z303" s="8"/>
      <c r="AA303" s="8"/>
      <c r="AB303" s="10"/>
      <c r="AC303" s="10"/>
      <c r="AD303" s="10"/>
      <c r="AE303" s="11"/>
      <c r="AF303" s="11"/>
      <c r="AG303" s="11"/>
      <c r="AH303" s="11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ht="36" customHeight="1" x14ac:dyDescent="0.25">
      <c r="A304" s="2"/>
      <c r="B304" s="2"/>
      <c r="C304" s="2" t="s">
        <v>929</v>
      </c>
      <c r="D304" s="2" t="s">
        <v>930</v>
      </c>
      <c r="E304" s="2" t="s">
        <v>939</v>
      </c>
      <c r="F304" s="2">
        <v>30078993333</v>
      </c>
      <c r="G304" s="3"/>
      <c r="H304" s="3"/>
      <c r="I304" s="3"/>
      <c r="J304" s="3"/>
      <c r="K304" s="4"/>
      <c r="L304" s="4"/>
      <c r="M304" s="4"/>
      <c r="N304" s="4"/>
      <c r="O304" s="5">
        <v>5000</v>
      </c>
      <c r="P304" s="5"/>
      <c r="Q304" s="5"/>
      <c r="R304" s="5"/>
      <c r="S304" s="18">
        <v>20000</v>
      </c>
      <c r="T304" s="19">
        <v>5000</v>
      </c>
      <c r="U304" s="19" t="s">
        <v>1423</v>
      </c>
      <c r="V304" s="7"/>
      <c r="W304" s="7"/>
      <c r="X304" s="19"/>
      <c r="Y304" s="19"/>
      <c r="Z304" s="8"/>
      <c r="AA304" s="8"/>
      <c r="AB304" s="10"/>
      <c r="AC304" s="10"/>
      <c r="AD304" s="10"/>
      <c r="AE304" s="11"/>
      <c r="AF304" s="11"/>
      <c r="AG304" s="11"/>
      <c r="AH304" s="11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ht="36" customHeight="1" x14ac:dyDescent="0.25">
      <c r="A305" s="2"/>
      <c r="B305" s="2"/>
      <c r="C305" s="2" t="s">
        <v>498</v>
      </c>
      <c r="D305" s="2" t="s">
        <v>931</v>
      </c>
      <c r="E305" s="2" t="s">
        <v>939</v>
      </c>
      <c r="F305" s="2">
        <v>3008295552</v>
      </c>
      <c r="G305" s="3"/>
      <c r="H305" s="3"/>
      <c r="I305" s="3"/>
      <c r="J305" s="3"/>
      <c r="K305" s="4"/>
      <c r="L305" s="4"/>
      <c r="M305" s="4"/>
      <c r="N305" s="4"/>
      <c r="O305" s="5">
        <v>5000</v>
      </c>
      <c r="P305" s="5"/>
      <c r="Q305" s="5"/>
      <c r="R305" s="5"/>
      <c r="S305" s="18">
        <v>25000</v>
      </c>
      <c r="T305" s="19">
        <v>5000</v>
      </c>
      <c r="U305" s="19" t="s">
        <v>1457</v>
      </c>
      <c r="V305" s="7"/>
      <c r="W305" s="7"/>
      <c r="X305" s="19"/>
      <c r="Y305" s="19"/>
      <c r="Z305" s="8"/>
      <c r="AA305" s="8"/>
      <c r="AB305" s="10"/>
      <c r="AC305" s="10"/>
      <c r="AD305" s="10"/>
      <c r="AE305" s="11"/>
      <c r="AF305" s="11"/>
      <c r="AG305" s="11"/>
      <c r="AH305" s="11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ht="36" customHeight="1" x14ac:dyDescent="0.25">
      <c r="A306" s="2"/>
      <c r="B306" s="2"/>
      <c r="C306" s="2" t="s">
        <v>932</v>
      </c>
      <c r="D306" s="2" t="s">
        <v>55</v>
      </c>
      <c r="E306" s="2" t="s">
        <v>939</v>
      </c>
      <c r="F306" s="2"/>
      <c r="G306" s="3"/>
      <c r="H306" s="3"/>
      <c r="I306" s="3"/>
      <c r="J306" s="3"/>
      <c r="K306" s="4"/>
      <c r="L306" s="4"/>
      <c r="M306" s="4"/>
      <c r="N306" s="4"/>
      <c r="O306" s="5">
        <v>5000</v>
      </c>
      <c r="P306" s="5"/>
      <c r="Q306" s="5"/>
      <c r="R306" s="5"/>
      <c r="S306" s="18">
        <v>15000</v>
      </c>
      <c r="T306" s="19">
        <v>5000</v>
      </c>
      <c r="U306" s="19" t="s">
        <v>1401</v>
      </c>
      <c r="V306" s="7">
        <v>5000</v>
      </c>
      <c r="W306" s="7" t="s">
        <v>1555</v>
      </c>
      <c r="X306" s="19"/>
      <c r="Y306" s="19"/>
      <c r="Z306" s="8"/>
      <c r="AA306" s="8"/>
      <c r="AB306" s="10"/>
      <c r="AC306" s="10"/>
      <c r="AD306" s="10"/>
      <c r="AE306" s="11"/>
      <c r="AF306" s="11"/>
      <c r="AG306" s="11"/>
      <c r="AH306" s="11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ht="36" customHeight="1" x14ac:dyDescent="0.25">
      <c r="A307" s="2"/>
      <c r="B307" s="2"/>
      <c r="C307" s="2" t="s">
        <v>933</v>
      </c>
      <c r="D307" s="2" t="s">
        <v>135</v>
      </c>
      <c r="E307" s="2" t="s">
        <v>939</v>
      </c>
      <c r="F307" s="2">
        <v>3217356165</v>
      </c>
      <c r="G307" s="3"/>
      <c r="H307" s="3"/>
      <c r="I307" s="3"/>
      <c r="J307" s="3"/>
      <c r="K307" s="4"/>
      <c r="L307" s="4"/>
      <c r="M307" s="4"/>
      <c r="N307" s="4"/>
      <c r="O307" s="5">
        <v>5000</v>
      </c>
      <c r="P307" s="5"/>
      <c r="Q307" s="5"/>
      <c r="R307" s="5"/>
      <c r="S307" s="18">
        <v>20000</v>
      </c>
      <c r="T307" s="19">
        <v>5000</v>
      </c>
      <c r="U307" s="19" t="s">
        <v>1504</v>
      </c>
      <c r="V307" s="7">
        <v>5000</v>
      </c>
      <c r="W307" s="7" t="s">
        <v>1811</v>
      </c>
      <c r="X307" s="19"/>
      <c r="Y307" s="19"/>
      <c r="Z307" s="8"/>
      <c r="AA307" s="8"/>
      <c r="AB307" s="10"/>
      <c r="AC307" s="10"/>
      <c r="AD307" s="10"/>
      <c r="AE307" s="11"/>
      <c r="AF307" s="11"/>
      <c r="AG307" s="11"/>
      <c r="AH307" s="11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ht="36" customHeight="1" x14ac:dyDescent="0.25">
      <c r="A308" s="2"/>
      <c r="B308" s="2"/>
      <c r="C308" s="2" t="s">
        <v>934</v>
      </c>
      <c r="D308" s="2" t="s">
        <v>935</v>
      </c>
      <c r="E308" s="2" t="s">
        <v>939</v>
      </c>
      <c r="F308" s="2">
        <v>3026823841</v>
      </c>
      <c r="G308" s="3"/>
      <c r="H308" s="3"/>
      <c r="I308" s="3"/>
      <c r="J308" s="3"/>
      <c r="K308" s="4"/>
      <c r="L308" s="4"/>
      <c r="M308" s="4"/>
      <c r="N308" s="4"/>
      <c r="O308" s="5">
        <v>5000</v>
      </c>
      <c r="P308" s="5"/>
      <c r="Q308" s="5"/>
      <c r="R308" s="5"/>
      <c r="S308" s="18">
        <v>15000</v>
      </c>
      <c r="T308" s="19">
        <v>3000</v>
      </c>
      <c r="U308" s="19" t="s">
        <v>1499</v>
      </c>
      <c r="V308" s="7"/>
      <c r="W308" s="7"/>
      <c r="X308" s="19"/>
      <c r="Y308" s="19"/>
      <c r="Z308" s="8"/>
      <c r="AA308" s="8"/>
      <c r="AB308" s="10"/>
      <c r="AC308" s="10"/>
      <c r="AD308" s="10"/>
      <c r="AE308" s="11"/>
      <c r="AF308" s="11"/>
      <c r="AG308" s="11"/>
      <c r="AH308" s="11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ht="36" customHeight="1" x14ac:dyDescent="0.25">
      <c r="A309" s="2"/>
      <c r="B309" s="2"/>
      <c r="C309" s="2" t="s">
        <v>936</v>
      </c>
      <c r="D309" s="2" t="s">
        <v>187</v>
      </c>
      <c r="E309" s="2" t="s">
        <v>939</v>
      </c>
      <c r="F309" s="2">
        <v>3047732963</v>
      </c>
      <c r="G309" s="3"/>
      <c r="H309" s="3"/>
      <c r="I309" s="3"/>
      <c r="J309" s="3"/>
      <c r="K309" s="4"/>
      <c r="L309" s="4"/>
      <c r="M309" s="4"/>
      <c r="N309" s="4"/>
      <c r="O309" s="5">
        <v>5000</v>
      </c>
      <c r="P309" s="5"/>
      <c r="Q309" s="5"/>
      <c r="R309" s="5"/>
      <c r="S309" s="18">
        <v>20000</v>
      </c>
      <c r="T309" s="19">
        <v>5000</v>
      </c>
      <c r="U309" s="19" t="s">
        <v>1520</v>
      </c>
      <c r="V309" s="7"/>
      <c r="W309" s="7"/>
      <c r="X309" s="19"/>
      <c r="Y309" s="19"/>
      <c r="Z309" s="8"/>
      <c r="AA309" s="8"/>
      <c r="AB309" s="10"/>
      <c r="AC309" s="10"/>
      <c r="AD309" s="10"/>
      <c r="AE309" s="11"/>
      <c r="AF309" s="11"/>
      <c r="AG309" s="11"/>
      <c r="AH309" s="11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ht="36" customHeight="1" x14ac:dyDescent="0.25">
      <c r="A310" s="2"/>
      <c r="B310" s="2"/>
      <c r="C310" s="2" t="s">
        <v>937</v>
      </c>
      <c r="D310" s="2" t="s">
        <v>938</v>
      </c>
      <c r="E310" s="2" t="s">
        <v>939</v>
      </c>
      <c r="F310" s="2">
        <v>3401968149</v>
      </c>
      <c r="G310" s="3"/>
      <c r="H310" s="3"/>
      <c r="I310" s="3"/>
      <c r="J310" s="3"/>
      <c r="K310" s="4"/>
      <c r="L310" s="4"/>
      <c r="M310" s="4"/>
      <c r="N310" s="4"/>
      <c r="O310" s="5">
        <v>5000</v>
      </c>
      <c r="P310" s="5"/>
      <c r="Q310" s="5"/>
      <c r="R310" s="5"/>
      <c r="S310" s="18">
        <v>15000</v>
      </c>
      <c r="T310" s="19"/>
      <c r="U310" s="19"/>
      <c r="V310" s="7"/>
      <c r="W310" s="7"/>
      <c r="X310" s="19"/>
      <c r="Y310" s="19"/>
      <c r="Z310" s="8"/>
      <c r="AA310" s="8"/>
      <c r="AB310" s="10"/>
      <c r="AC310" s="10"/>
      <c r="AD310" s="10"/>
      <c r="AE310" s="11"/>
      <c r="AF310" s="11"/>
      <c r="AG310" s="11"/>
      <c r="AH310" s="11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ht="36" customHeight="1" x14ac:dyDescent="0.25">
      <c r="A311" s="2"/>
      <c r="B311" s="2"/>
      <c r="C311" s="2" t="s">
        <v>1823</v>
      </c>
      <c r="D311" s="2" t="s">
        <v>1824</v>
      </c>
      <c r="E311" s="2" t="s">
        <v>336</v>
      </c>
      <c r="F311" s="2"/>
      <c r="G311" s="3"/>
      <c r="H311" s="3"/>
      <c r="I311" s="3"/>
      <c r="J311" s="3"/>
      <c r="K311" s="4"/>
      <c r="L311" s="4"/>
      <c r="M311" s="4"/>
      <c r="N311" s="4"/>
      <c r="O311" s="5"/>
      <c r="P311" s="5"/>
      <c r="Q311" s="5"/>
      <c r="R311" s="5"/>
      <c r="S311" s="18"/>
      <c r="T311" s="19">
        <v>5000</v>
      </c>
      <c r="U311" s="19" t="s">
        <v>1825</v>
      </c>
      <c r="V311" s="7"/>
      <c r="W311" s="7"/>
      <c r="X311" s="19"/>
      <c r="Y311" s="19"/>
      <c r="Z311" s="8"/>
      <c r="AA311" s="8"/>
      <c r="AB311" s="10"/>
      <c r="AC311" s="10"/>
      <c r="AD311" s="10"/>
      <c r="AE311" s="11"/>
      <c r="AF311" s="11"/>
      <c r="AG311" s="11"/>
      <c r="AH311" s="11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ht="36" customHeight="1" x14ac:dyDescent="0.25">
      <c r="A312" s="2"/>
      <c r="B312" s="2"/>
      <c r="C312" s="2" t="s">
        <v>1826</v>
      </c>
      <c r="D312" s="2" t="s">
        <v>1826</v>
      </c>
      <c r="E312" s="2" t="s">
        <v>336</v>
      </c>
      <c r="F312" s="2"/>
      <c r="G312" s="3"/>
      <c r="H312" s="3"/>
      <c r="I312" s="3"/>
      <c r="J312" s="3"/>
      <c r="K312" s="4"/>
      <c r="L312" s="4"/>
      <c r="M312" s="4"/>
      <c r="N312" s="4"/>
      <c r="O312" s="5"/>
      <c r="P312" s="5"/>
      <c r="Q312" s="5"/>
      <c r="R312" s="5"/>
      <c r="S312" s="18"/>
      <c r="T312" s="19">
        <v>5000</v>
      </c>
      <c r="U312" s="19" t="s">
        <v>1827</v>
      </c>
      <c r="V312" s="7"/>
      <c r="W312" s="7"/>
      <c r="X312" s="19"/>
      <c r="Y312" s="19"/>
      <c r="Z312" s="8"/>
      <c r="AA312" s="8"/>
      <c r="AB312" s="10"/>
      <c r="AC312" s="10"/>
      <c r="AD312" s="10"/>
      <c r="AE312" s="11"/>
      <c r="AF312" s="11"/>
      <c r="AG312" s="11"/>
      <c r="AH312" s="11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ht="36" customHeight="1" x14ac:dyDescent="0.25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4"/>
      <c r="L313" s="4"/>
      <c r="M313" s="4"/>
      <c r="N313" s="4"/>
      <c r="O313" s="5"/>
      <c r="P313" s="5"/>
      <c r="Q313" s="5"/>
      <c r="R313" s="5"/>
      <c r="S313" s="18"/>
      <c r="T313" s="19"/>
      <c r="U313" s="19"/>
      <c r="V313" s="7"/>
      <c r="W313" s="7"/>
      <c r="X313" s="19"/>
      <c r="Y313" s="19"/>
      <c r="Z313" s="8"/>
      <c r="AA313" s="8"/>
      <c r="AB313" s="10"/>
      <c r="AC313" s="10"/>
      <c r="AD313" s="10"/>
      <c r="AE313" s="11"/>
      <c r="AF313" s="11"/>
      <c r="AG313" s="11"/>
      <c r="AH313" s="11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ht="36" customHeight="1" x14ac:dyDescent="0.25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4"/>
      <c r="L314" s="4"/>
      <c r="M314" s="4"/>
      <c r="N314" s="4"/>
      <c r="O314" s="5"/>
      <c r="P314" s="5"/>
      <c r="Q314" s="5"/>
      <c r="R314" s="5"/>
      <c r="S314" s="18"/>
      <c r="T314" s="19"/>
      <c r="U314" s="19"/>
      <c r="V314" s="7"/>
      <c r="W314" s="7"/>
      <c r="X314" s="19"/>
      <c r="Y314" s="19"/>
      <c r="Z314" s="8"/>
      <c r="AA314" s="8"/>
      <c r="AB314" s="10"/>
      <c r="AC314" s="10"/>
      <c r="AD314" s="10"/>
      <c r="AE314" s="11"/>
      <c r="AF314" s="11"/>
      <c r="AG314" s="11"/>
      <c r="AH314" s="11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ht="36" customHeight="1" x14ac:dyDescent="0.25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4"/>
      <c r="L315" s="4"/>
      <c r="M315" s="4"/>
      <c r="N315" s="4"/>
      <c r="O315" s="5"/>
      <c r="P315" s="5"/>
      <c r="Q315" s="5"/>
      <c r="R315" s="5"/>
      <c r="S315" s="18"/>
      <c r="T315" s="19"/>
      <c r="U315" s="19"/>
      <c r="V315" s="7"/>
      <c r="W315" s="7"/>
      <c r="X315" s="19"/>
      <c r="Y315" s="19"/>
      <c r="Z315" s="8"/>
      <c r="AA315" s="8"/>
      <c r="AB315" s="10"/>
      <c r="AC315" s="10"/>
      <c r="AD315" s="10"/>
      <c r="AE315" s="11"/>
      <c r="AF315" s="11"/>
      <c r="AG315" s="11"/>
      <c r="AH315" s="11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 ht="36" customHeight="1" x14ac:dyDescent="0.25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4"/>
      <c r="L316" s="4"/>
      <c r="M316" s="4"/>
      <c r="N316" s="4"/>
      <c r="O316" s="5"/>
      <c r="P316" s="5"/>
      <c r="Q316" s="5"/>
      <c r="R316" s="5"/>
      <c r="S316" s="18"/>
      <c r="T316" s="19"/>
      <c r="U316" s="19"/>
      <c r="V316" s="7"/>
      <c r="W316" s="7"/>
      <c r="X316" s="19"/>
      <c r="Y316" s="19"/>
      <c r="Z316" s="8"/>
      <c r="AA316" s="8"/>
      <c r="AB316" s="10"/>
      <c r="AC316" s="10"/>
      <c r="AD316" s="10"/>
      <c r="AE316" s="11"/>
      <c r="AF316" s="11"/>
      <c r="AG316" s="11"/>
      <c r="AH316" s="11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ht="36" customHeight="1" x14ac:dyDescent="0.25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4"/>
      <c r="L317" s="4"/>
      <c r="M317" s="4"/>
      <c r="N317" s="4"/>
      <c r="O317" s="5"/>
      <c r="P317" s="5"/>
      <c r="Q317" s="5"/>
      <c r="R317" s="5"/>
      <c r="S317" s="18"/>
      <c r="T317" s="19"/>
      <c r="U317" s="19"/>
      <c r="V317" s="7"/>
      <c r="W317" s="7"/>
      <c r="X317" s="19"/>
      <c r="Y317" s="19"/>
      <c r="Z317" s="8"/>
      <c r="AA317" s="8"/>
      <c r="AB317" s="10"/>
      <c r="AC317" s="10"/>
      <c r="AD317" s="10"/>
      <c r="AE317" s="11"/>
      <c r="AF317" s="11"/>
      <c r="AG317" s="11"/>
      <c r="AH317" s="11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ht="36" customHeight="1" x14ac:dyDescent="0.25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4"/>
      <c r="L318" s="4"/>
      <c r="M318" s="4"/>
      <c r="N318" s="4"/>
      <c r="O318" s="5"/>
      <c r="P318" s="5"/>
      <c r="Q318" s="5"/>
      <c r="R318" s="5"/>
      <c r="S318" s="18"/>
      <c r="T318" s="19"/>
      <c r="U318" s="19"/>
      <c r="V318" s="7"/>
      <c r="W318" s="7"/>
      <c r="X318" s="19"/>
      <c r="Y318" s="19"/>
      <c r="Z318" s="8"/>
      <c r="AA318" s="8"/>
      <c r="AB318" s="10"/>
      <c r="AC318" s="10"/>
      <c r="AD318" s="10"/>
      <c r="AE318" s="11"/>
      <c r="AF318" s="11"/>
      <c r="AG318" s="11"/>
      <c r="AH318" s="11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ht="36" customHeight="1" x14ac:dyDescent="0.25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4"/>
      <c r="L319" s="4"/>
      <c r="M319" s="4"/>
      <c r="N319" s="4"/>
      <c r="O319" s="5"/>
      <c r="P319" s="5"/>
      <c r="Q319" s="5"/>
      <c r="R319" s="5"/>
      <c r="S319" s="18"/>
      <c r="T319" s="19"/>
      <c r="U319" s="19"/>
      <c r="V319" s="7"/>
      <c r="W319" s="7"/>
      <c r="X319" s="19"/>
      <c r="Y319" s="19"/>
      <c r="Z319" s="8"/>
      <c r="AA319" s="8"/>
      <c r="AB319" s="10"/>
      <c r="AC319" s="10"/>
      <c r="AD319" s="10"/>
      <c r="AE319" s="11"/>
      <c r="AF319" s="11"/>
      <c r="AG319" s="11"/>
      <c r="AH319" s="11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ht="36" customHeight="1" x14ac:dyDescent="0.25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4"/>
      <c r="L320" s="4"/>
      <c r="M320" s="4"/>
      <c r="N320" s="4"/>
      <c r="O320" s="5"/>
      <c r="P320" s="5"/>
      <c r="Q320" s="5"/>
      <c r="R320" s="5"/>
      <c r="S320" s="18"/>
      <c r="T320" s="19"/>
      <c r="U320" s="19"/>
      <c r="V320" s="7"/>
      <c r="W320" s="7"/>
      <c r="X320" s="19"/>
      <c r="Y320" s="19"/>
      <c r="Z320" s="8"/>
      <c r="AA320" s="8"/>
      <c r="AB320" s="10"/>
      <c r="AC320" s="10"/>
      <c r="AD320" s="10"/>
      <c r="AE320" s="11"/>
      <c r="AF320" s="11"/>
      <c r="AG320" s="11"/>
      <c r="AH320" s="11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ht="36" customHeight="1" x14ac:dyDescent="0.25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4"/>
      <c r="L321" s="4"/>
      <c r="M321" s="4"/>
      <c r="N321" s="4"/>
      <c r="O321" s="5"/>
      <c r="P321" s="5"/>
      <c r="Q321" s="5"/>
      <c r="R321" s="5"/>
      <c r="S321" s="18"/>
      <c r="T321" s="19"/>
      <c r="U321" s="19"/>
      <c r="V321" s="7"/>
      <c r="W321" s="7"/>
      <c r="X321" s="19"/>
      <c r="Y321" s="19"/>
      <c r="Z321" s="8"/>
      <c r="AA321" s="8"/>
      <c r="AB321" s="10"/>
      <c r="AC321" s="10"/>
      <c r="AD321" s="10"/>
      <c r="AE321" s="11"/>
      <c r="AF321" s="11"/>
      <c r="AG321" s="11"/>
      <c r="AH321" s="11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ht="36" customHeight="1" x14ac:dyDescent="0.25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4"/>
      <c r="L322" s="4"/>
      <c r="M322" s="4"/>
      <c r="N322" s="4"/>
      <c r="O322" s="5"/>
      <c r="P322" s="5"/>
      <c r="Q322" s="5"/>
      <c r="R322" s="5"/>
      <c r="S322" s="18"/>
      <c r="T322" s="19"/>
      <c r="U322" s="19"/>
      <c r="V322" s="7"/>
      <c r="W322" s="7"/>
      <c r="X322" s="19"/>
      <c r="Y322" s="19"/>
      <c r="Z322" s="8"/>
      <c r="AA322" s="8"/>
      <c r="AB322" s="10"/>
      <c r="AC322" s="10"/>
      <c r="AD322" s="10"/>
      <c r="AE322" s="11"/>
      <c r="AF322" s="11"/>
      <c r="AG322" s="11"/>
      <c r="AH322" s="11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ht="36" customHeight="1" x14ac:dyDescent="0.25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4"/>
      <c r="L323" s="4"/>
      <c r="M323" s="4"/>
      <c r="N323" s="4"/>
      <c r="O323" s="5"/>
      <c r="P323" s="5"/>
      <c r="Q323" s="5"/>
      <c r="R323" s="5"/>
      <c r="S323" s="18"/>
      <c r="T323" s="19"/>
      <c r="U323" s="19"/>
      <c r="V323" s="7"/>
      <c r="W323" s="7"/>
      <c r="X323" s="19"/>
      <c r="Y323" s="19"/>
      <c r="Z323" s="8"/>
      <c r="AA323" s="8"/>
      <c r="AB323" s="10"/>
      <c r="AC323" s="10"/>
      <c r="AD323" s="10"/>
      <c r="AE323" s="11"/>
      <c r="AF323" s="11"/>
      <c r="AG323" s="11"/>
      <c r="AH323" s="11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ht="36" customHeight="1" x14ac:dyDescent="0.25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4"/>
      <c r="L324" s="4"/>
      <c r="M324" s="4"/>
      <c r="N324" s="4"/>
      <c r="O324" s="5"/>
      <c r="P324" s="5"/>
      <c r="Q324" s="5"/>
      <c r="R324" s="5"/>
      <c r="S324" s="18"/>
      <c r="T324" s="19"/>
      <c r="U324" s="19"/>
      <c r="V324" s="7"/>
      <c r="W324" s="7"/>
      <c r="X324" s="19"/>
      <c r="Y324" s="19"/>
      <c r="Z324" s="8"/>
      <c r="AA324" s="8"/>
      <c r="AB324" s="10"/>
      <c r="AC324" s="10"/>
      <c r="AD324" s="10"/>
      <c r="AE324" s="11"/>
      <c r="AF324" s="11"/>
      <c r="AG324" s="11"/>
      <c r="AH324" s="11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ht="36" customHeight="1" x14ac:dyDescent="0.25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4"/>
      <c r="L325" s="4"/>
      <c r="M325" s="4"/>
      <c r="N325" s="4"/>
      <c r="O325" s="5"/>
      <c r="P325" s="5"/>
      <c r="Q325" s="5"/>
      <c r="R325" s="5"/>
      <c r="S325" s="18"/>
      <c r="T325" s="19"/>
      <c r="U325" s="19"/>
      <c r="V325" s="7"/>
      <c r="W325" s="7"/>
      <c r="X325" s="19"/>
      <c r="Y325" s="19"/>
      <c r="Z325" s="8"/>
      <c r="AA325" s="8"/>
      <c r="AB325" s="10"/>
      <c r="AC325" s="10"/>
      <c r="AD325" s="10"/>
      <c r="AE325" s="11"/>
      <c r="AF325" s="11"/>
      <c r="AG325" s="11"/>
      <c r="AH325" s="11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ht="36" customHeight="1" x14ac:dyDescent="0.25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4"/>
      <c r="L326" s="4"/>
      <c r="M326" s="4"/>
      <c r="N326" s="4"/>
      <c r="O326" s="5"/>
      <c r="P326" s="5"/>
      <c r="Q326" s="5"/>
      <c r="R326" s="5"/>
      <c r="S326" s="18"/>
      <c r="T326" s="19"/>
      <c r="U326" s="19"/>
      <c r="V326" s="7"/>
      <c r="W326" s="7"/>
      <c r="X326" s="19"/>
      <c r="Y326" s="19"/>
      <c r="Z326" s="8"/>
      <c r="AA326" s="8"/>
      <c r="AB326" s="10"/>
      <c r="AC326" s="10"/>
      <c r="AD326" s="10"/>
      <c r="AE326" s="11"/>
      <c r="AF326" s="11"/>
      <c r="AG326" s="11"/>
      <c r="AH326" s="11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ht="36" customHeight="1" x14ac:dyDescent="0.25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4"/>
      <c r="L327" s="4"/>
      <c r="M327" s="4"/>
      <c r="N327" s="4"/>
      <c r="O327" s="5"/>
      <c r="P327" s="5"/>
      <c r="Q327" s="5"/>
      <c r="R327" s="5"/>
      <c r="S327" s="18"/>
      <c r="T327" s="19"/>
      <c r="U327" s="19"/>
      <c r="V327" s="7"/>
      <c r="W327" s="7"/>
      <c r="X327" s="19"/>
      <c r="Y327" s="19"/>
      <c r="Z327" s="8"/>
      <c r="AA327" s="8"/>
      <c r="AB327" s="10"/>
      <c r="AC327" s="10"/>
      <c r="AD327" s="10"/>
      <c r="AE327" s="11"/>
      <c r="AF327" s="11"/>
      <c r="AG327" s="11"/>
      <c r="AH327" s="11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ht="36" customHeight="1" x14ac:dyDescent="0.25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4"/>
      <c r="L328" s="4"/>
      <c r="M328" s="4"/>
      <c r="N328" s="4"/>
      <c r="O328" s="5"/>
      <c r="P328" s="5"/>
      <c r="Q328" s="5"/>
      <c r="R328" s="5"/>
      <c r="S328" s="18"/>
      <c r="T328" s="19"/>
      <c r="U328" s="19"/>
      <c r="V328" s="7"/>
      <c r="W328" s="7"/>
      <c r="X328" s="19"/>
      <c r="Y328" s="19"/>
      <c r="Z328" s="8"/>
      <c r="AA328" s="8"/>
      <c r="AB328" s="10"/>
      <c r="AC328" s="10"/>
      <c r="AD328" s="10"/>
      <c r="AE328" s="11"/>
      <c r="AF328" s="11"/>
      <c r="AG328" s="11"/>
      <c r="AH328" s="11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ht="36" customHeight="1" x14ac:dyDescent="0.25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4"/>
      <c r="L329" s="4"/>
      <c r="M329" s="4"/>
      <c r="N329" s="4"/>
      <c r="O329" s="5"/>
      <c r="P329" s="5"/>
      <c r="Q329" s="5"/>
      <c r="R329" s="5"/>
      <c r="S329" s="18"/>
      <c r="T329" s="19"/>
      <c r="U329" s="19"/>
      <c r="V329" s="7"/>
      <c r="W329" s="7"/>
      <c r="X329" s="19"/>
      <c r="Y329" s="19"/>
      <c r="Z329" s="8"/>
      <c r="AA329" s="8"/>
      <c r="AB329" s="10"/>
      <c r="AC329" s="10"/>
      <c r="AD329" s="10"/>
      <c r="AE329" s="11"/>
      <c r="AF329" s="11"/>
      <c r="AG329" s="11"/>
      <c r="AH329" s="11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ht="36" customHeight="1" x14ac:dyDescent="0.25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4"/>
      <c r="L330" s="4"/>
      <c r="M330" s="4"/>
      <c r="N330" s="4"/>
      <c r="O330" s="5"/>
      <c r="P330" s="5"/>
      <c r="Q330" s="5"/>
      <c r="R330" s="5"/>
      <c r="S330" s="18"/>
      <c r="T330" s="19"/>
      <c r="U330" s="19"/>
      <c r="V330" s="7"/>
      <c r="W330" s="7"/>
      <c r="X330" s="19"/>
      <c r="Y330" s="19"/>
      <c r="Z330" s="8"/>
      <c r="AA330" s="8"/>
      <c r="AB330" s="10"/>
      <c r="AC330" s="10"/>
      <c r="AD330" s="10"/>
      <c r="AE330" s="11"/>
      <c r="AF330" s="11"/>
      <c r="AG330" s="11"/>
      <c r="AH330" s="11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ht="36" customHeight="1" x14ac:dyDescent="0.25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4"/>
      <c r="L331" s="4"/>
      <c r="M331" s="4"/>
      <c r="N331" s="4"/>
      <c r="O331" s="5"/>
      <c r="P331" s="5"/>
      <c r="Q331" s="5"/>
      <c r="R331" s="5"/>
      <c r="S331" s="18"/>
      <c r="T331" s="19"/>
      <c r="U331" s="19"/>
      <c r="V331" s="7"/>
      <c r="W331" s="7"/>
      <c r="X331" s="19"/>
      <c r="Y331" s="19"/>
      <c r="Z331" s="8"/>
      <c r="AA331" s="8"/>
      <c r="AB331" s="10"/>
      <c r="AC331" s="10"/>
      <c r="AD331" s="10"/>
      <c r="AE331" s="11"/>
      <c r="AF331" s="11"/>
      <c r="AG331" s="11"/>
      <c r="AH331" s="11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ht="36" customHeight="1" x14ac:dyDescent="0.25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4"/>
      <c r="L332" s="4"/>
      <c r="M332" s="4"/>
      <c r="N332" s="4"/>
      <c r="O332" s="5"/>
      <c r="P332" s="5"/>
      <c r="Q332" s="5"/>
      <c r="R332" s="5"/>
      <c r="S332" s="18"/>
      <c r="T332" s="19"/>
      <c r="U332" s="19"/>
      <c r="V332" s="7"/>
      <c r="W332" s="7"/>
      <c r="X332" s="19"/>
      <c r="Y332" s="19"/>
      <c r="Z332" s="8"/>
      <c r="AA332" s="8"/>
      <c r="AB332" s="10"/>
      <c r="AC332" s="10"/>
      <c r="AD332" s="10"/>
      <c r="AE332" s="11"/>
      <c r="AF332" s="11"/>
      <c r="AG332" s="11"/>
      <c r="AH332" s="11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ht="36" customHeight="1" x14ac:dyDescent="0.25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4"/>
      <c r="L333" s="4"/>
      <c r="M333" s="4"/>
      <c r="N333" s="4"/>
      <c r="O333" s="5"/>
      <c r="P333" s="5"/>
      <c r="Q333" s="5"/>
      <c r="R333" s="5"/>
      <c r="S333" s="18"/>
      <c r="T333" s="19"/>
      <c r="U333" s="19"/>
      <c r="V333" s="7"/>
      <c r="W333" s="7"/>
      <c r="X333" s="19"/>
      <c r="Y333" s="19"/>
      <c r="Z333" s="8"/>
      <c r="AA333" s="8"/>
      <c r="AB333" s="10"/>
      <c r="AC333" s="10"/>
      <c r="AD333" s="10"/>
      <c r="AE333" s="11"/>
      <c r="AF333" s="11"/>
      <c r="AG333" s="11"/>
      <c r="AH333" s="11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ht="36" customHeight="1" x14ac:dyDescent="0.25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4"/>
      <c r="L334" s="4"/>
      <c r="M334" s="4"/>
      <c r="N334" s="4"/>
      <c r="O334" s="5"/>
      <c r="P334" s="5"/>
      <c r="Q334" s="5"/>
      <c r="R334" s="5"/>
      <c r="S334" s="18"/>
      <c r="T334" s="19"/>
      <c r="U334" s="19"/>
      <c r="V334" s="7"/>
      <c r="W334" s="7"/>
      <c r="X334" s="19"/>
      <c r="Y334" s="19"/>
      <c r="Z334" s="8"/>
      <c r="AA334" s="8"/>
      <c r="AB334" s="10"/>
      <c r="AC334" s="10"/>
      <c r="AD334" s="10"/>
      <c r="AE334" s="11"/>
      <c r="AF334" s="11"/>
      <c r="AG334" s="11"/>
      <c r="AH334" s="11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ht="36" customHeight="1" x14ac:dyDescent="0.25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4"/>
      <c r="L335" s="4"/>
      <c r="M335" s="4"/>
      <c r="N335" s="4"/>
      <c r="O335" s="5"/>
      <c r="P335" s="5"/>
      <c r="Q335" s="5"/>
      <c r="R335" s="5"/>
      <c r="S335" s="18"/>
      <c r="T335" s="19"/>
      <c r="U335" s="19"/>
      <c r="V335" s="7"/>
      <c r="W335" s="7"/>
      <c r="X335" s="19"/>
      <c r="Y335" s="19"/>
      <c r="Z335" s="8"/>
      <c r="AA335" s="8"/>
      <c r="AB335" s="10"/>
      <c r="AC335" s="10"/>
      <c r="AD335" s="10"/>
      <c r="AE335" s="11"/>
      <c r="AF335" s="11"/>
      <c r="AG335" s="11"/>
      <c r="AH335" s="11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ht="36" customHeight="1" x14ac:dyDescent="0.25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4"/>
      <c r="L336" s="4"/>
      <c r="M336" s="4"/>
      <c r="N336" s="4"/>
      <c r="O336" s="5"/>
      <c r="P336" s="5"/>
      <c r="Q336" s="5"/>
      <c r="R336" s="5"/>
      <c r="S336" s="18"/>
      <c r="T336" s="19"/>
      <c r="U336" s="19"/>
      <c r="V336" s="7"/>
      <c r="W336" s="7"/>
      <c r="X336" s="19"/>
      <c r="Y336" s="19"/>
      <c r="Z336" s="8"/>
      <c r="AA336" s="8"/>
      <c r="AB336" s="10"/>
      <c r="AC336" s="10"/>
      <c r="AD336" s="10"/>
      <c r="AE336" s="11"/>
      <c r="AF336" s="11"/>
      <c r="AG336" s="11"/>
      <c r="AH336" s="11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ht="36" customHeight="1" x14ac:dyDescent="0.25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4"/>
      <c r="L337" s="4"/>
      <c r="M337" s="4"/>
      <c r="N337" s="4"/>
      <c r="O337" s="5"/>
      <c r="P337" s="5"/>
      <c r="Q337" s="5"/>
      <c r="R337" s="5"/>
      <c r="S337" s="18"/>
      <c r="T337" s="19"/>
      <c r="U337" s="19"/>
      <c r="V337" s="7"/>
      <c r="W337" s="7"/>
      <c r="X337" s="19"/>
      <c r="Y337" s="19"/>
      <c r="Z337" s="8"/>
      <c r="AA337" s="8"/>
      <c r="AB337" s="10"/>
      <c r="AC337" s="10"/>
      <c r="AD337" s="10"/>
      <c r="AE337" s="11"/>
      <c r="AF337" s="11"/>
      <c r="AG337" s="11"/>
      <c r="AH337" s="11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ht="36" customHeight="1" x14ac:dyDescent="0.25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4"/>
      <c r="L338" s="4"/>
      <c r="M338" s="4"/>
      <c r="N338" s="4"/>
      <c r="O338" s="5"/>
      <c r="P338" s="5"/>
      <c r="Q338" s="5"/>
      <c r="R338" s="5"/>
      <c r="S338" s="18"/>
      <c r="T338" s="19"/>
      <c r="U338" s="19"/>
      <c r="V338" s="7"/>
      <c r="W338" s="7"/>
      <c r="X338" s="19"/>
      <c r="Y338" s="19"/>
      <c r="Z338" s="8"/>
      <c r="AA338" s="8"/>
      <c r="AB338" s="10"/>
      <c r="AC338" s="10"/>
      <c r="AD338" s="10"/>
      <c r="AE338" s="11"/>
      <c r="AF338" s="11"/>
      <c r="AG338" s="11"/>
      <c r="AH338" s="11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ht="36" customHeight="1" x14ac:dyDescent="0.25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4"/>
      <c r="L339" s="4"/>
      <c r="M339" s="4"/>
      <c r="N339" s="4"/>
      <c r="O339" s="5"/>
      <c r="P339" s="5"/>
      <c r="Q339" s="5"/>
      <c r="R339" s="5"/>
      <c r="S339" s="18"/>
      <c r="T339" s="19"/>
      <c r="U339" s="19"/>
      <c r="V339" s="7"/>
      <c r="W339" s="7"/>
      <c r="X339" s="19"/>
      <c r="Y339" s="19"/>
      <c r="Z339" s="8"/>
      <c r="AA339" s="8"/>
      <c r="AB339" s="10"/>
      <c r="AC339" s="10"/>
      <c r="AD339" s="10"/>
      <c r="AE339" s="11"/>
      <c r="AF339" s="11"/>
      <c r="AG339" s="11"/>
      <c r="AH339" s="11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ht="36" customHeight="1" x14ac:dyDescent="0.25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4"/>
      <c r="L340" s="4"/>
      <c r="M340" s="4"/>
      <c r="N340" s="4"/>
      <c r="O340" s="5"/>
      <c r="P340" s="5"/>
      <c r="Q340" s="5"/>
      <c r="R340" s="5"/>
      <c r="S340" s="18"/>
      <c r="T340" s="19"/>
      <c r="U340" s="19"/>
      <c r="V340" s="7"/>
      <c r="W340" s="7"/>
      <c r="X340" s="19"/>
      <c r="Y340" s="19"/>
      <c r="Z340" s="8"/>
      <c r="AA340" s="8"/>
      <c r="AB340" s="10"/>
      <c r="AC340" s="10"/>
      <c r="AD340" s="10"/>
      <c r="AE340" s="11"/>
      <c r="AF340" s="11"/>
      <c r="AG340" s="11"/>
      <c r="AH340" s="11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ht="36" customHeight="1" x14ac:dyDescent="0.25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4"/>
      <c r="L341" s="4"/>
      <c r="M341" s="4"/>
      <c r="N341" s="4"/>
      <c r="O341" s="5"/>
      <c r="P341" s="5"/>
      <c r="Q341" s="5"/>
      <c r="R341" s="5"/>
      <c r="S341" s="18"/>
      <c r="T341" s="19"/>
      <c r="U341" s="19"/>
      <c r="V341" s="7"/>
      <c r="W341" s="7"/>
      <c r="X341" s="19"/>
      <c r="Y341" s="19"/>
      <c r="Z341" s="8"/>
      <c r="AA341" s="8"/>
      <c r="AB341" s="10"/>
      <c r="AC341" s="10"/>
      <c r="AD341" s="10"/>
      <c r="AE341" s="11"/>
      <c r="AF341" s="11"/>
      <c r="AG341" s="11"/>
      <c r="AH341" s="11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ht="36" customHeight="1" x14ac:dyDescent="0.25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4"/>
      <c r="L342" s="4"/>
      <c r="M342" s="4"/>
      <c r="N342" s="4"/>
      <c r="O342" s="5"/>
      <c r="P342" s="5"/>
      <c r="Q342" s="5"/>
      <c r="R342" s="5"/>
      <c r="S342" s="18"/>
      <c r="T342" s="19"/>
      <c r="U342" s="19"/>
      <c r="V342" s="7"/>
      <c r="W342" s="7"/>
      <c r="X342" s="19"/>
      <c r="Y342" s="19"/>
      <c r="Z342" s="8"/>
      <c r="AA342" s="8"/>
      <c r="AB342" s="10"/>
      <c r="AC342" s="10"/>
      <c r="AD342" s="10"/>
      <c r="AE342" s="11"/>
      <c r="AF342" s="11"/>
      <c r="AG342" s="11"/>
      <c r="AH342" s="11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ht="36" customHeight="1" x14ac:dyDescent="0.25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4"/>
      <c r="L343" s="4"/>
      <c r="M343" s="4"/>
      <c r="N343" s="4"/>
      <c r="O343" s="5"/>
      <c r="P343" s="5"/>
      <c r="Q343" s="5"/>
      <c r="R343" s="5"/>
      <c r="S343" s="18"/>
      <c r="T343" s="19"/>
      <c r="U343" s="19"/>
      <c r="V343" s="7"/>
      <c r="W343" s="7"/>
      <c r="X343" s="19"/>
      <c r="Y343" s="19"/>
      <c r="Z343" s="8"/>
      <c r="AA343" s="8"/>
      <c r="AB343" s="10"/>
      <c r="AC343" s="10"/>
      <c r="AD343" s="10"/>
      <c r="AE343" s="11"/>
      <c r="AF343" s="11"/>
      <c r="AG343" s="11"/>
      <c r="AH343" s="11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ht="36" customHeight="1" x14ac:dyDescent="0.25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4"/>
      <c r="L344" s="4"/>
      <c r="M344" s="4"/>
      <c r="N344" s="4"/>
      <c r="O344" s="5"/>
      <c r="P344" s="5"/>
      <c r="Q344" s="5"/>
      <c r="R344" s="5"/>
      <c r="S344" s="18"/>
      <c r="T344" s="19"/>
      <c r="U344" s="19"/>
      <c r="V344" s="7"/>
      <c r="W344" s="7"/>
      <c r="X344" s="19"/>
      <c r="Y344" s="19"/>
      <c r="Z344" s="8"/>
      <c r="AA344" s="8"/>
      <c r="AB344" s="10"/>
      <c r="AC344" s="10"/>
      <c r="AD344" s="10"/>
      <c r="AE344" s="11"/>
      <c r="AF344" s="11"/>
      <c r="AG344" s="11"/>
      <c r="AH344" s="11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ht="36" customHeight="1" x14ac:dyDescent="0.25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4"/>
      <c r="L345" s="4"/>
      <c r="M345" s="4"/>
      <c r="N345" s="4"/>
      <c r="O345" s="5"/>
      <c r="P345" s="5"/>
      <c r="Q345" s="5"/>
      <c r="R345" s="5"/>
      <c r="S345" s="18"/>
      <c r="T345" s="19"/>
      <c r="U345" s="19"/>
      <c r="V345" s="7"/>
      <c r="W345" s="7"/>
      <c r="X345" s="19"/>
      <c r="Y345" s="19"/>
      <c r="Z345" s="8"/>
      <c r="AA345" s="8"/>
      <c r="AB345" s="10"/>
      <c r="AC345" s="10"/>
      <c r="AD345" s="10"/>
      <c r="AE345" s="11"/>
      <c r="AF345" s="11"/>
      <c r="AG345" s="11"/>
      <c r="AH345" s="11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ht="36" customHeight="1" x14ac:dyDescent="0.25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4"/>
      <c r="L346" s="4"/>
      <c r="M346" s="4"/>
      <c r="N346" s="4"/>
      <c r="O346" s="5"/>
      <c r="P346" s="5"/>
      <c r="Q346" s="5"/>
      <c r="R346" s="5"/>
      <c r="S346" s="18"/>
      <c r="T346" s="19"/>
      <c r="U346" s="19"/>
      <c r="V346" s="7"/>
      <c r="W346" s="7"/>
      <c r="X346" s="19"/>
      <c r="Y346" s="19"/>
      <c r="Z346" s="8"/>
      <c r="AA346" s="8"/>
      <c r="AB346" s="10"/>
      <c r="AC346" s="10"/>
      <c r="AD346" s="10"/>
      <c r="AE346" s="11"/>
      <c r="AF346" s="11"/>
      <c r="AG346" s="11"/>
      <c r="AH346" s="11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ht="36" customHeight="1" x14ac:dyDescent="0.25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4"/>
      <c r="L347" s="4"/>
      <c r="M347" s="4"/>
      <c r="N347" s="4"/>
      <c r="O347" s="5"/>
      <c r="P347" s="5"/>
      <c r="Q347" s="5"/>
      <c r="R347" s="5"/>
      <c r="S347" s="18"/>
      <c r="T347" s="19"/>
      <c r="U347" s="19"/>
      <c r="V347" s="7"/>
      <c r="W347" s="7"/>
      <c r="X347" s="19"/>
      <c r="Y347" s="19"/>
      <c r="Z347" s="8"/>
      <c r="AA347" s="8"/>
      <c r="AB347" s="10"/>
      <c r="AC347" s="10"/>
      <c r="AD347" s="10"/>
      <c r="AE347" s="11"/>
      <c r="AF347" s="11"/>
      <c r="AG347" s="11"/>
      <c r="AH347" s="11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x14ac:dyDescent="0.25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4"/>
      <c r="L348" s="4"/>
      <c r="M348" s="4"/>
      <c r="N348" s="4"/>
      <c r="O348" s="5"/>
      <c r="P348" s="5"/>
      <c r="Q348" s="5"/>
      <c r="R348" s="5"/>
      <c r="S348" s="18"/>
      <c r="T348" s="19"/>
      <c r="U348" s="19"/>
      <c r="V348" s="7"/>
      <c r="W348" s="7"/>
      <c r="X348" s="19"/>
      <c r="Y348" s="19"/>
      <c r="Z348" s="8"/>
      <c r="AA348" s="8"/>
      <c r="AB348" s="10"/>
      <c r="AC348" s="10"/>
      <c r="AD348" s="10"/>
      <c r="AE348" s="11"/>
      <c r="AF348" s="11"/>
      <c r="AG348" s="11"/>
      <c r="AH348" s="11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x14ac:dyDescent="0.25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4"/>
      <c r="L349" s="4"/>
      <c r="M349" s="4"/>
      <c r="N349" s="4"/>
      <c r="O349" s="5"/>
      <c r="P349" s="5"/>
      <c r="Q349" s="5"/>
      <c r="R349" s="5"/>
      <c r="S349" s="18"/>
      <c r="T349" s="19"/>
      <c r="U349" s="19"/>
      <c r="V349" s="7"/>
      <c r="W349" s="7"/>
      <c r="X349" s="19"/>
      <c r="Y349" s="19"/>
      <c r="Z349" s="8"/>
      <c r="AA349" s="8"/>
      <c r="AB349" s="10"/>
      <c r="AC349" s="10"/>
      <c r="AD349" s="10"/>
      <c r="AE349" s="11"/>
      <c r="AF349" s="11"/>
      <c r="AG349" s="11"/>
      <c r="AH349" s="11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x14ac:dyDescent="0.25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4"/>
      <c r="L350" s="4"/>
      <c r="M350" s="4"/>
      <c r="N350" s="4"/>
      <c r="O350" s="5"/>
      <c r="P350" s="5"/>
      <c r="Q350" s="5"/>
      <c r="R350" s="5"/>
      <c r="S350" s="18"/>
      <c r="T350" s="19"/>
      <c r="U350" s="19"/>
      <c r="V350" s="7"/>
      <c r="W350" s="7"/>
      <c r="X350" s="19"/>
      <c r="Y350" s="19"/>
      <c r="Z350" s="8"/>
      <c r="AA350" s="8"/>
      <c r="AB350" s="10"/>
      <c r="AC350" s="10"/>
      <c r="AD350" s="10"/>
      <c r="AE350" s="11"/>
      <c r="AF350" s="11"/>
      <c r="AG350" s="11"/>
      <c r="AH350" s="11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x14ac:dyDescent="0.25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4"/>
      <c r="L351" s="4"/>
      <c r="M351" s="4"/>
      <c r="N351" s="4"/>
      <c r="O351" s="5"/>
      <c r="P351" s="5"/>
      <c r="Q351" s="5"/>
      <c r="R351" s="5"/>
      <c r="S351" s="18"/>
      <c r="T351" s="19"/>
      <c r="U351" s="19"/>
      <c r="V351" s="7"/>
      <c r="W351" s="7"/>
      <c r="X351" s="19"/>
      <c r="Y351" s="19"/>
      <c r="Z351" s="8"/>
      <c r="AA351" s="8"/>
      <c r="AB351" s="10"/>
      <c r="AC351" s="10"/>
      <c r="AD351" s="10"/>
      <c r="AE351" s="11"/>
      <c r="AF351" s="11"/>
      <c r="AG351" s="11"/>
      <c r="AH351" s="11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x14ac:dyDescent="0.25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4"/>
      <c r="L352" s="4"/>
      <c r="M352" s="4"/>
      <c r="N352" s="4"/>
      <c r="O352" s="5"/>
      <c r="P352" s="5"/>
      <c r="Q352" s="5"/>
      <c r="R352" s="5"/>
      <c r="S352" s="18"/>
      <c r="T352" s="19"/>
      <c r="U352" s="19"/>
      <c r="V352" s="7"/>
      <c r="W352" s="7"/>
      <c r="X352" s="19"/>
      <c r="Y352" s="19"/>
      <c r="Z352" s="8"/>
      <c r="AA352" s="8"/>
      <c r="AB352" s="10"/>
      <c r="AC352" s="10"/>
      <c r="AD352" s="10"/>
      <c r="AE352" s="11"/>
      <c r="AF352" s="11"/>
      <c r="AG352" s="11"/>
      <c r="AH352" s="11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x14ac:dyDescent="0.25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4"/>
      <c r="L353" s="4"/>
      <c r="M353" s="4"/>
      <c r="N353" s="4"/>
      <c r="O353" s="5"/>
      <c r="P353" s="5"/>
      <c r="Q353" s="5"/>
      <c r="R353" s="5"/>
      <c r="S353" s="18"/>
      <c r="T353" s="19"/>
      <c r="U353" s="19"/>
      <c r="V353" s="7"/>
      <c r="W353" s="7"/>
      <c r="X353" s="19"/>
      <c r="Y353" s="19"/>
      <c r="Z353" s="8"/>
      <c r="AA353" s="8"/>
      <c r="AB353" s="10"/>
      <c r="AC353" s="10"/>
      <c r="AD353" s="10"/>
      <c r="AE353" s="11"/>
      <c r="AF353" s="11"/>
      <c r="AG353" s="11"/>
      <c r="AH353" s="11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x14ac:dyDescent="0.25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4"/>
      <c r="L354" s="4"/>
      <c r="M354" s="4"/>
      <c r="N354" s="4"/>
      <c r="O354" s="5"/>
      <c r="P354" s="5"/>
      <c r="Q354" s="5"/>
      <c r="R354" s="5"/>
      <c r="S354" s="18"/>
      <c r="T354" s="19"/>
      <c r="U354" s="19"/>
      <c r="V354" s="7"/>
      <c r="W354" s="7"/>
      <c r="X354" s="19"/>
      <c r="Y354" s="19"/>
      <c r="Z354" s="8"/>
      <c r="AA354" s="8"/>
      <c r="AB354" s="10"/>
      <c r="AC354" s="10"/>
      <c r="AD354" s="10"/>
      <c r="AE354" s="11"/>
      <c r="AF354" s="11"/>
      <c r="AG354" s="11"/>
      <c r="AH354" s="11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x14ac:dyDescent="0.25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4"/>
      <c r="L355" s="4"/>
      <c r="M355" s="4"/>
      <c r="N355" s="4"/>
      <c r="O355" s="5"/>
      <c r="P355" s="5"/>
      <c r="Q355" s="5"/>
      <c r="R355" s="5"/>
      <c r="S355" s="18"/>
      <c r="T355" s="19"/>
      <c r="U355" s="19"/>
      <c r="V355" s="7"/>
      <c r="W355" s="7"/>
      <c r="X355" s="19"/>
      <c r="Y355" s="19"/>
      <c r="Z355" s="8"/>
      <c r="AA355" s="8"/>
      <c r="AB355" s="10"/>
      <c r="AC355" s="10"/>
      <c r="AD355" s="10"/>
      <c r="AE355" s="11"/>
      <c r="AF355" s="11"/>
      <c r="AG355" s="11"/>
      <c r="AH355" s="11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x14ac:dyDescent="0.25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4"/>
      <c r="L356" s="4"/>
      <c r="M356" s="4"/>
      <c r="N356" s="4"/>
      <c r="O356" s="5"/>
      <c r="P356" s="5"/>
      <c r="Q356" s="5"/>
      <c r="R356" s="5"/>
      <c r="S356" s="18"/>
      <c r="T356" s="19"/>
      <c r="U356" s="19"/>
      <c r="V356" s="7"/>
      <c r="W356" s="7"/>
      <c r="X356" s="19"/>
      <c r="Y356" s="19"/>
      <c r="Z356" s="8"/>
      <c r="AA356" s="8"/>
      <c r="AB356" s="10"/>
      <c r="AC356" s="10"/>
      <c r="AD356" s="10"/>
      <c r="AE356" s="11"/>
      <c r="AF356" s="11"/>
      <c r="AG356" s="11"/>
      <c r="AH356" s="11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x14ac:dyDescent="0.25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4"/>
      <c r="L357" s="4"/>
      <c r="M357" s="4"/>
      <c r="N357" s="4"/>
      <c r="O357" s="5"/>
      <c r="P357" s="5"/>
      <c r="Q357" s="5"/>
      <c r="R357" s="5"/>
      <c r="S357" s="18"/>
      <c r="T357" s="19"/>
      <c r="U357" s="19"/>
      <c r="V357" s="7"/>
      <c r="W357" s="7"/>
      <c r="X357" s="19"/>
      <c r="Y357" s="19"/>
      <c r="Z357" s="8"/>
      <c r="AA357" s="8"/>
      <c r="AB357" s="10"/>
      <c r="AC357" s="10"/>
      <c r="AD357" s="10"/>
      <c r="AE357" s="11"/>
      <c r="AF357" s="11"/>
      <c r="AG357" s="11"/>
      <c r="AH357" s="11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x14ac:dyDescent="0.25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4"/>
      <c r="L358" s="4"/>
      <c r="M358" s="4"/>
      <c r="N358" s="4"/>
      <c r="O358" s="5"/>
      <c r="P358" s="5"/>
      <c r="Q358" s="5"/>
      <c r="R358" s="5"/>
      <c r="S358" s="18"/>
      <c r="T358" s="19"/>
      <c r="U358" s="19"/>
      <c r="V358" s="7"/>
      <c r="W358" s="7"/>
      <c r="X358" s="19"/>
      <c r="Y358" s="19"/>
      <c r="Z358" s="8"/>
      <c r="AA358" s="8"/>
      <c r="AB358" s="10"/>
      <c r="AC358" s="10"/>
      <c r="AD358" s="10"/>
      <c r="AE358" s="11"/>
      <c r="AF358" s="11"/>
      <c r="AG358" s="11"/>
      <c r="AH358" s="11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x14ac:dyDescent="0.25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4"/>
      <c r="L359" s="4"/>
      <c r="M359" s="4"/>
      <c r="N359" s="4"/>
      <c r="O359" s="5"/>
      <c r="P359" s="5"/>
      <c r="Q359" s="5"/>
      <c r="R359" s="5"/>
      <c r="S359" s="18"/>
      <c r="T359" s="19"/>
      <c r="U359" s="19"/>
      <c r="V359" s="7"/>
      <c r="W359" s="7"/>
      <c r="X359" s="19"/>
      <c r="Y359" s="19"/>
      <c r="Z359" s="8"/>
      <c r="AA359" s="8"/>
      <c r="AB359" s="10"/>
      <c r="AC359" s="10"/>
      <c r="AD359" s="10"/>
      <c r="AE359" s="11"/>
      <c r="AF359" s="11"/>
      <c r="AG359" s="11"/>
      <c r="AH359" s="11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x14ac:dyDescent="0.25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4"/>
      <c r="L360" s="4"/>
      <c r="M360" s="4"/>
      <c r="N360" s="4"/>
      <c r="O360" s="5"/>
      <c r="P360" s="5"/>
      <c r="Q360" s="5"/>
      <c r="R360" s="5"/>
      <c r="S360" s="18"/>
      <c r="T360" s="19"/>
      <c r="U360" s="19"/>
      <c r="V360" s="7"/>
      <c r="W360" s="7"/>
      <c r="X360" s="19"/>
      <c r="Y360" s="19"/>
      <c r="Z360" s="8"/>
      <c r="AA360" s="8"/>
      <c r="AB360" s="10"/>
      <c r="AC360" s="10"/>
      <c r="AD360" s="10"/>
      <c r="AE360" s="11"/>
      <c r="AF360" s="11"/>
      <c r="AG360" s="11"/>
      <c r="AH360" s="11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x14ac:dyDescent="0.25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4"/>
      <c r="L361" s="4"/>
      <c r="M361" s="4"/>
      <c r="N361" s="4"/>
      <c r="O361" s="5"/>
      <c r="P361" s="5"/>
      <c r="Q361" s="5"/>
      <c r="R361" s="5"/>
      <c r="S361" s="18"/>
      <c r="T361" s="19"/>
      <c r="U361" s="19"/>
      <c r="V361" s="7"/>
      <c r="W361" s="7"/>
      <c r="X361" s="19"/>
      <c r="Y361" s="19"/>
      <c r="Z361" s="8"/>
      <c r="AA361" s="8"/>
      <c r="AB361" s="10"/>
      <c r="AC361" s="10"/>
      <c r="AD361" s="10"/>
      <c r="AE361" s="11"/>
      <c r="AF361" s="11"/>
      <c r="AG361" s="11"/>
      <c r="AH361" s="11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x14ac:dyDescent="0.25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4"/>
      <c r="L362" s="4"/>
      <c r="M362" s="4"/>
      <c r="N362" s="4"/>
      <c r="O362" s="5"/>
      <c r="P362" s="5"/>
      <c r="Q362" s="5"/>
      <c r="R362" s="5"/>
      <c r="S362" s="18"/>
      <c r="T362" s="19"/>
      <c r="U362" s="19"/>
      <c r="V362" s="7"/>
      <c r="W362" s="7"/>
      <c r="X362" s="19"/>
      <c r="Y362" s="19"/>
      <c r="Z362" s="8"/>
      <c r="AA362" s="8"/>
      <c r="AB362" s="10"/>
      <c r="AC362" s="10"/>
      <c r="AD362" s="10"/>
      <c r="AE362" s="11"/>
      <c r="AF362" s="11"/>
      <c r="AG362" s="11"/>
      <c r="AH362" s="11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x14ac:dyDescent="0.25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4"/>
      <c r="L363" s="4"/>
      <c r="M363" s="4"/>
      <c r="N363" s="4"/>
      <c r="O363" s="5"/>
      <c r="P363" s="5"/>
      <c r="Q363" s="5"/>
      <c r="R363" s="5"/>
      <c r="S363" s="18"/>
      <c r="T363" s="19"/>
      <c r="U363" s="19"/>
      <c r="V363" s="7"/>
      <c r="W363" s="7"/>
      <c r="X363" s="19"/>
      <c r="Y363" s="19"/>
      <c r="Z363" s="8"/>
      <c r="AA363" s="8"/>
      <c r="AB363" s="10"/>
      <c r="AC363" s="10"/>
      <c r="AD363" s="10"/>
      <c r="AE363" s="11"/>
      <c r="AF363" s="11"/>
      <c r="AG363" s="11"/>
      <c r="AH363" s="11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x14ac:dyDescent="0.25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4"/>
      <c r="L364" s="4"/>
      <c r="M364" s="4"/>
      <c r="N364" s="4"/>
      <c r="O364" s="5"/>
      <c r="P364" s="5"/>
      <c r="Q364" s="5"/>
      <c r="R364" s="5"/>
      <c r="S364" s="18"/>
      <c r="T364" s="19"/>
      <c r="U364" s="19"/>
      <c r="V364" s="7"/>
      <c r="W364" s="7"/>
      <c r="X364" s="19"/>
      <c r="Y364" s="19"/>
      <c r="Z364" s="8"/>
      <c r="AA364" s="8"/>
      <c r="AB364" s="10"/>
      <c r="AC364" s="10"/>
      <c r="AD364" s="10"/>
      <c r="AE364" s="11"/>
      <c r="AF364" s="11"/>
      <c r="AG364" s="11"/>
      <c r="AH364" s="11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x14ac:dyDescent="0.25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4"/>
      <c r="L365" s="4"/>
      <c r="M365" s="4"/>
      <c r="N365" s="4"/>
      <c r="O365" s="5"/>
      <c r="P365" s="5"/>
      <c r="Q365" s="5"/>
      <c r="R365" s="5"/>
      <c r="S365" s="18"/>
      <c r="T365" s="19"/>
      <c r="U365" s="19"/>
      <c r="V365" s="7"/>
      <c r="W365" s="7"/>
      <c r="X365" s="19"/>
      <c r="Y365" s="19"/>
      <c r="Z365" s="8"/>
      <c r="AA365" s="8"/>
      <c r="AB365" s="10"/>
      <c r="AC365" s="10"/>
      <c r="AD365" s="10"/>
      <c r="AE365" s="11"/>
      <c r="AF365" s="11"/>
      <c r="AG365" s="11"/>
      <c r="AH365" s="11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x14ac:dyDescent="0.25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4"/>
      <c r="L366" s="4"/>
      <c r="M366" s="4"/>
      <c r="N366" s="4"/>
      <c r="O366" s="5"/>
      <c r="P366" s="5"/>
      <c r="Q366" s="5"/>
      <c r="R366" s="5"/>
      <c r="S366" s="18"/>
      <c r="T366" s="19"/>
      <c r="U366" s="19"/>
      <c r="V366" s="7"/>
      <c r="W366" s="7"/>
      <c r="X366" s="19"/>
      <c r="Y366" s="19"/>
      <c r="Z366" s="8"/>
      <c r="AA366" s="8"/>
      <c r="AB366" s="10"/>
      <c r="AC366" s="10"/>
      <c r="AD366" s="10"/>
      <c r="AE366" s="11"/>
      <c r="AF366" s="11"/>
      <c r="AG366" s="11"/>
      <c r="AH366" s="11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x14ac:dyDescent="0.25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4"/>
      <c r="L367" s="4"/>
      <c r="M367" s="4"/>
      <c r="N367" s="4"/>
      <c r="O367" s="5"/>
      <c r="P367" s="5"/>
      <c r="Q367" s="5"/>
      <c r="R367" s="5"/>
      <c r="S367" s="18"/>
      <c r="T367" s="19"/>
      <c r="U367" s="19"/>
      <c r="V367" s="7"/>
      <c r="W367" s="7"/>
      <c r="X367" s="19"/>
      <c r="Y367" s="19"/>
      <c r="Z367" s="8"/>
      <c r="AA367" s="8"/>
      <c r="AB367" s="10"/>
      <c r="AC367" s="10"/>
      <c r="AD367" s="10"/>
      <c r="AE367" s="11"/>
      <c r="AF367" s="11"/>
      <c r="AG367" s="11"/>
      <c r="AH367" s="11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x14ac:dyDescent="0.25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4"/>
      <c r="L368" s="4"/>
      <c r="M368" s="4"/>
      <c r="N368" s="4"/>
      <c r="O368" s="5"/>
      <c r="P368" s="5"/>
      <c r="Q368" s="5"/>
      <c r="R368" s="5"/>
      <c r="S368" s="18"/>
      <c r="T368" s="19"/>
      <c r="U368" s="19"/>
      <c r="V368" s="7"/>
      <c r="W368" s="7"/>
      <c r="X368" s="19"/>
      <c r="Y368" s="19"/>
      <c r="Z368" s="8"/>
      <c r="AA368" s="8"/>
      <c r="AB368" s="10"/>
      <c r="AC368" s="10"/>
      <c r="AD368" s="10"/>
      <c r="AE368" s="11"/>
      <c r="AF368" s="11"/>
      <c r="AG368" s="11"/>
      <c r="AH368" s="11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x14ac:dyDescent="0.25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4"/>
      <c r="L369" s="4"/>
      <c r="M369" s="4"/>
      <c r="N369" s="4"/>
      <c r="O369" s="5"/>
      <c r="P369" s="5"/>
      <c r="Q369" s="5"/>
      <c r="R369" s="5"/>
      <c r="S369" s="18"/>
      <c r="T369" s="19"/>
      <c r="U369" s="19"/>
      <c r="V369" s="7"/>
      <c r="W369" s="7"/>
      <c r="X369" s="19"/>
      <c r="Y369" s="19"/>
      <c r="Z369" s="8"/>
      <c r="AA369" s="8"/>
      <c r="AB369" s="10"/>
      <c r="AC369" s="10"/>
      <c r="AD369" s="10"/>
      <c r="AE369" s="11"/>
      <c r="AF369" s="11"/>
      <c r="AG369" s="11"/>
      <c r="AH369" s="11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x14ac:dyDescent="0.25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4"/>
      <c r="L370" s="4"/>
      <c r="M370" s="4"/>
      <c r="N370" s="4"/>
      <c r="O370" s="5"/>
      <c r="P370" s="5"/>
      <c r="Q370" s="5"/>
      <c r="R370" s="5"/>
      <c r="S370" s="18"/>
      <c r="T370" s="19"/>
      <c r="U370" s="19"/>
      <c r="V370" s="7"/>
      <c r="W370" s="7"/>
      <c r="X370" s="19"/>
      <c r="Y370" s="19"/>
      <c r="Z370" s="8"/>
      <c r="AA370" s="8"/>
      <c r="AB370" s="10"/>
      <c r="AC370" s="10"/>
      <c r="AD370" s="10"/>
      <c r="AE370" s="11"/>
      <c r="AF370" s="11"/>
      <c r="AG370" s="11"/>
      <c r="AH370" s="11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x14ac:dyDescent="0.25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4"/>
      <c r="L371" s="4"/>
      <c r="M371" s="4"/>
      <c r="N371" s="4"/>
      <c r="O371" s="5"/>
      <c r="P371" s="5"/>
      <c r="Q371" s="5"/>
      <c r="R371" s="5"/>
      <c r="S371" s="18"/>
      <c r="T371" s="19"/>
      <c r="U371" s="19"/>
      <c r="V371" s="7"/>
      <c r="W371" s="7"/>
      <c r="X371" s="19"/>
      <c r="Y371" s="19"/>
      <c r="Z371" s="8"/>
      <c r="AA371" s="8"/>
      <c r="AB371" s="10"/>
      <c r="AC371" s="10"/>
      <c r="AD371" s="10"/>
      <c r="AE371" s="11"/>
      <c r="AF371" s="11"/>
      <c r="AG371" s="11"/>
      <c r="AH371" s="11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x14ac:dyDescent="0.25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4"/>
      <c r="L372" s="4"/>
      <c r="M372" s="4"/>
      <c r="N372" s="4"/>
      <c r="O372" s="5"/>
      <c r="P372" s="5"/>
      <c r="Q372" s="5"/>
      <c r="R372" s="5"/>
      <c r="S372" s="18"/>
      <c r="T372" s="19"/>
      <c r="U372" s="19"/>
      <c r="V372" s="7"/>
      <c r="W372" s="7"/>
      <c r="X372" s="19"/>
      <c r="Y372" s="19"/>
      <c r="Z372" s="8"/>
      <c r="AA372" s="8"/>
      <c r="AB372" s="10"/>
      <c r="AC372" s="10"/>
      <c r="AD372" s="10"/>
      <c r="AE372" s="11"/>
      <c r="AF372" s="11"/>
      <c r="AG372" s="11"/>
      <c r="AH372" s="11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x14ac:dyDescent="0.25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4"/>
      <c r="L373" s="4"/>
      <c r="M373" s="4"/>
      <c r="N373" s="4"/>
      <c r="O373" s="5"/>
      <c r="P373" s="5"/>
      <c r="Q373" s="5"/>
      <c r="R373" s="5"/>
      <c r="S373" s="18"/>
      <c r="T373" s="19"/>
      <c r="U373" s="19"/>
      <c r="V373" s="7"/>
      <c r="W373" s="7"/>
      <c r="X373" s="19"/>
      <c r="Y373" s="19"/>
      <c r="Z373" s="8"/>
      <c r="AA373" s="8"/>
      <c r="AB373" s="10"/>
      <c r="AC373" s="10"/>
      <c r="AD373" s="10"/>
      <c r="AE373" s="11"/>
      <c r="AF373" s="11"/>
      <c r="AG373" s="11"/>
      <c r="AH373" s="11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x14ac:dyDescent="0.25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4"/>
      <c r="L374" s="4"/>
      <c r="M374" s="4"/>
      <c r="N374" s="4"/>
      <c r="O374" s="5"/>
      <c r="P374" s="5"/>
      <c r="Q374" s="5"/>
      <c r="R374" s="5"/>
      <c r="S374" s="18"/>
      <c r="T374" s="19"/>
      <c r="U374" s="19"/>
      <c r="V374" s="7"/>
      <c r="W374" s="7"/>
      <c r="X374" s="19"/>
      <c r="Y374" s="19"/>
      <c r="Z374" s="8"/>
      <c r="AA374" s="8"/>
      <c r="AB374" s="10"/>
      <c r="AC374" s="10"/>
      <c r="AD374" s="10"/>
      <c r="AE374" s="11"/>
      <c r="AF374" s="11"/>
      <c r="AG374" s="11"/>
      <c r="AH374" s="11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x14ac:dyDescent="0.25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4"/>
      <c r="L375" s="4"/>
      <c r="M375" s="4"/>
      <c r="N375" s="4"/>
      <c r="O375" s="5"/>
      <c r="P375" s="5"/>
      <c r="Q375" s="5"/>
      <c r="R375" s="5"/>
      <c r="S375" s="18"/>
      <c r="T375" s="19"/>
      <c r="U375" s="19"/>
      <c r="V375" s="7"/>
      <c r="W375" s="7"/>
      <c r="X375" s="19"/>
      <c r="Y375" s="19"/>
      <c r="Z375" s="8"/>
      <c r="AA375" s="8"/>
      <c r="AB375" s="10"/>
      <c r="AC375" s="10"/>
      <c r="AD375" s="10"/>
      <c r="AE375" s="11"/>
      <c r="AF375" s="11"/>
      <c r="AG375" s="11"/>
      <c r="AH375" s="11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x14ac:dyDescent="0.25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4"/>
      <c r="L376" s="4"/>
      <c r="M376" s="4"/>
      <c r="N376" s="4"/>
      <c r="O376" s="5"/>
      <c r="P376" s="5"/>
      <c r="Q376" s="5"/>
      <c r="R376" s="5"/>
      <c r="S376" s="18"/>
      <c r="T376" s="19"/>
      <c r="U376" s="19"/>
      <c r="V376" s="7"/>
      <c r="W376" s="7"/>
      <c r="X376" s="19"/>
      <c r="Y376" s="19"/>
      <c r="Z376" s="8"/>
      <c r="AA376" s="8"/>
      <c r="AB376" s="10"/>
      <c r="AC376" s="10"/>
      <c r="AD376" s="10"/>
      <c r="AE376" s="11"/>
      <c r="AF376" s="11"/>
      <c r="AG376" s="11"/>
      <c r="AH376" s="11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x14ac:dyDescent="0.25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4"/>
      <c r="L377" s="4"/>
      <c r="M377" s="4"/>
      <c r="N377" s="4"/>
      <c r="O377" s="5"/>
      <c r="P377" s="5"/>
      <c r="Q377" s="5"/>
      <c r="R377" s="5"/>
      <c r="S377" s="18"/>
      <c r="T377" s="19"/>
      <c r="U377" s="19"/>
      <c r="V377" s="7"/>
      <c r="W377" s="7"/>
      <c r="X377" s="19"/>
      <c r="Y377" s="19"/>
      <c r="Z377" s="8"/>
      <c r="AA377" s="8"/>
      <c r="AB377" s="10"/>
      <c r="AC377" s="10"/>
      <c r="AD377" s="10"/>
      <c r="AE377" s="11"/>
      <c r="AF377" s="11"/>
      <c r="AG377" s="11"/>
      <c r="AH377" s="11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x14ac:dyDescent="0.25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4"/>
      <c r="L378" s="4"/>
      <c r="M378" s="4"/>
      <c r="N378" s="4"/>
      <c r="O378" s="5"/>
      <c r="P378" s="5"/>
      <c r="Q378" s="5"/>
      <c r="R378" s="5"/>
      <c r="S378" s="18"/>
      <c r="T378" s="19"/>
      <c r="U378" s="19"/>
      <c r="V378" s="7"/>
      <c r="W378" s="7"/>
      <c r="X378" s="19"/>
      <c r="Y378" s="19"/>
      <c r="Z378" s="8"/>
      <c r="AA378" s="8"/>
      <c r="AB378" s="10"/>
      <c r="AC378" s="10"/>
      <c r="AD378" s="10"/>
      <c r="AE378" s="11"/>
      <c r="AF378" s="11"/>
      <c r="AG378" s="11"/>
      <c r="AH378" s="11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x14ac:dyDescent="0.25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4"/>
      <c r="L379" s="4"/>
      <c r="M379" s="4"/>
      <c r="N379" s="4"/>
      <c r="O379" s="5"/>
      <c r="P379" s="5"/>
      <c r="Q379" s="5"/>
      <c r="R379" s="5"/>
      <c r="S379" s="18"/>
      <c r="T379" s="19"/>
      <c r="U379" s="19"/>
      <c r="V379" s="7"/>
      <c r="W379" s="7"/>
      <c r="X379" s="19"/>
      <c r="Y379" s="19"/>
      <c r="Z379" s="8"/>
      <c r="AA379" s="8"/>
      <c r="AB379" s="10"/>
      <c r="AC379" s="10"/>
      <c r="AD379" s="10"/>
      <c r="AE379" s="11"/>
      <c r="AF379" s="11"/>
      <c r="AG379" s="11"/>
      <c r="AH379" s="11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x14ac:dyDescent="0.25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4"/>
      <c r="L380" s="4"/>
      <c r="M380" s="4"/>
      <c r="N380" s="4"/>
      <c r="O380" s="5"/>
      <c r="P380" s="5"/>
      <c r="Q380" s="5"/>
      <c r="R380" s="5"/>
      <c r="S380" s="18"/>
      <c r="T380" s="19"/>
      <c r="U380" s="19"/>
      <c r="V380" s="7"/>
      <c r="W380" s="7"/>
      <c r="X380" s="19"/>
      <c r="Y380" s="19"/>
      <c r="Z380" s="8"/>
      <c r="AA380" s="8"/>
      <c r="AB380" s="10"/>
      <c r="AC380" s="10"/>
      <c r="AD380" s="10"/>
      <c r="AE380" s="11"/>
      <c r="AF380" s="11"/>
      <c r="AG380" s="11"/>
      <c r="AH380" s="11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x14ac:dyDescent="0.25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4"/>
      <c r="L381" s="4"/>
      <c r="M381" s="4"/>
      <c r="N381" s="4"/>
      <c r="O381" s="5"/>
      <c r="P381" s="5"/>
      <c r="Q381" s="5"/>
      <c r="R381" s="5"/>
      <c r="S381" s="18"/>
      <c r="T381" s="19"/>
      <c r="U381" s="19"/>
      <c r="V381" s="7"/>
      <c r="W381" s="7"/>
      <c r="X381" s="19"/>
      <c r="Y381" s="19"/>
      <c r="Z381" s="8"/>
      <c r="AA381" s="8"/>
      <c r="AB381" s="10"/>
      <c r="AC381" s="10"/>
      <c r="AD381" s="10"/>
      <c r="AE381" s="11"/>
      <c r="AF381" s="11"/>
      <c r="AG381" s="11"/>
      <c r="AH381" s="11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x14ac:dyDescent="0.25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4"/>
      <c r="L382" s="4"/>
      <c r="M382" s="4"/>
      <c r="N382" s="4"/>
      <c r="O382" s="5"/>
      <c r="P382" s="5"/>
      <c r="Q382" s="5"/>
      <c r="R382" s="5"/>
      <c r="S382" s="18"/>
      <c r="T382" s="19"/>
      <c r="U382" s="19"/>
      <c r="V382" s="7"/>
      <c r="W382" s="7"/>
      <c r="X382" s="19"/>
      <c r="Y382" s="19"/>
      <c r="Z382" s="8"/>
      <c r="AA382" s="8"/>
      <c r="AB382" s="10"/>
      <c r="AC382" s="10"/>
      <c r="AD382" s="10"/>
      <c r="AE382" s="11"/>
      <c r="AF382" s="11"/>
      <c r="AG382" s="11"/>
      <c r="AH382" s="11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x14ac:dyDescent="0.25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4"/>
      <c r="L383" s="4"/>
      <c r="M383" s="4"/>
      <c r="N383" s="4"/>
      <c r="O383" s="5"/>
      <c r="P383" s="5"/>
      <c r="Q383" s="5"/>
      <c r="R383" s="5"/>
      <c r="S383" s="18"/>
      <c r="T383" s="19"/>
      <c r="U383" s="19"/>
      <c r="V383" s="7"/>
      <c r="W383" s="7"/>
      <c r="X383" s="19"/>
      <c r="Y383" s="19"/>
      <c r="Z383" s="8"/>
      <c r="AA383" s="8"/>
      <c r="AB383" s="10"/>
      <c r="AC383" s="10"/>
      <c r="AD383" s="10"/>
      <c r="AE383" s="11"/>
      <c r="AF383" s="11"/>
      <c r="AG383" s="11"/>
      <c r="AH383" s="11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x14ac:dyDescent="0.25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4"/>
      <c r="L384" s="4"/>
      <c r="M384" s="4"/>
      <c r="N384" s="4"/>
      <c r="O384" s="5"/>
      <c r="P384" s="5"/>
      <c r="Q384" s="5"/>
      <c r="R384" s="5"/>
      <c r="S384" s="18"/>
      <c r="T384" s="19"/>
      <c r="U384" s="19"/>
      <c r="V384" s="7"/>
      <c r="W384" s="7"/>
      <c r="X384" s="19"/>
      <c r="Y384" s="19"/>
      <c r="Z384" s="8"/>
      <c r="AA384" s="8"/>
      <c r="AB384" s="10"/>
      <c r="AC384" s="10"/>
      <c r="AD384" s="10"/>
      <c r="AE384" s="11"/>
      <c r="AF384" s="11"/>
      <c r="AG384" s="11"/>
      <c r="AH384" s="11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x14ac:dyDescent="0.25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4"/>
      <c r="L385" s="4"/>
      <c r="M385" s="4"/>
      <c r="N385" s="4"/>
      <c r="O385" s="5"/>
      <c r="P385" s="5"/>
      <c r="Q385" s="5"/>
      <c r="R385" s="5"/>
      <c r="S385" s="18"/>
      <c r="T385" s="19"/>
      <c r="U385" s="19"/>
      <c r="V385" s="7"/>
      <c r="W385" s="7"/>
      <c r="X385" s="19"/>
      <c r="Y385" s="19"/>
      <c r="Z385" s="8"/>
      <c r="AA385" s="8"/>
      <c r="AB385" s="10"/>
      <c r="AC385" s="10"/>
      <c r="AD385" s="10"/>
      <c r="AE385" s="11"/>
      <c r="AF385" s="11"/>
      <c r="AG385" s="11"/>
      <c r="AH385" s="11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x14ac:dyDescent="0.25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4"/>
      <c r="L386" s="4"/>
      <c r="M386" s="4"/>
      <c r="N386" s="4"/>
      <c r="O386" s="5"/>
      <c r="P386" s="5"/>
      <c r="Q386" s="5"/>
      <c r="R386" s="5"/>
      <c r="S386" s="18"/>
      <c r="T386" s="19"/>
      <c r="U386" s="19"/>
      <c r="V386" s="7"/>
      <c r="W386" s="7"/>
      <c r="X386" s="19"/>
      <c r="Y386" s="19"/>
      <c r="Z386" s="8"/>
      <c r="AA386" s="8"/>
      <c r="AB386" s="10"/>
      <c r="AC386" s="10"/>
      <c r="AD386" s="10"/>
      <c r="AE386" s="11"/>
      <c r="AF386" s="11"/>
      <c r="AG386" s="11"/>
      <c r="AH386" s="11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x14ac:dyDescent="0.25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4"/>
      <c r="L387" s="4"/>
      <c r="M387" s="4"/>
      <c r="N387" s="4"/>
      <c r="O387" s="5"/>
      <c r="P387" s="5"/>
      <c r="Q387" s="5"/>
      <c r="R387" s="5"/>
      <c r="S387" s="18"/>
      <c r="T387" s="19"/>
      <c r="U387" s="19"/>
      <c r="V387" s="7"/>
      <c r="W387" s="7"/>
      <c r="X387" s="19"/>
      <c r="Y387" s="19"/>
      <c r="Z387" s="8"/>
      <c r="AA387" s="8"/>
      <c r="AB387" s="10"/>
      <c r="AC387" s="10"/>
      <c r="AD387" s="10"/>
      <c r="AE387" s="11"/>
      <c r="AF387" s="11"/>
      <c r="AG387" s="11"/>
      <c r="AH387" s="11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x14ac:dyDescent="0.25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4"/>
      <c r="L388" s="4"/>
      <c r="M388" s="4"/>
      <c r="N388" s="4"/>
      <c r="O388" s="5"/>
      <c r="P388" s="5"/>
      <c r="Q388" s="5"/>
      <c r="R388" s="5"/>
      <c r="S388" s="18"/>
      <c r="T388" s="19"/>
      <c r="U388" s="19"/>
      <c r="V388" s="7"/>
      <c r="W388" s="7"/>
      <c r="X388" s="19"/>
      <c r="Y388" s="19"/>
      <c r="Z388" s="8"/>
      <c r="AA388" s="8"/>
      <c r="AB388" s="10"/>
      <c r="AC388" s="10"/>
      <c r="AD388" s="10"/>
      <c r="AE388" s="11"/>
      <c r="AF388" s="11"/>
      <c r="AG388" s="11"/>
      <c r="AH388" s="11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x14ac:dyDescent="0.25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4"/>
      <c r="L389" s="4"/>
      <c r="M389" s="4"/>
      <c r="N389" s="4"/>
      <c r="O389" s="5"/>
      <c r="P389" s="5"/>
      <c r="Q389" s="5"/>
      <c r="R389" s="5"/>
      <c r="S389" s="18"/>
      <c r="T389" s="19"/>
      <c r="U389" s="19"/>
      <c r="V389" s="7"/>
      <c r="W389" s="7"/>
      <c r="X389" s="19"/>
      <c r="Y389" s="19"/>
      <c r="Z389" s="8"/>
      <c r="AA389" s="8"/>
      <c r="AB389" s="10"/>
      <c r="AC389" s="10"/>
      <c r="AD389" s="10"/>
      <c r="AE389" s="11"/>
      <c r="AF389" s="11"/>
      <c r="AG389" s="11"/>
      <c r="AH389" s="11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x14ac:dyDescent="0.25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4"/>
      <c r="L390" s="4"/>
      <c r="M390" s="4"/>
      <c r="N390" s="4"/>
      <c r="O390" s="5"/>
      <c r="P390" s="5"/>
      <c r="Q390" s="5"/>
      <c r="R390" s="5"/>
      <c r="S390" s="18"/>
      <c r="T390" s="19"/>
      <c r="U390" s="19"/>
      <c r="V390" s="7"/>
      <c r="W390" s="7"/>
      <c r="X390" s="19"/>
      <c r="Y390" s="19"/>
      <c r="Z390" s="8"/>
      <c r="AA390" s="8"/>
      <c r="AB390" s="10"/>
      <c r="AC390" s="10"/>
      <c r="AD390" s="10"/>
      <c r="AE390" s="11"/>
      <c r="AF390" s="11"/>
      <c r="AG390" s="11"/>
      <c r="AH390" s="11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x14ac:dyDescent="0.25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4"/>
      <c r="L391" s="4"/>
      <c r="M391" s="4"/>
      <c r="N391" s="4"/>
      <c r="O391" s="5"/>
      <c r="P391" s="5"/>
      <c r="Q391" s="5"/>
      <c r="R391" s="5"/>
      <c r="S391" s="18"/>
      <c r="T391" s="19"/>
      <c r="U391" s="19"/>
      <c r="V391" s="7"/>
      <c r="W391" s="7"/>
      <c r="X391" s="19"/>
      <c r="Y391" s="19"/>
      <c r="Z391" s="8"/>
      <c r="AA391" s="8"/>
      <c r="AB391" s="10"/>
      <c r="AC391" s="10"/>
      <c r="AD391" s="10"/>
      <c r="AE391" s="11"/>
      <c r="AF391" s="11"/>
      <c r="AG391" s="11"/>
      <c r="AH391" s="11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x14ac:dyDescent="0.25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4"/>
      <c r="L392" s="4"/>
      <c r="M392" s="4"/>
      <c r="N392" s="4"/>
      <c r="O392" s="5"/>
      <c r="P392" s="5"/>
      <c r="Q392" s="5"/>
      <c r="R392" s="5"/>
      <c r="S392" s="18"/>
      <c r="T392" s="19"/>
      <c r="U392" s="19"/>
      <c r="V392" s="7"/>
      <c r="W392" s="7"/>
      <c r="X392" s="19"/>
      <c r="Y392" s="19"/>
      <c r="Z392" s="8"/>
      <c r="AA392" s="8"/>
      <c r="AB392" s="10"/>
      <c r="AC392" s="10"/>
      <c r="AD392" s="10"/>
      <c r="AE392" s="11"/>
      <c r="AF392" s="11"/>
      <c r="AG392" s="11"/>
      <c r="AH392" s="11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x14ac:dyDescent="0.25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4"/>
      <c r="L393" s="4"/>
      <c r="M393" s="4"/>
      <c r="N393" s="4"/>
      <c r="O393" s="5"/>
      <c r="P393" s="5"/>
      <c r="Q393" s="5"/>
      <c r="R393" s="5"/>
      <c r="S393" s="18"/>
      <c r="T393" s="19"/>
      <c r="U393" s="19"/>
      <c r="V393" s="7"/>
      <c r="W393" s="7"/>
      <c r="X393" s="19"/>
      <c r="Y393" s="19"/>
      <c r="Z393" s="8"/>
      <c r="AA393" s="8"/>
      <c r="AB393" s="10"/>
      <c r="AC393" s="10"/>
      <c r="AD393" s="10"/>
      <c r="AE393" s="11"/>
      <c r="AF393" s="11"/>
      <c r="AG393" s="11"/>
      <c r="AH393" s="11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x14ac:dyDescent="0.25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4"/>
      <c r="L394" s="4"/>
      <c r="M394" s="4"/>
      <c r="N394" s="4"/>
      <c r="O394" s="5"/>
      <c r="P394" s="5"/>
      <c r="Q394" s="5"/>
      <c r="R394" s="5"/>
      <c r="S394" s="18"/>
      <c r="T394" s="19"/>
      <c r="U394" s="19"/>
      <c r="V394" s="7"/>
      <c r="W394" s="7"/>
      <c r="X394" s="19"/>
      <c r="Y394" s="19"/>
      <c r="Z394" s="8"/>
      <c r="AA394" s="8"/>
      <c r="AB394" s="10"/>
      <c r="AC394" s="10"/>
      <c r="AD394" s="10"/>
      <c r="AE394" s="11"/>
      <c r="AF394" s="11"/>
      <c r="AG394" s="11"/>
      <c r="AH394" s="11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x14ac:dyDescent="0.25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4"/>
      <c r="L395" s="4"/>
      <c r="M395" s="4"/>
      <c r="N395" s="4"/>
      <c r="O395" s="5"/>
      <c r="P395" s="5"/>
      <c r="Q395" s="5"/>
      <c r="R395" s="5"/>
      <c r="S395" s="18"/>
      <c r="T395" s="19"/>
      <c r="U395" s="19"/>
      <c r="V395" s="7"/>
      <c r="W395" s="7"/>
      <c r="X395" s="19"/>
      <c r="Y395" s="19"/>
      <c r="Z395" s="8"/>
      <c r="AA395" s="8"/>
      <c r="AB395" s="10"/>
      <c r="AC395" s="10"/>
      <c r="AD395" s="10"/>
      <c r="AE395" s="11"/>
      <c r="AF395" s="11"/>
      <c r="AG395" s="11"/>
      <c r="AH395" s="11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x14ac:dyDescent="0.25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4"/>
      <c r="L396" s="4"/>
      <c r="M396" s="4"/>
      <c r="N396" s="4"/>
      <c r="O396" s="5"/>
      <c r="P396" s="5"/>
      <c r="Q396" s="5"/>
      <c r="R396" s="5"/>
      <c r="S396" s="18"/>
      <c r="T396" s="19"/>
      <c r="U396" s="19"/>
      <c r="V396" s="7"/>
      <c r="W396" s="7"/>
      <c r="X396" s="19"/>
      <c r="Y396" s="19"/>
      <c r="Z396" s="8"/>
      <c r="AA396" s="8"/>
      <c r="AB396" s="10"/>
      <c r="AC396" s="10"/>
      <c r="AD396" s="10"/>
      <c r="AE396" s="11"/>
      <c r="AF396" s="11"/>
      <c r="AG396" s="11"/>
      <c r="AH396" s="11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x14ac:dyDescent="0.25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4"/>
      <c r="L397" s="4"/>
      <c r="M397" s="4"/>
      <c r="N397" s="4"/>
      <c r="O397" s="5"/>
      <c r="P397" s="5"/>
      <c r="Q397" s="5"/>
      <c r="R397" s="5"/>
      <c r="S397" s="18"/>
      <c r="T397" s="19"/>
      <c r="U397" s="19"/>
      <c r="V397" s="7"/>
      <c r="W397" s="7"/>
      <c r="X397" s="19"/>
      <c r="Y397" s="19"/>
      <c r="Z397" s="8"/>
      <c r="AA397" s="8"/>
      <c r="AB397" s="10"/>
      <c r="AC397" s="10"/>
      <c r="AD397" s="10"/>
      <c r="AE397" s="11"/>
      <c r="AF397" s="11"/>
      <c r="AG397" s="11"/>
      <c r="AH397" s="11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x14ac:dyDescent="0.25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4"/>
      <c r="L398" s="4"/>
      <c r="M398" s="4"/>
      <c r="N398" s="4"/>
      <c r="O398" s="5"/>
      <c r="P398" s="5"/>
      <c r="Q398" s="5"/>
      <c r="R398" s="5"/>
      <c r="S398" s="18"/>
      <c r="T398" s="19"/>
      <c r="U398" s="19"/>
      <c r="V398" s="7"/>
      <c r="W398" s="7"/>
      <c r="X398" s="19"/>
      <c r="Y398" s="19"/>
      <c r="Z398" s="8"/>
      <c r="AA398" s="8"/>
      <c r="AB398" s="10"/>
      <c r="AC398" s="10"/>
      <c r="AD398" s="10"/>
      <c r="AE398" s="11"/>
      <c r="AF398" s="11"/>
      <c r="AG398" s="11"/>
      <c r="AH398" s="11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x14ac:dyDescent="0.25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4"/>
      <c r="L399" s="4"/>
      <c r="M399" s="4"/>
      <c r="N399" s="4"/>
      <c r="O399" s="5"/>
      <c r="P399" s="5"/>
      <c r="Q399" s="5"/>
      <c r="R399" s="5"/>
      <c r="S399" s="18"/>
      <c r="T399" s="19"/>
      <c r="U399" s="19"/>
      <c r="V399" s="7"/>
      <c r="W399" s="7"/>
      <c r="X399" s="19"/>
      <c r="Y399" s="19"/>
      <c r="Z399" s="8"/>
      <c r="AA399" s="8"/>
      <c r="AB399" s="10"/>
      <c r="AC399" s="10"/>
      <c r="AD399" s="10"/>
      <c r="AE399" s="11"/>
      <c r="AF399" s="11"/>
      <c r="AG399" s="11"/>
      <c r="AH399" s="11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x14ac:dyDescent="0.25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4"/>
      <c r="L400" s="4"/>
      <c r="M400" s="4"/>
      <c r="N400" s="4"/>
      <c r="O400" s="5"/>
      <c r="P400" s="5"/>
      <c r="Q400" s="5"/>
      <c r="R400" s="5"/>
      <c r="S400" s="18"/>
      <c r="T400" s="19"/>
      <c r="U400" s="19"/>
      <c r="V400" s="7"/>
      <c r="W400" s="7"/>
      <c r="X400" s="19"/>
      <c r="Y400" s="19"/>
      <c r="Z400" s="8"/>
      <c r="AA400" s="8"/>
      <c r="AB400" s="10"/>
      <c r="AC400" s="10"/>
      <c r="AD400" s="10"/>
      <c r="AE400" s="11"/>
      <c r="AF400" s="11"/>
      <c r="AG400" s="11"/>
      <c r="AH400" s="11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x14ac:dyDescent="0.25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4"/>
      <c r="L401" s="4"/>
      <c r="M401" s="4"/>
      <c r="N401" s="4"/>
      <c r="O401" s="5"/>
      <c r="P401" s="5"/>
      <c r="Q401" s="5"/>
      <c r="R401" s="5"/>
      <c r="S401" s="18"/>
      <c r="T401" s="19"/>
      <c r="U401" s="19"/>
      <c r="V401" s="7"/>
      <c r="W401" s="7"/>
      <c r="X401" s="19"/>
      <c r="Y401" s="19"/>
      <c r="Z401" s="8"/>
      <c r="AA401" s="8"/>
      <c r="AB401" s="10"/>
      <c r="AC401" s="10"/>
      <c r="AD401" s="10"/>
      <c r="AE401" s="11"/>
      <c r="AF401" s="11"/>
      <c r="AG401" s="11"/>
      <c r="AH401" s="11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x14ac:dyDescent="0.25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4"/>
      <c r="L402" s="4"/>
      <c r="M402" s="4"/>
      <c r="N402" s="4"/>
      <c r="O402" s="5"/>
      <c r="P402" s="5"/>
      <c r="Q402" s="5"/>
      <c r="R402" s="5"/>
      <c r="S402" s="18"/>
      <c r="T402" s="19"/>
      <c r="U402" s="19"/>
      <c r="V402" s="7"/>
      <c r="W402" s="7"/>
      <c r="X402" s="19"/>
      <c r="Y402" s="19"/>
      <c r="Z402" s="8"/>
      <c r="AA402" s="8"/>
      <c r="AB402" s="10"/>
      <c r="AC402" s="10"/>
      <c r="AD402" s="10"/>
      <c r="AE402" s="11"/>
      <c r="AF402" s="11"/>
      <c r="AG402" s="11"/>
      <c r="AH402" s="11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x14ac:dyDescent="0.25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4"/>
      <c r="L403" s="4"/>
      <c r="M403" s="4"/>
      <c r="N403" s="4"/>
      <c r="O403" s="5"/>
      <c r="P403" s="5"/>
      <c r="Q403" s="5"/>
      <c r="R403" s="5"/>
      <c r="S403" s="18"/>
      <c r="T403" s="19"/>
      <c r="U403" s="19"/>
      <c r="V403" s="7"/>
      <c r="W403" s="7"/>
      <c r="X403" s="19"/>
      <c r="Y403" s="19"/>
      <c r="Z403" s="8"/>
      <c r="AA403" s="8"/>
      <c r="AB403" s="10"/>
      <c r="AC403" s="10"/>
      <c r="AD403" s="10"/>
      <c r="AE403" s="11"/>
      <c r="AF403" s="11"/>
      <c r="AG403" s="11"/>
      <c r="AH403" s="11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x14ac:dyDescent="0.25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4"/>
      <c r="L404" s="4"/>
      <c r="M404" s="4"/>
      <c r="N404" s="4"/>
      <c r="O404" s="5"/>
      <c r="P404" s="5"/>
      <c r="Q404" s="5"/>
      <c r="R404" s="5"/>
      <c r="S404" s="18"/>
      <c r="T404" s="19"/>
      <c r="U404" s="19"/>
      <c r="V404" s="7"/>
      <c r="W404" s="7"/>
      <c r="X404" s="19"/>
      <c r="Y404" s="19"/>
      <c r="Z404" s="8"/>
      <c r="AA404" s="8"/>
      <c r="AB404" s="10"/>
      <c r="AC404" s="10"/>
      <c r="AD404" s="10"/>
      <c r="AE404" s="11"/>
      <c r="AF404" s="11"/>
      <c r="AG404" s="11"/>
      <c r="AH404" s="11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x14ac:dyDescent="0.25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4"/>
      <c r="L405" s="4"/>
      <c r="M405" s="4"/>
      <c r="N405" s="4"/>
      <c r="O405" s="5"/>
      <c r="P405" s="5"/>
      <c r="Q405" s="5"/>
      <c r="R405" s="5"/>
      <c r="S405" s="18"/>
      <c r="T405" s="19"/>
      <c r="U405" s="19"/>
      <c r="V405" s="7"/>
      <c r="W405" s="7"/>
      <c r="X405" s="19"/>
      <c r="Y405" s="19"/>
      <c r="Z405" s="8"/>
      <c r="AA405" s="8"/>
      <c r="AB405" s="10"/>
      <c r="AC405" s="10"/>
      <c r="AD405" s="10"/>
      <c r="AE405" s="11"/>
      <c r="AF405" s="11"/>
      <c r="AG405" s="11"/>
      <c r="AH405" s="11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x14ac:dyDescent="0.25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4"/>
      <c r="L406" s="4"/>
      <c r="M406" s="4"/>
      <c r="N406" s="4"/>
      <c r="O406" s="5"/>
      <c r="P406" s="5"/>
      <c r="Q406" s="5"/>
      <c r="R406" s="5"/>
      <c r="S406" s="18"/>
      <c r="T406" s="19"/>
      <c r="U406" s="19"/>
      <c r="V406" s="7"/>
      <c r="W406" s="7"/>
      <c r="X406" s="19"/>
      <c r="Y406" s="19"/>
      <c r="Z406" s="8"/>
      <c r="AA406" s="8"/>
      <c r="AB406" s="10"/>
      <c r="AC406" s="10"/>
      <c r="AD406" s="10"/>
      <c r="AE406" s="11"/>
      <c r="AF406" s="11"/>
      <c r="AG406" s="11"/>
      <c r="AH406" s="11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x14ac:dyDescent="0.25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4"/>
      <c r="L407" s="4"/>
      <c r="M407" s="4"/>
      <c r="N407" s="4"/>
      <c r="O407" s="5"/>
      <c r="P407" s="5"/>
      <c r="Q407" s="5"/>
      <c r="R407" s="5"/>
      <c r="S407" s="18"/>
      <c r="T407" s="19"/>
      <c r="U407" s="19"/>
      <c r="V407" s="7"/>
      <c r="W407" s="7"/>
      <c r="X407" s="19"/>
      <c r="Y407" s="19"/>
      <c r="Z407" s="8"/>
      <c r="AA407" s="8"/>
      <c r="AB407" s="10"/>
      <c r="AC407" s="10"/>
      <c r="AD407" s="10"/>
      <c r="AE407" s="11"/>
      <c r="AF407" s="11"/>
      <c r="AG407" s="11"/>
      <c r="AH407" s="11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x14ac:dyDescent="0.25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4"/>
      <c r="L408" s="4"/>
      <c r="M408" s="4"/>
      <c r="N408" s="4"/>
      <c r="O408" s="5"/>
      <c r="P408" s="5"/>
      <c r="Q408" s="5"/>
      <c r="R408" s="5"/>
      <c r="S408" s="18"/>
      <c r="T408" s="19"/>
      <c r="U408" s="19"/>
      <c r="V408" s="7"/>
      <c r="W408" s="7"/>
      <c r="X408" s="19"/>
      <c r="Y408" s="19"/>
      <c r="Z408" s="8"/>
      <c r="AA408" s="8"/>
      <c r="AB408" s="10"/>
      <c r="AC408" s="10"/>
      <c r="AD408" s="10"/>
      <c r="AE408" s="11"/>
      <c r="AF408" s="11"/>
      <c r="AG408" s="11"/>
      <c r="AH408" s="11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x14ac:dyDescent="0.25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4"/>
      <c r="L409" s="4"/>
      <c r="M409" s="4"/>
      <c r="N409" s="4"/>
      <c r="O409" s="5"/>
      <c r="P409" s="5"/>
      <c r="Q409" s="5"/>
      <c r="R409" s="5"/>
      <c r="S409" s="18"/>
      <c r="T409" s="19"/>
      <c r="U409" s="19"/>
      <c r="V409" s="7"/>
      <c r="W409" s="7"/>
      <c r="X409" s="19"/>
      <c r="Y409" s="19"/>
      <c r="Z409" s="8"/>
      <c r="AA409" s="8"/>
      <c r="AB409" s="10"/>
      <c r="AC409" s="10"/>
      <c r="AD409" s="10"/>
      <c r="AE409" s="11"/>
      <c r="AF409" s="11"/>
      <c r="AG409" s="11"/>
      <c r="AH409" s="11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x14ac:dyDescent="0.25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4"/>
      <c r="L410" s="4"/>
      <c r="M410" s="4"/>
      <c r="N410" s="4"/>
      <c r="O410" s="5"/>
      <c r="P410" s="5"/>
      <c r="Q410" s="5"/>
      <c r="R410" s="5"/>
      <c r="S410" s="18"/>
      <c r="T410" s="19"/>
      <c r="U410" s="19"/>
      <c r="V410" s="7"/>
      <c r="W410" s="7"/>
      <c r="X410" s="19"/>
      <c r="Y410" s="19"/>
      <c r="Z410" s="8"/>
      <c r="AA410" s="8"/>
      <c r="AB410" s="10"/>
      <c r="AC410" s="10"/>
      <c r="AD410" s="10"/>
      <c r="AE410" s="11"/>
      <c r="AF410" s="11"/>
      <c r="AG410" s="11"/>
      <c r="AH410" s="11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x14ac:dyDescent="0.25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4"/>
      <c r="L411" s="4"/>
      <c r="M411" s="4"/>
      <c r="N411" s="4"/>
      <c r="O411" s="5"/>
      <c r="P411" s="5"/>
      <c r="Q411" s="5"/>
      <c r="R411" s="5"/>
      <c r="S411" s="18"/>
      <c r="T411" s="19"/>
      <c r="U411" s="19"/>
      <c r="V411" s="7"/>
      <c r="W411" s="7"/>
      <c r="X411" s="19"/>
      <c r="Y411" s="19"/>
      <c r="Z411" s="8"/>
      <c r="AA411" s="8"/>
      <c r="AB411" s="10"/>
      <c r="AC411" s="10"/>
      <c r="AD411" s="10"/>
      <c r="AE411" s="11"/>
      <c r="AF411" s="11"/>
      <c r="AG411" s="11"/>
      <c r="AH411" s="11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x14ac:dyDescent="0.25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4"/>
      <c r="L412" s="4"/>
      <c r="M412" s="4"/>
      <c r="N412" s="4"/>
      <c r="O412" s="5"/>
      <c r="P412" s="5"/>
      <c r="Q412" s="5"/>
      <c r="R412" s="5"/>
      <c r="S412" s="18"/>
      <c r="T412" s="19"/>
      <c r="U412" s="19"/>
      <c r="V412" s="7"/>
      <c r="W412" s="7"/>
      <c r="X412" s="19"/>
      <c r="Y412" s="19"/>
      <c r="Z412" s="8"/>
      <c r="AA412" s="8"/>
      <c r="AB412" s="10"/>
      <c r="AC412" s="10"/>
      <c r="AD412" s="10"/>
      <c r="AE412" s="11"/>
      <c r="AF412" s="11"/>
      <c r="AG412" s="11"/>
      <c r="AH412" s="11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x14ac:dyDescent="0.25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4"/>
      <c r="L413" s="4"/>
      <c r="M413" s="4"/>
      <c r="N413" s="4"/>
      <c r="O413" s="5"/>
      <c r="P413" s="5"/>
      <c r="Q413" s="5"/>
      <c r="R413" s="5"/>
      <c r="S413" s="18"/>
      <c r="T413" s="19"/>
      <c r="U413" s="19"/>
      <c r="V413" s="7"/>
      <c r="W413" s="7"/>
      <c r="X413" s="19"/>
      <c r="Y413" s="19"/>
      <c r="Z413" s="8"/>
      <c r="AA413" s="8"/>
      <c r="AB413" s="10"/>
      <c r="AC413" s="10"/>
      <c r="AD413" s="10"/>
      <c r="AE413" s="11"/>
      <c r="AF413" s="11"/>
      <c r="AG413" s="11"/>
      <c r="AH413" s="11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x14ac:dyDescent="0.25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4"/>
      <c r="L414" s="4"/>
      <c r="M414" s="4"/>
      <c r="N414" s="4"/>
      <c r="O414" s="5"/>
      <c r="P414" s="5"/>
      <c r="Q414" s="5"/>
      <c r="R414" s="5"/>
      <c r="S414" s="18"/>
      <c r="T414" s="19"/>
      <c r="U414" s="19"/>
      <c r="V414" s="7"/>
      <c r="W414" s="7"/>
      <c r="X414" s="19"/>
      <c r="Y414" s="19"/>
      <c r="Z414" s="8"/>
      <c r="AA414" s="8"/>
      <c r="AB414" s="10"/>
      <c r="AC414" s="10"/>
      <c r="AD414" s="10"/>
      <c r="AE414" s="11"/>
      <c r="AF414" s="11"/>
      <c r="AG414" s="11"/>
      <c r="AH414" s="11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x14ac:dyDescent="0.25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4"/>
      <c r="L415" s="4"/>
      <c r="M415" s="4"/>
      <c r="N415" s="4"/>
      <c r="O415" s="5"/>
      <c r="P415" s="5"/>
      <c r="Q415" s="5"/>
      <c r="R415" s="5"/>
      <c r="S415" s="18"/>
      <c r="T415" s="19"/>
      <c r="U415" s="19"/>
      <c r="V415" s="7"/>
      <c r="W415" s="7"/>
      <c r="X415" s="19"/>
      <c r="Y415" s="19"/>
      <c r="Z415" s="8"/>
      <c r="AA415" s="8"/>
      <c r="AB415" s="10"/>
      <c r="AC415" s="10"/>
      <c r="AD415" s="10"/>
      <c r="AE415" s="11"/>
      <c r="AF415" s="11"/>
      <c r="AG415" s="11"/>
      <c r="AH415" s="11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x14ac:dyDescent="0.25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4"/>
      <c r="L416" s="4"/>
      <c r="M416" s="4"/>
      <c r="N416" s="4"/>
      <c r="O416" s="5"/>
      <c r="P416" s="5"/>
      <c r="Q416" s="5"/>
      <c r="R416" s="5"/>
      <c r="S416" s="18"/>
      <c r="T416" s="19"/>
      <c r="U416" s="19"/>
      <c r="V416" s="7"/>
      <c r="W416" s="7"/>
      <c r="X416" s="19"/>
      <c r="Y416" s="19"/>
      <c r="Z416" s="8"/>
      <c r="AA416" s="8"/>
      <c r="AB416" s="10"/>
      <c r="AC416" s="10"/>
      <c r="AD416" s="10"/>
      <c r="AE416" s="11"/>
      <c r="AF416" s="11"/>
      <c r="AG416" s="11"/>
      <c r="AH416" s="11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x14ac:dyDescent="0.25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4"/>
      <c r="L417" s="4"/>
      <c r="M417" s="4"/>
      <c r="N417" s="4"/>
      <c r="O417" s="5"/>
      <c r="P417" s="5"/>
      <c r="Q417" s="5"/>
      <c r="R417" s="5"/>
      <c r="S417" s="18"/>
      <c r="T417" s="19"/>
      <c r="U417" s="19"/>
      <c r="V417" s="7"/>
      <c r="W417" s="7"/>
      <c r="X417" s="19"/>
      <c r="Y417" s="19"/>
      <c r="Z417" s="8"/>
      <c r="AA417" s="8"/>
      <c r="AB417" s="10"/>
      <c r="AC417" s="10"/>
      <c r="AD417" s="10"/>
      <c r="AE417" s="11"/>
      <c r="AF417" s="11"/>
      <c r="AG417" s="11"/>
      <c r="AH417" s="11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x14ac:dyDescent="0.25">
      <c r="B418" s="2"/>
      <c r="C418" s="2"/>
      <c r="D418" s="2"/>
      <c r="E418" s="2"/>
      <c r="F418" s="2"/>
      <c r="G418" s="3"/>
      <c r="H418" s="3"/>
      <c r="I418" s="3"/>
      <c r="J418" s="3"/>
      <c r="K418" s="4"/>
      <c r="L418" s="4"/>
      <c r="M418" s="4"/>
      <c r="N418" s="4"/>
      <c r="O418" s="5"/>
      <c r="P418" s="5"/>
      <c r="Q418" s="5"/>
      <c r="R418" s="5"/>
      <c r="S418" s="18"/>
      <c r="T418" s="19"/>
      <c r="U418" s="19"/>
      <c r="V418" s="7"/>
      <c r="W418" s="7"/>
      <c r="X418" s="19"/>
      <c r="Y418" s="19"/>
      <c r="Z418" s="8"/>
      <c r="AA418" s="8"/>
      <c r="AB418" s="10"/>
      <c r="AC418" s="10"/>
      <c r="AD418" s="10"/>
      <c r="AE418" s="11"/>
      <c r="AF418" s="11"/>
      <c r="AG418" s="11"/>
      <c r="AH418" s="11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</sheetData>
  <autoFilter ref="A1:AZ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1105"/>
  <sheetViews>
    <sheetView topLeftCell="A215" workbookViewId="0">
      <selection activeCell="E237" sqref="E237"/>
    </sheetView>
  </sheetViews>
  <sheetFormatPr defaultRowHeight="15" x14ac:dyDescent="0.25"/>
  <cols>
    <col min="3" max="3" width="18.85546875" customWidth="1"/>
    <col min="4" max="4" width="21.28515625" customWidth="1"/>
    <col min="5" max="5" width="5.42578125" customWidth="1"/>
    <col min="6" max="6" width="13.140625" style="44" customWidth="1"/>
    <col min="7" max="14" width="0" hidden="1" customWidth="1"/>
    <col min="15" max="15" width="10" customWidth="1"/>
    <col min="16" max="16" width="10.5703125" customWidth="1"/>
    <col min="17" max="17" width="13.42578125" customWidth="1"/>
    <col min="18" max="18" width="11" customWidth="1"/>
    <col min="19" max="19" width="13.7109375" customWidth="1"/>
    <col min="20" max="20" width="11.42578125" bestFit="1" customWidth="1"/>
    <col min="21" max="21" width="13.140625" customWidth="1"/>
  </cols>
  <sheetData>
    <row r="1" spans="1:34" ht="51" customHeight="1" x14ac:dyDescent="0.25">
      <c r="A1" s="2" t="s">
        <v>0</v>
      </c>
      <c r="B1" s="2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17" t="s">
        <v>199</v>
      </c>
      <c r="AD1" s="16" t="s">
        <v>197</v>
      </c>
      <c r="AE1" s="11"/>
      <c r="AF1" s="11"/>
      <c r="AG1" s="17"/>
      <c r="AH1" s="16"/>
    </row>
    <row r="2" spans="1:34" ht="29.25" customHeight="1" x14ac:dyDescent="0.25">
      <c r="A2" s="41"/>
      <c r="B2" s="41">
        <v>1</v>
      </c>
      <c r="C2" s="41" t="s">
        <v>1835</v>
      </c>
      <c r="D2" s="41" t="s">
        <v>800</v>
      </c>
      <c r="E2" s="41" t="s">
        <v>226</v>
      </c>
      <c r="F2" s="42" t="s">
        <v>1848</v>
      </c>
      <c r="G2" s="41"/>
      <c r="H2" s="41"/>
      <c r="I2" s="41"/>
      <c r="J2" s="41"/>
      <c r="K2" s="41"/>
      <c r="L2" s="41"/>
      <c r="M2" s="41"/>
      <c r="N2" s="41"/>
      <c r="O2" s="41">
        <v>20000</v>
      </c>
      <c r="P2" s="41">
        <v>1500</v>
      </c>
      <c r="Q2" s="41" t="s">
        <v>1837</v>
      </c>
      <c r="R2" s="41">
        <v>2000</v>
      </c>
      <c r="S2" s="41" t="s">
        <v>1838</v>
      </c>
      <c r="T2" s="41">
        <v>5000</v>
      </c>
      <c r="U2" s="41" t="s">
        <v>1839</v>
      </c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x14ac:dyDescent="0.25">
      <c r="A3" s="40"/>
      <c r="B3" s="40">
        <v>2</v>
      </c>
      <c r="C3" s="40" t="s">
        <v>1840</v>
      </c>
      <c r="D3" s="40" t="s">
        <v>1841</v>
      </c>
      <c r="E3" s="41" t="s">
        <v>226</v>
      </c>
      <c r="F3" s="43" t="s">
        <v>1849</v>
      </c>
      <c r="G3" s="40"/>
      <c r="H3" s="40"/>
      <c r="I3" s="40"/>
      <c r="J3" s="40"/>
      <c r="K3" s="40"/>
      <c r="L3" s="40"/>
      <c r="M3" s="40"/>
      <c r="N3" s="40"/>
      <c r="O3" s="40" t="s">
        <v>1842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 t="s">
        <v>1843</v>
      </c>
      <c r="AE3" s="40"/>
      <c r="AF3" s="40"/>
      <c r="AG3" s="40"/>
      <c r="AH3" s="40"/>
    </row>
    <row r="4" spans="1:34" x14ac:dyDescent="0.25">
      <c r="A4" s="40"/>
      <c r="B4" s="40">
        <v>3</v>
      </c>
      <c r="C4" s="40" t="s">
        <v>1844</v>
      </c>
      <c r="D4" s="40" t="s">
        <v>1845</v>
      </c>
      <c r="E4" s="41" t="s">
        <v>226</v>
      </c>
      <c r="F4" s="43" t="s">
        <v>1850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 t="s">
        <v>1843</v>
      </c>
      <c r="AE4" s="40"/>
      <c r="AF4" s="40"/>
      <c r="AG4" s="40"/>
      <c r="AH4" s="40"/>
    </row>
    <row r="5" spans="1:34" x14ac:dyDescent="0.25">
      <c r="A5" s="40"/>
      <c r="B5" s="40">
        <v>4</v>
      </c>
      <c r="C5" s="40" t="s">
        <v>1846</v>
      </c>
      <c r="D5" s="40" t="s">
        <v>1847</v>
      </c>
      <c r="E5" s="41" t="s">
        <v>226</v>
      </c>
      <c r="F5" s="43" t="s">
        <v>1851</v>
      </c>
      <c r="G5" s="40"/>
      <c r="H5" s="40"/>
      <c r="I5" s="40"/>
      <c r="J5" s="40"/>
      <c r="K5" s="40"/>
      <c r="L5" s="40"/>
      <c r="M5" s="40"/>
      <c r="N5" s="40"/>
      <c r="O5" s="40">
        <v>2000</v>
      </c>
      <c r="P5" s="40">
        <v>500</v>
      </c>
      <c r="Q5" s="40" t="s">
        <v>1852</v>
      </c>
      <c r="R5" s="40">
        <v>1500</v>
      </c>
      <c r="S5" s="40" t="s">
        <v>1853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 t="s">
        <v>1843</v>
      </c>
      <c r="AE5" s="40"/>
      <c r="AF5" s="40"/>
      <c r="AG5" s="40"/>
      <c r="AH5" s="40"/>
    </row>
    <row r="6" spans="1:34" x14ac:dyDescent="0.25">
      <c r="A6" s="40"/>
      <c r="B6" s="40">
        <v>5</v>
      </c>
      <c r="C6" s="40" t="s">
        <v>1854</v>
      </c>
      <c r="D6" s="40" t="s">
        <v>1855</v>
      </c>
      <c r="E6" s="41" t="s">
        <v>226</v>
      </c>
      <c r="F6" s="43" t="s">
        <v>1856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1857</v>
      </c>
      <c r="R6" s="40">
        <v>2000</v>
      </c>
      <c r="S6" s="40" t="s">
        <v>1858</v>
      </c>
      <c r="T6" s="40">
        <v>2000</v>
      </c>
      <c r="U6" s="40" t="s">
        <v>1859</v>
      </c>
      <c r="V6" s="40"/>
      <c r="W6" s="40"/>
      <c r="X6" s="40"/>
      <c r="Y6" s="40"/>
      <c r="Z6" s="40"/>
      <c r="AA6" s="40"/>
      <c r="AB6" s="40"/>
      <c r="AC6" s="40"/>
      <c r="AD6" s="40" t="s">
        <v>1865</v>
      </c>
      <c r="AE6" s="40"/>
      <c r="AF6" s="40"/>
      <c r="AG6" s="40"/>
      <c r="AH6" s="40"/>
    </row>
    <row r="7" spans="1:34" x14ac:dyDescent="0.25">
      <c r="A7" s="40"/>
      <c r="B7" s="40">
        <v>6</v>
      </c>
      <c r="C7" s="40" t="s">
        <v>1860</v>
      </c>
      <c r="D7" s="40" t="s">
        <v>1861</v>
      </c>
      <c r="E7" s="41" t="s">
        <v>226</v>
      </c>
      <c r="F7" s="43" t="s">
        <v>1862</v>
      </c>
      <c r="G7" s="40"/>
      <c r="H7" s="40"/>
      <c r="I7" s="40"/>
      <c r="J7" s="40"/>
      <c r="K7" s="40"/>
      <c r="L7" s="40"/>
      <c r="M7" s="40"/>
      <c r="N7" s="40"/>
      <c r="O7" s="40">
        <v>4000</v>
      </c>
      <c r="P7" s="40">
        <v>1000</v>
      </c>
      <c r="Q7" s="40" t="s">
        <v>1863</v>
      </c>
      <c r="R7" s="40">
        <v>3000</v>
      </c>
      <c r="S7" s="40" t="s">
        <v>1864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1865</v>
      </c>
      <c r="AE7" s="40"/>
      <c r="AF7" s="40"/>
      <c r="AG7" s="40"/>
      <c r="AH7" s="40"/>
    </row>
    <row r="8" spans="1:34" x14ac:dyDescent="0.25">
      <c r="A8" s="40"/>
      <c r="B8" s="40">
        <v>262</v>
      </c>
      <c r="C8" s="40" t="s">
        <v>1866</v>
      </c>
      <c r="D8" s="40" t="s">
        <v>1867</v>
      </c>
      <c r="E8" s="41" t="s">
        <v>226</v>
      </c>
      <c r="F8" s="43" t="s">
        <v>1868</v>
      </c>
      <c r="G8" s="40"/>
      <c r="H8" s="40"/>
      <c r="I8" s="40"/>
      <c r="J8" s="40"/>
      <c r="K8" s="40"/>
      <c r="L8" s="40"/>
      <c r="M8" s="40"/>
      <c r="N8" s="40"/>
      <c r="O8" s="40">
        <v>25000</v>
      </c>
      <c r="P8" s="40">
        <v>5000</v>
      </c>
      <c r="Q8" s="40" t="s">
        <v>1869</v>
      </c>
      <c r="R8" s="40">
        <v>5000</v>
      </c>
      <c r="S8" s="40" t="s">
        <v>1870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 s="40"/>
      <c r="B9" s="40">
        <v>7</v>
      </c>
      <c r="C9" s="40" t="s">
        <v>1871</v>
      </c>
      <c r="D9" s="40" t="s">
        <v>1872</v>
      </c>
      <c r="E9" s="41" t="s">
        <v>226</v>
      </c>
      <c r="F9" s="43" t="s">
        <v>1873</v>
      </c>
      <c r="G9" s="40"/>
      <c r="H9" s="40"/>
      <c r="I9" s="40"/>
      <c r="J9" s="40"/>
      <c r="K9" s="40"/>
      <c r="L9" s="40"/>
      <c r="M9" s="40"/>
      <c r="N9" s="40"/>
      <c r="O9" s="40">
        <v>2000</v>
      </c>
      <c r="P9" s="40">
        <v>500</v>
      </c>
      <c r="Q9" s="40" t="s">
        <v>1874</v>
      </c>
      <c r="R9" s="40">
        <v>1500</v>
      </c>
      <c r="S9" s="40" t="s">
        <v>1875</v>
      </c>
      <c r="T9" s="40"/>
      <c r="U9" s="40"/>
      <c r="V9" s="40"/>
      <c r="W9" s="40"/>
      <c r="X9" s="40"/>
      <c r="Y9" s="40"/>
      <c r="Z9" s="40"/>
      <c r="AA9" s="40"/>
      <c r="AB9" s="40"/>
      <c r="AC9" s="40"/>
      <c r="AD9" s="40" t="s">
        <v>1843</v>
      </c>
      <c r="AE9" s="40"/>
      <c r="AF9" s="40"/>
      <c r="AG9" s="40"/>
      <c r="AH9" s="40"/>
    </row>
    <row r="10" spans="1:34" x14ac:dyDescent="0.25">
      <c r="A10" s="40"/>
      <c r="B10" s="40">
        <v>9</v>
      </c>
      <c r="C10" s="40" t="s">
        <v>1876</v>
      </c>
      <c r="D10" s="40" t="s">
        <v>1877</v>
      </c>
      <c r="E10" s="41" t="s">
        <v>226</v>
      </c>
      <c r="F10" s="43" t="s">
        <v>1878</v>
      </c>
      <c r="G10" s="40"/>
      <c r="H10" s="40"/>
      <c r="I10" s="40"/>
      <c r="J10" s="40"/>
      <c r="K10" s="40"/>
      <c r="L10" s="40"/>
      <c r="M10" s="40"/>
      <c r="N10" s="40"/>
      <c r="O10" s="40" t="s">
        <v>1842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 s="40"/>
      <c r="B11" s="40">
        <v>10</v>
      </c>
      <c r="C11" s="40" t="s">
        <v>1879</v>
      </c>
      <c r="D11" s="40" t="s">
        <v>1880</v>
      </c>
      <c r="E11" s="41" t="s">
        <v>226</v>
      </c>
      <c r="F11" s="43" t="s">
        <v>1881</v>
      </c>
      <c r="G11" s="40"/>
      <c r="H11" s="40"/>
      <c r="I11" s="40"/>
      <c r="J11" s="40"/>
      <c r="K11" s="40"/>
      <c r="L11" s="40"/>
      <c r="M11" s="40"/>
      <c r="N11" s="40"/>
      <c r="O11" s="40">
        <v>5000</v>
      </c>
      <c r="P11" s="40">
        <v>1000</v>
      </c>
      <c r="Q11" s="40" t="s">
        <v>1882</v>
      </c>
      <c r="R11" s="40">
        <v>2000</v>
      </c>
      <c r="S11" s="40" t="s">
        <v>1883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 s="40"/>
      <c r="B12" s="40">
        <v>11</v>
      </c>
      <c r="C12" s="40" t="s">
        <v>1884</v>
      </c>
      <c r="D12" s="40" t="s">
        <v>1885</v>
      </c>
      <c r="E12" s="41" t="s">
        <v>226</v>
      </c>
      <c r="F12" s="43" t="s">
        <v>1886</v>
      </c>
      <c r="G12" s="40"/>
      <c r="H12" s="40"/>
      <c r="I12" s="40"/>
      <c r="J12" s="40"/>
      <c r="K12" s="40"/>
      <c r="L12" s="40"/>
      <c r="M12" s="40"/>
      <c r="N12" s="40"/>
      <c r="O12" s="40" t="s">
        <v>1842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 s="40"/>
      <c r="B13" s="40">
        <v>12</v>
      </c>
      <c r="C13" s="40" t="s">
        <v>1887</v>
      </c>
      <c r="D13" s="40" t="s">
        <v>1888</v>
      </c>
      <c r="E13" s="41" t="s">
        <v>226</v>
      </c>
      <c r="F13" s="43" t="s">
        <v>1889</v>
      </c>
      <c r="G13" s="40"/>
      <c r="H13" s="40"/>
      <c r="I13" s="40"/>
      <c r="J13" s="40"/>
      <c r="K13" s="40"/>
      <c r="L13" s="40"/>
      <c r="M13" s="40"/>
      <c r="N13" s="40"/>
      <c r="O13" s="40">
        <v>10000</v>
      </c>
      <c r="P13" s="40">
        <v>2500</v>
      </c>
      <c r="Q13" s="40" t="s">
        <v>1890</v>
      </c>
      <c r="R13" s="40">
        <v>4000</v>
      </c>
      <c r="S13" s="40" t="s">
        <v>1891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 s="40"/>
      <c r="B14" s="40">
        <v>13</v>
      </c>
      <c r="C14" s="40" t="s">
        <v>1892</v>
      </c>
      <c r="D14" s="40" t="s">
        <v>1893</v>
      </c>
      <c r="E14" s="41" t="s">
        <v>226</v>
      </c>
      <c r="F14" s="43" t="s">
        <v>1894</v>
      </c>
      <c r="G14" s="40"/>
      <c r="H14" s="40"/>
      <c r="I14" s="40"/>
      <c r="J14" s="40"/>
      <c r="K14" s="40"/>
      <c r="L14" s="40"/>
      <c r="M14" s="40"/>
      <c r="N14" s="40"/>
      <c r="O14" s="40">
        <v>5000</v>
      </c>
      <c r="P14" s="40">
        <v>3000</v>
      </c>
      <c r="Q14" s="40" t="s">
        <v>1895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 s="40"/>
      <c r="B15" s="40">
        <v>14</v>
      </c>
      <c r="C15" s="40" t="s">
        <v>1896</v>
      </c>
      <c r="D15" s="40" t="s">
        <v>1897</v>
      </c>
      <c r="E15" s="41" t="s">
        <v>226</v>
      </c>
      <c r="F15" s="43" t="s">
        <v>1898</v>
      </c>
      <c r="G15" s="40"/>
      <c r="H15" s="40"/>
      <c r="I15" s="40"/>
      <c r="J15" s="40"/>
      <c r="K15" s="40"/>
      <c r="L15" s="40"/>
      <c r="M15" s="40"/>
      <c r="N15" s="40"/>
      <c r="O15" s="40">
        <v>1000</v>
      </c>
      <c r="P15" s="40">
        <v>2500</v>
      </c>
      <c r="Q15" s="40" t="s">
        <v>1899</v>
      </c>
      <c r="R15" s="40">
        <v>2500</v>
      </c>
      <c r="S15" s="40" t="s">
        <v>1900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 s="40"/>
      <c r="B16" s="40">
        <v>15</v>
      </c>
      <c r="C16" s="40" t="s">
        <v>1901</v>
      </c>
      <c r="D16" s="40" t="s">
        <v>1902</v>
      </c>
      <c r="E16" s="41" t="s">
        <v>226</v>
      </c>
      <c r="F16" s="43" t="s">
        <v>1903</v>
      </c>
      <c r="G16" s="40"/>
      <c r="H16" s="40"/>
      <c r="I16" s="40"/>
      <c r="J16" s="40"/>
      <c r="K16" s="40"/>
      <c r="L16" s="40"/>
      <c r="M16" s="40"/>
      <c r="N16" s="40"/>
      <c r="O16" s="40">
        <v>1700</v>
      </c>
      <c r="P16" s="40">
        <v>1000</v>
      </c>
      <c r="Q16" s="40" t="s">
        <v>1904</v>
      </c>
      <c r="R16" s="40">
        <v>6000</v>
      </c>
      <c r="S16" s="40" t="s">
        <v>1905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 s="40"/>
      <c r="B17" s="40">
        <v>16</v>
      </c>
      <c r="C17" s="40" t="s">
        <v>1906</v>
      </c>
      <c r="D17" s="40" t="s">
        <v>1885</v>
      </c>
      <c r="E17" s="41" t="s">
        <v>226</v>
      </c>
      <c r="F17" s="43" t="s">
        <v>1907</v>
      </c>
      <c r="G17" s="40"/>
      <c r="H17" s="40"/>
      <c r="I17" s="40"/>
      <c r="J17" s="40"/>
      <c r="K17" s="40"/>
      <c r="L17" s="40"/>
      <c r="M17" s="40"/>
      <c r="N17" s="40"/>
      <c r="O17" s="40">
        <v>8000</v>
      </c>
      <c r="P17" s="40">
        <v>2000</v>
      </c>
      <c r="Q17" s="40" t="s">
        <v>1908</v>
      </c>
      <c r="R17" s="40">
        <v>3000</v>
      </c>
      <c r="S17" s="40" t="s">
        <v>1909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 s="40"/>
      <c r="B18" s="40">
        <v>17</v>
      </c>
      <c r="C18" s="40" t="s">
        <v>1910</v>
      </c>
      <c r="D18" s="40" t="s">
        <v>1911</v>
      </c>
      <c r="E18" s="41" t="s">
        <v>226</v>
      </c>
      <c r="F18" s="43" t="s">
        <v>1912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5000</v>
      </c>
      <c r="Q18" s="40" t="s">
        <v>1913</v>
      </c>
      <c r="R18" s="40">
        <v>3000</v>
      </c>
      <c r="S18" s="40" t="s">
        <v>1914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 s="40"/>
      <c r="B19" s="40">
        <v>18</v>
      </c>
      <c r="C19" s="40" t="s">
        <v>1915</v>
      </c>
      <c r="D19" s="40" t="s">
        <v>1911</v>
      </c>
      <c r="E19" s="41" t="s">
        <v>226</v>
      </c>
      <c r="F19" s="43" t="s">
        <v>1916</v>
      </c>
      <c r="G19" s="40"/>
      <c r="H19" s="40"/>
      <c r="I19" s="40"/>
      <c r="J19" s="40"/>
      <c r="K19" s="40"/>
      <c r="L19" s="40"/>
      <c r="M19" s="40"/>
      <c r="N19" s="40"/>
      <c r="O19" s="40">
        <v>17000</v>
      </c>
      <c r="P19" s="40">
        <v>5000</v>
      </c>
      <c r="Q19" s="40" t="s">
        <v>1917</v>
      </c>
      <c r="R19" s="40">
        <v>4000</v>
      </c>
      <c r="S19" s="40" t="s">
        <v>1918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 s="40"/>
      <c r="B20" s="40">
        <v>19</v>
      </c>
      <c r="C20" s="40" t="s">
        <v>1919</v>
      </c>
      <c r="D20" s="40" t="s">
        <v>1920</v>
      </c>
      <c r="E20" s="41" t="s">
        <v>226</v>
      </c>
      <c r="F20" s="43" t="s">
        <v>1921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 s="40"/>
      <c r="B21" s="40">
        <v>20</v>
      </c>
      <c r="C21" s="40" t="s">
        <v>1922</v>
      </c>
      <c r="D21" s="40" t="s">
        <v>1923</v>
      </c>
      <c r="E21" s="41" t="s">
        <v>226</v>
      </c>
      <c r="F21" s="43" t="s">
        <v>1924</v>
      </c>
      <c r="G21" s="40"/>
      <c r="H21" s="40"/>
      <c r="I21" s="40"/>
      <c r="J21" s="40"/>
      <c r="K21" s="40"/>
      <c r="L21" s="40"/>
      <c r="M21" s="40"/>
      <c r="N21" s="40"/>
      <c r="O21" s="40">
        <v>10000</v>
      </c>
      <c r="P21" s="40">
        <v>1000</v>
      </c>
      <c r="Q21" s="40" t="s">
        <v>1925</v>
      </c>
      <c r="R21" s="40">
        <v>2000</v>
      </c>
      <c r="S21" s="40" t="s">
        <v>1926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 s="40"/>
      <c r="B22" s="40">
        <v>21</v>
      </c>
      <c r="C22" s="40" t="s">
        <v>1927</v>
      </c>
      <c r="D22" s="40" t="s">
        <v>1923</v>
      </c>
      <c r="E22" s="41" t="s">
        <v>226</v>
      </c>
      <c r="F22" s="43" t="s">
        <v>1924</v>
      </c>
      <c r="G22" s="40"/>
      <c r="H22" s="40"/>
      <c r="I22" s="40"/>
      <c r="J22" s="40"/>
      <c r="K22" s="40"/>
      <c r="L22" s="40"/>
      <c r="M22" s="40"/>
      <c r="N22" s="40"/>
      <c r="O22" s="40">
        <v>10000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x14ac:dyDescent="0.25">
      <c r="A23" s="40"/>
      <c r="B23" s="40">
        <v>22</v>
      </c>
      <c r="C23" s="40" t="s">
        <v>1928</v>
      </c>
      <c r="D23" s="40" t="s">
        <v>1937</v>
      </c>
      <c r="E23" s="41" t="s">
        <v>226</v>
      </c>
      <c r="F23" s="43" t="s">
        <v>1946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 s="40"/>
      <c r="B24" s="40">
        <v>23</v>
      </c>
      <c r="C24" s="40" t="s">
        <v>1929</v>
      </c>
      <c r="D24" s="40" t="s">
        <v>1938</v>
      </c>
      <c r="E24" s="41" t="s">
        <v>226</v>
      </c>
      <c r="F24" s="43" t="s">
        <v>1947</v>
      </c>
      <c r="G24" s="40"/>
      <c r="H24" s="40"/>
      <c r="I24" s="40"/>
      <c r="J24" s="40"/>
      <c r="K24" s="40"/>
      <c r="L24" s="40"/>
      <c r="M24" s="40"/>
      <c r="N24" s="40"/>
      <c r="O24" s="40">
        <v>25000</v>
      </c>
      <c r="P24" s="40">
        <v>5000</v>
      </c>
      <c r="Q24" s="40" t="s">
        <v>1955</v>
      </c>
      <c r="R24" s="40">
        <v>5000</v>
      </c>
      <c r="S24" s="40" t="s">
        <v>1956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 s="40"/>
      <c r="B25" s="40">
        <v>24</v>
      </c>
      <c r="C25" s="40" t="s">
        <v>1930</v>
      </c>
      <c r="D25" s="40" t="s">
        <v>1939</v>
      </c>
      <c r="E25" s="41" t="s">
        <v>226</v>
      </c>
      <c r="F25" s="43" t="s">
        <v>1948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 s="40"/>
      <c r="B26" s="40">
        <v>25</v>
      </c>
      <c r="C26" s="40" t="s">
        <v>1931</v>
      </c>
      <c r="D26" s="40" t="s">
        <v>1940</v>
      </c>
      <c r="E26" s="41" t="s">
        <v>226</v>
      </c>
      <c r="F26" s="43" t="s">
        <v>1949</v>
      </c>
      <c r="G26" s="40"/>
      <c r="H26" s="40"/>
      <c r="I26" s="40"/>
      <c r="J26" s="40"/>
      <c r="K26" s="40"/>
      <c r="L26" s="40"/>
      <c r="M26" s="40"/>
      <c r="N26" s="40"/>
      <c r="O26" s="40">
        <v>10000</v>
      </c>
      <c r="P26" s="40">
        <v>1000</v>
      </c>
      <c r="Q26" s="40" t="s">
        <v>1957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 s="40"/>
      <c r="B27" s="40">
        <v>26</v>
      </c>
      <c r="C27" s="40" t="s">
        <v>1932</v>
      </c>
      <c r="D27" s="40" t="s">
        <v>1941</v>
      </c>
      <c r="E27" s="41" t="s">
        <v>226</v>
      </c>
      <c r="F27" s="43" t="s">
        <v>1950</v>
      </c>
      <c r="G27" s="40"/>
      <c r="H27" s="40"/>
      <c r="I27" s="40"/>
      <c r="J27" s="40"/>
      <c r="K27" s="40"/>
      <c r="L27" s="40"/>
      <c r="M27" s="40"/>
      <c r="N27" s="40"/>
      <c r="O27" s="40">
        <v>10000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 s="40"/>
      <c r="B28" s="40">
        <v>27</v>
      </c>
      <c r="C28" s="40" t="s">
        <v>1933</v>
      </c>
      <c r="D28" s="40" t="s">
        <v>1942</v>
      </c>
      <c r="E28" s="41" t="s">
        <v>226</v>
      </c>
      <c r="F28" s="43" t="s">
        <v>1951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1958</v>
      </c>
      <c r="R28" s="40">
        <v>7000</v>
      </c>
      <c r="S28" s="40" t="s">
        <v>1961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 s="40"/>
      <c r="B29" s="40">
        <v>28</v>
      </c>
      <c r="C29" s="40" t="s">
        <v>1934</v>
      </c>
      <c r="D29" s="40" t="s">
        <v>1943</v>
      </c>
      <c r="E29" s="41" t="s">
        <v>226</v>
      </c>
      <c r="F29" s="43" t="s">
        <v>1952</v>
      </c>
      <c r="G29" s="40"/>
      <c r="H29" s="40"/>
      <c r="I29" s="40"/>
      <c r="J29" s="40"/>
      <c r="K29" s="40"/>
      <c r="L29" s="40"/>
      <c r="M29" s="40"/>
      <c r="N29" s="40"/>
      <c r="O29" s="40">
        <v>18000</v>
      </c>
      <c r="P29" s="40">
        <v>1000</v>
      </c>
      <c r="Q29" s="40" t="s">
        <v>1959</v>
      </c>
      <c r="R29" s="40">
        <v>7000</v>
      </c>
      <c r="S29" s="40" t="s">
        <v>1962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 s="40"/>
      <c r="B30" s="40">
        <v>29</v>
      </c>
      <c r="C30" s="40" t="s">
        <v>1935</v>
      </c>
      <c r="D30" s="40" t="s">
        <v>1944</v>
      </c>
      <c r="E30" s="41" t="s">
        <v>226</v>
      </c>
      <c r="F30" s="43" t="s">
        <v>1953</v>
      </c>
      <c r="G30" s="40"/>
      <c r="H30" s="40"/>
      <c r="I30" s="40"/>
      <c r="J30" s="40"/>
      <c r="K30" s="40"/>
      <c r="L30" s="40"/>
      <c r="M30" s="40"/>
      <c r="N30" s="40"/>
      <c r="O30" s="40">
        <v>5000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 s="40"/>
      <c r="B31" s="40">
        <v>30</v>
      </c>
      <c r="C31" s="40" t="s">
        <v>1936</v>
      </c>
      <c r="D31" s="40" t="s">
        <v>1945</v>
      </c>
      <c r="E31" s="41" t="s">
        <v>226</v>
      </c>
      <c r="F31" s="43" t="s">
        <v>1954</v>
      </c>
      <c r="G31" s="40"/>
      <c r="H31" s="40"/>
      <c r="I31" s="40"/>
      <c r="J31" s="40"/>
      <c r="K31" s="40"/>
      <c r="L31" s="40"/>
      <c r="M31" s="40"/>
      <c r="N31" s="40"/>
      <c r="O31" s="40">
        <v>20000</v>
      </c>
      <c r="P31" s="40">
        <v>1000</v>
      </c>
      <c r="Q31" s="40" t="s">
        <v>1960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 s="40"/>
      <c r="B32" s="40">
        <v>31</v>
      </c>
      <c r="C32" s="40" t="s">
        <v>1963</v>
      </c>
      <c r="D32" s="40" t="s">
        <v>1938</v>
      </c>
      <c r="E32" s="41" t="s">
        <v>226</v>
      </c>
      <c r="F32" s="43" t="s">
        <v>1979</v>
      </c>
      <c r="G32" s="40"/>
      <c r="H32" s="40"/>
      <c r="I32" s="40"/>
      <c r="J32" s="40"/>
      <c r="K32" s="40"/>
      <c r="L32" s="40"/>
      <c r="M32" s="40"/>
      <c r="N32" s="40"/>
      <c r="O32" s="40">
        <v>18000</v>
      </c>
      <c r="P32" s="40">
        <v>15000</v>
      </c>
      <c r="Q32" s="40" t="s">
        <v>1988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 s="40"/>
      <c r="B33" s="40">
        <v>32</v>
      </c>
      <c r="C33" s="40" t="s">
        <v>1964</v>
      </c>
      <c r="D33" s="40" t="s">
        <v>1972</v>
      </c>
      <c r="E33" s="41" t="s">
        <v>226</v>
      </c>
      <c r="F33" s="43" t="s">
        <v>1980</v>
      </c>
      <c r="G33" s="40"/>
      <c r="H33" s="40"/>
      <c r="I33" s="40"/>
      <c r="J33" s="40"/>
      <c r="K33" s="40"/>
      <c r="L33" s="40"/>
      <c r="M33" s="40"/>
      <c r="N33" s="40"/>
      <c r="O33" s="40">
        <v>20000</v>
      </c>
      <c r="P33" s="40">
        <v>1000</v>
      </c>
      <c r="Q33" s="40" t="s">
        <v>1989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 s="40"/>
      <c r="B34" s="40">
        <v>33</v>
      </c>
      <c r="C34" s="40" t="s">
        <v>1965</v>
      </c>
      <c r="D34" s="40" t="s">
        <v>1973</v>
      </c>
      <c r="E34" s="41" t="s">
        <v>226</v>
      </c>
      <c r="F34" s="43" t="s">
        <v>1981</v>
      </c>
      <c r="G34" s="40"/>
      <c r="H34" s="40"/>
      <c r="I34" s="40"/>
      <c r="J34" s="40"/>
      <c r="K34" s="40"/>
      <c r="L34" s="40"/>
      <c r="M34" s="40"/>
      <c r="N34" s="40"/>
      <c r="O34" s="40">
        <v>15000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 s="40"/>
      <c r="B35" s="40">
        <v>34</v>
      </c>
      <c r="C35" s="40" t="s">
        <v>1966</v>
      </c>
      <c r="D35" s="40" t="s">
        <v>1974</v>
      </c>
      <c r="E35" s="41" t="s">
        <v>226</v>
      </c>
      <c r="F35" s="43" t="s">
        <v>1982</v>
      </c>
      <c r="G35" s="40"/>
      <c r="H35" s="40"/>
      <c r="I35" s="40"/>
      <c r="J35" s="40"/>
      <c r="K35" s="40"/>
      <c r="L35" s="40"/>
      <c r="M35" s="40"/>
      <c r="N35" s="40"/>
      <c r="O35" s="40" t="s">
        <v>1842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 s="40"/>
      <c r="B36" s="40">
        <v>35</v>
      </c>
      <c r="C36" s="40" t="s">
        <v>1967</v>
      </c>
      <c r="D36" s="40" t="s">
        <v>1893</v>
      </c>
      <c r="E36" s="41" t="s">
        <v>226</v>
      </c>
      <c r="F36" s="43" t="s">
        <v>1983</v>
      </c>
      <c r="G36" s="40"/>
      <c r="H36" s="40"/>
      <c r="I36" s="40"/>
      <c r="J36" s="40"/>
      <c r="K36" s="40"/>
      <c r="L36" s="40"/>
      <c r="M36" s="40"/>
      <c r="N36" s="40"/>
      <c r="O36" s="40">
        <v>10000</v>
      </c>
      <c r="P36" s="40">
        <v>1000</v>
      </c>
      <c r="Q36" s="40" t="s">
        <v>1990</v>
      </c>
      <c r="R36" s="40">
        <v>3000</v>
      </c>
      <c r="S36" s="40" t="s">
        <v>1994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 s="40"/>
      <c r="B37" s="40">
        <v>36</v>
      </c>
      <c r="C37" s="40" t="s">
        <v>1968</v>
      </c>
      <c r="D37" s="40" t="s">
        <v>1975</v>
      </c>
      <c r="E37" s="41" t="s">
        <v>226</v>
      </c>
      <c r="F37" s="43" t="s">
        <v>1984</v>
      </c>
      <c r="G37" s="40"/>
      <c r="H37" s="40"/>
      <c r="I37" s="40"/>
      <c r="J37" s="40"/>
      <c r="K37" s="40"/>
      <c r="L37" s="40"/>
      <c r="M37" s="40"/>
      <c r="N37" s="40"/>
      <c r="O37" s="40">
        <v>10000</v>
      </c>
      <c r="P37" s="40">
        <v>5000</v>
      </c>
      <c r="Q37" s="40" t="s">
        <v>1991</v>
      </c>
      <c r="R37" s="40">
        <v>3000</v>
      </c>
      <c r="S37" s="40" t="s">
        <v>1995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 s="40"/>
      <c r="B38" s="40">
        <v>37</v>
      </c>
      <c r="C38" s="40" t="s">
        <v>1969</v>
      </c>
      <c r="D38" s="40" t="s">
        <v>1976</v>
      </c>
      <c r="E38" s="41" t="s">
        <v>226</v>
      </c>
      <c r="F38" s="43" t="s">
        <v>1985</v>
      </c>
      <c r="G38" s="40"/>
      <c r="H38" s="40"/>
      <c r="I38" s="40"/>
      <c r="J38" s="40"/>
      <c r="K38" s="40"/>
      <c r="L38" s="40"/>
      <c r="M38" s="40"/>
      <c r="N38" s="40"/>
      <c r="O38" s="40" t="s">
        <v>1842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 s="40"/>
      <c r="B39" s="40">
        <v>38</v>
      </c>
      <c r="C39" s="40" t="s">
        <v>1970</v>
      </c>
      <c r="D39" s="40" t="s">
        <v>1977</v>
      </c>
      <c r="E39" s="41" t="s">
        <v>226</v>
      </c>
      <c r="F39" s="43" t="s">
        <v>1986</v>
      </c>
      <c r="G39" s="40"/>
      <c r="H39" s="40"/>
      <c r="I39" s="40"/>
      <c r="J39" s="40"/>
      <c r="K39" s="40"/>
      <c r="L39" s="40"/>
      <c r="M39" s="40"/>
      <c r="N39" s="40"/>
      <c r="O39" s="40">
        <v>5000</v>
      </c>
      <c r="P39" s="40">
        <v>3000</v>
      </c>
      <c r="Q39" s="40" t="s">
        <v>1992</v>
      </c>
      <c r="R39" s="40">
        <v>2000</v>
      </c>
      <c r="S39" s="40" t="s">
        <v>1996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 s="40"/>
      <c r="B40" s="40">
        <v>39</v>
      </c>
      <c r="C40" s="40" t="s">
        <v>1971</v>
      </c>
      <c r="D40" s="40" t="s">
        <v>1978</v>
      </c>
      <c r="E40" s="41" t="s">
        <v>226</v>
      </c>
      <c r="F40" s="43" t="s">
        <v>1987</v>
      </c>
      <c r="G40" s="40"/>
      <c r="H40" s="40"/>
      <c r="I40" s="40"/>
      <c r="J40" s="40"/>
      <c r="K40" s="40"/>
      <c r="L40" s="40"/>
      <c r="M40" s="40"/>
      <c r="N40" s="40"/>
      <c r="O40" s="40">
        <v>5000</v>
      </c>
      <c r="P40" s="40">
        <v>4000</v>
      </c>
      <c r="Q40" s="40" t="s">
        <v>1993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 s="40"/>
      <c r="B41" s="40">
        <v>40</v>
      </c>
      <c r="C41" s="40" t="s">
        <v>1997</v>
      </c>
      <c r="D41" s="40" t="s">
        <v>2006</v>
      </c>
      <c r="E41" s="41" t="s">
        <v>226</v>
      </c>
      <c r="F41" s="43" t="s">
        <v>2014</v>
      </c>
      <c r="G41" s="40"/>
      <c r="H41" s="40"/>
      <c r="I41" s="40"/>
      <c r="J41" s="40"/>
      <c r="K41" s="40"/>
      <c r="L41" s="40"/>
      <c r="M41" s="40"/>
      <c r="N41" s="40"/>
      <c r="O41" s="40">
        <v>5000</v>
      </c>
      <c r="P41" s="40">
        <v>1000</v>
      </c>
      <c r="Q41" s="40" t="s">
        <v>1957</v>
      </c>
      <c r="R41" s="40">
        <v>2000</v>
      </c>
      <c r="S41" s="40" t="s">
        <v>2028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 s="40"/>
      <c r="B42" s="40">
        <v>42</v>
      </c>
      <c r="C42" s="40" t="s">
        <v>1998</v>
      </c>
      <c r="D42" s="40" t="s">
        <v>2007</v>
      </c>
      <c r="E42" s="41" t="s">
        <v>226</v>
      </c>
      <c r="F42" s="43" t="s">
        <v>2015</v>
      </c>
      <c r="G42" s="40"/>
      <c r="H42" s="40"/>
      <c r="I42" s="40"/>
      <c r="J42" s="40"/>
      <c r="K42" s="40"/>
      <c r="L42" s="40"/>
      <c r="M42" s="40"/>
      <c r="N42" s="40"/>
      <c r="O42" s="40">
        <v>13000</v>
      </c>
      <c r="P42" s="40">
        <v>5000</v>
      </c>
      <c r="Q42" s="40" t="s">
        <v>2023</v>
      </c>
      <c r="R42" s="40">
        <v>4200</v>
      </c>
      <c r="S42" s="40" t="s">
        <v>2029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 s="40"/>
      <c r="B43" s="40">
        <v>43</v>
      </c>
      <c r="C43" s="40" t="s">
        <v>1999</v>
      </c>
      <c r="D43" s="40" t="s">
        <v>2008</v>
      </c>
      <c r="E43" s="41" t="s">
        <v>226</v>
      </c>
      <c r="F43" s="43" t="s">
        <v>2016</v>
      </c>
      <c r="G43" s="40"/>
      <c r="H43" s="40"/>
      <c r="I43" s="40"/>
      <c r="J43" s="40"/>
      <c r="K43" s="40"/>
      <c r="L43" s="40"/>
      <c r="M43" s="40"/>
      <c r="N43" s="40"/>
      <c r="O43" s="40">
        <v>18000</v>
      </c>
      <c r="P43" s="40">
        <v>3000</v>
      </c>
      <c r="Q43" s="40" t="s">
        <v>2024</v>
      </c>
      <c r="R43" s="40">
        <v>2000</v>
      </c>
      <c r="S43" s="40" t="s">
        <v>2030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 s="40"/>
      <c r="B44" s="40">
        <v>178</v>
      </c>
      <c r="C44" s="40" t="s">
        <v>2000</v>
      </c>
      <c r="D44" s="40" t="s">
        <v>1943</v>
      </c>
      <c r="E44" s="41" t="s">
        <v>226</v>
      </c>
      <c r="F44" s="43" t="s">
        <v>2017</v>
      </c>
      <c r="G44" s="40"/>
      <c r="H44" s="40"/>
      <c r="I44" s="40"/>
      <c r="J44" s="40"/>
      <c r="K44" s="40"/>
      <c r="L44" s="40"/>
      <c r="M44" s="40"/>
      <c r="N44" s="40"/>
      <c r="O44" s="40" t="s">
        <v>1842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 s="40"/>
      <c r="B45" s="40">
        <v>179</v>
      </c>
      <c r="C45" s="40" t="s">
        <v>2001</v>
      </c>
      <c r="D45" s="40" t="s">
        <v>2009</v>
      </c>
      <c r="E45" s="41" t="s">
        <v>226</v>
      </c>
      <c r="F45" s="43" t="s">
        <v>2018</v>
      </c>
      <c r="G45" s="40"/>
      <c r="H45" s="40"/>
      <c r="I45" s="40"/>
      <c r="J45" s="40"/>
      <c r="K45" s="40"/>
      <c r="L45" s="40"/>
      <c r="M45" s="40"/>
      <c r="N45" s="40"/>
      <c r="O45" s="40">
        <v>15000</v>
      </c>
      <c r="P45" s="40">
        <v>5000</v>
      </c>
      <c r="Q45" s="40" t="s">
        <v>2025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 s="40"/>
      <c r="B46" s="40">
        <v>180</v>
      </c>
      <c r="C46" s="40" t="s">
        <v>2002</v>
      </c>
      <c r="D46" s="40" t="s">
        <v>2010</v>
      </c>
      <c r="E46" s="41" t="s">
        <v>226</v>
      </c>
      <c r="F46" s="43" t="s">
        <v>2019</v>
      </c>
      <c r="G46" s="40"/>
      <c r="H46" s="40"/>
      <c r="I46" s="40"/>
      <c r="J46" s="40"/>
      <c r="K46" s="40"/>
      <c r="L46" s="40"/>
      <c r="M46" s="40"/>
      <c r="N46" s="40"/>
      <c r="O46" s="40" t="s">
        <v>1842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 s="40"/>
      <c r="B47" s="40">
        <v>117</v>
      </c>
      <c r="C47" s="40" t="s">
        <v>2003</v>
      </c>
      <c r="D47" s="40" t="s">
        <v>2011</v>
      </c>
      <c r="E47" s="41" t="s">
        <v>226</v>
      </c>
      <c r="F47" s="43" t="s">
        <v>2020</v>
      </c>
      <c r="G47" s="40"/>
      <c r="H47" s="40"/>
      <c r="I47" s="40"/>
      <c r="J47" s="40"/>
      <c r="K47" s="40"/>
      <c r="L47" s="40"/>
      <c r="M47" s="40"/>
      <c r="N47" s="40"/>
      <c r="O47" s="40" t="s">
        <v>1842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 s="40"/>
      <c r="B48" s="40">
        <v>177</v>
      </c>
      <c r="C48" s="40" t="s">
        <v>2004</v>
      </c>
      <c r="D48" s="40" t="s">
        <v>2012</v>
      </c>
      <c r="E48" s="41" t="s">
        <v>226</v>
      </c>
      <c r="F48" s="43" t="s">
        <v>2021</v>
      </c>
      <c r="G48" s="40"/>
      <c r="H48" s="40"/>
      <c r="I48" s="40"/>
      <c r="J48" s="40"/>
      <c r="K48" s="40"/>
      <c r="L48" s="40"/>
      <c r="M48" s="40"/>
      <c r="N48" s="40"/>
      <c r="O48" s="40">
        <v>17000</v>
      </c>
      <c r="P48" s="40">
        <v>1000</v>
      </c>
      <c r="Q48" s="40" t="s">
        <v>2026</v>
      </c>
      <c r="R48" s="40">
        <v>5000</v>
      </c>
      <c r="S48" s="40" t="s">
        <v>2031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 s="40"/>
      <c r="B49" s="40">
        <v>194</v>
      </c>
      <c r="C49" s="40" t="s">
        <v>2005</v>
      </c>
      <c r="D49" s="40" t="s">
        <v>2013</v>
      </c>
      <c r="E49" s="41" t="s">
        <v>226</v>
      </c>
      <c r="F49" s="43" t="s">
        <v>2022</v>
      </c>
      <c r="G49" s="40"/>
      <c r="H49" s="40"/>
      <c r="I49" s="40"/>
      <c r="J49" s="40"/>
      <c r="K49" s="40"/>
      <c r="L49" s="40"/>
      <c r="M49" s="40"/>
      <c r="N49" s="40"/>
      <c r="O49" s="40">
        <v>12000</v>
      </c>
      <c r="P49" s="40">
        <v>2000</v>
      </c>
      <c r="Q49" s="40" t="s">
        <v>2027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 s="40"/>
      <c r="B50" s="40">
        <v>200</v>
      </c>
      <c r="C50" s="40" t="s">
        <v>2034</v>
      </c>
      <c r="D50" s="40" t="s">
        <v>2040</v>
      </c>
      <c r="E50" s="41" t="s">
        <v>226</v>
      </c>
      <c r="F50" s="43" t="s">
        <v>2047</v>
      </c>
      <c r="G50" s="40"/>
      <c r="H50" s="40"/>
      <c r="I50" s="40"/>
      <c r="J50" s="40"/>
      <c r="K50" s="40"/>
      <c r="L50" s="40"/>
      <c r="M50" s="40"/>
      <c r="N50" s="40"/>
      <c r="O50" s="40">
        <v>15000</v>
      </c>
      <c r="P50" s="40">
        <v>3750</v>
      </c>
      <c r="Q50" s="40" t="s">
        <v>2052</v>
      </c>
      <c r="R50" s="40">
        <v>3750</v>
      </c>
      <c r="S50" s="40" t="s">
        <v>2055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 s="40"/>
      <c r="B51" s="40" t="s">
        <v>2032</v>
      </c>
      <c r="C51" s="40" t="s">
        <v>2035</v>
      </c>
      <c r="D51" s="40" t="s">
        <v>2041</v>
      </c>
      <c r="E51" s="41" t="s">
        <v>226</v>
      </c>
      <c r="F51" s="43" t="s">
        <v>2048</v>
      </c>
      <c r="G51" s="40"/>
      <c r="H51" s="40"/>
      <c r="I51" s="40"/>
      <c r="J51" s="40"/>
      <c r="K51" s="40"/>
      <c r="L51" s="40"/>
      <c r="M51" s="40"/>
      <c r="N51" s="40"/>
      <c r="O51" s="40">
        <v>10000</v>
      </c>
      <c r="P51" s="40">
        <v>2000</v>
      </c>
      <c r="Q51" s="40" t="s">
        <v>2053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 s="40"/>
      <c r="B52" s="40" t="s">
        <v>2032</v>
      </c>
      <c r="C52" s="40" t="s">
        <v>2036</v>
      </c>
      <c r="D52" s="40" t="s">
        <v>2042</v>
      </c>
      <c r="E52" s="41" t="s">
        <v>226</v>
      </c>
      <c r="F52" s="43" t="s">
        <v>2049</v>
      </c>
      <c r="G52" s="40"/>
      <c r="H52" s="40"/>
      <c r="I52" s="40"/>
      <c r="J52" s="40"/>
      <c r="K52" s="40"/>
      <c r="L52" s="40"/>
      <c r="M52" s="40"/>
      <c r="N52" s="40"/>
      <c r="O52" s="40">
        <v>11000</v>
      </c>
      <c r="P52" s="40">
        <v>2500</v>
      </c>
      <c r="Q52" s="40" t="s">
        <v>2054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 s="40"/>
      <c r="B53" s="40" t="s">
        <v>2032</v>
      </c>
      <c r="C53" s="40" t="s">
        <v>2037</v>
      </c>
      <c r="D53" s="40" t="s">
        <v>2043</v>
      </c>
      <c r="E53" s="41" t="s">
        <v>226</v>
      </c>
      <c r="F53" s="43"/>
      <c r="G53" s="40"/>
      <c r="H53" s="40"/>
      <c r="I53" s="40"/>
      <c r="J53" s="40"/>
      <c r="K53" s="40"/>
      <c r="L53" s="40"/>
      <c r="M53" s="40"/>
      <c r="N53" s="40"/>
      <c r="O53" s="40">
        <v>10000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 s="40"/>
      <c r="B54" s="40" t="s">
        <v>2033</v>
      </c>
      <c r="C54" s="40" t="s">
        <v>1922</v>
      </c>
      <c r="D54" s="40" t="s">
        <v>2044</v>
      </c>
      <c r="E54" s="41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 s="40"/>
      <c r="B55" s="40"/>
      <c r="C55" s="40" t="s">
        <v>2038</v>
      </c>
      <c r="D55" s="40" t="s">
        <v>2045</v>
      </c>
      <c r="E55" s="41" t="s">
        <v>226</v>
      </c>
      <c r="F55" s="43"/>
      <c r="G55" s="40"/>
      <c r="H55" s="40"/>
      <c r="I55" s="40"/>
      <c r="J55" s="40"/>
      <c r="K55" s="40"/>
      <c r="L55" s="40"/>
      <c r="M55" s="40"/>
      <c r="N55" s="40"/>
      <c r="O55" s="40"/>
      <c r="P55" s="40">
        <v>3000</v>
      </c>
      <c r="Q55" s="40" t="s">
        <v>2050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spans="1:34" x14ac:dyDescent="0.25">
      <c r="A56" s="40"/>
      <c r="B56" s="40"/>
      <c r="C56" s="40" t="s">
        <v>2039</v>
      </c>
      <c r="D56" s="40" t="s">
        <v>2046</v>
      </c>
      <c r="E56" s="41" t="s">
        <v>226</v>
      </c>
      <c r="F56" s="43"/>
      <c r="G56" s="40"/>
      <c r="H56" s="40"/>
      <c r="I56" s="40"/>
      <c r="J56" s="40"/>
      <c r="K56" s="40"/>
      <c r="L56" s="40"/>
      <c r="M56" s="40"/>
      <c r="N56" s="40"/>
      <c r="O56" s="40"/>
      <c r="P56" s="40">
        <v>5000</v>
      </c>
      <c r="Q56" s="40" t="s">
        <v>2051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1</v>
      </c>
      <c r="B57" s="40">
        <v>332</v>
      </c>
      <c r="C57" s="40" t="s">
        <v>2056</v>
      </c>
      <c r="D57" s="40" t="s">
        <v>2007</v>
      </c>
      <c r="E57" s="40" t="s">
        <v>336</v>
      </c>
      <c r="F57" s="43" t="s">
        <v>2082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2</v>
      </c>
      <c r="B58" s="40">
        <v>84</v>
      </c>
      <c r="C58" s="40" t="s">
        <v>2057</v>
      </c>
      <c r="D58" s="40" t="s">
        <v>2064</v>
      </c>
      <c r="E58" s="40" t="s">
        <v>336</v>
      </c>
      <c r="F58" s="43" t="s">
        <v>2083</v>
      </c>
      <c r="G58" s="40"/>
      <c r="H58" s="40"/>
      <c r="I58" s="40"/>
      <c r="J58" s="40"/>
      <c r="K58" s="40"/>
      <c r="L58" s="40"/>
      <c r="M58" s="40"/>
      <c r="N58" s="40"/>
      <c r="O58" s="40">
        <v>20000</v>
      </c>
      <c r="P58" s="40">
        <v>5000</v>
      </c>
      <c r="Q58" s="40" t="s">
        <v>2115</v>
      </c>
      <c r="R58" s="40">
        <v>15000</v>
      </c>
      <c r="S58" s="40" t="s">
        <v>2124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3</v>
      </c>
      <c r="B59" s="40">
        <v>176</v>
      </c>
      <c r="C59" s="40" t="s">
        <v>1835</v>
      </c>
      <c r="D59" s="40" t="s">
        <v>2065</v>
      </c>
      <c r="E59" s="40" t="s">
        <v>336</v>
      </c>
      <c r="F59" s="43" t="s">
        <v>2084</v>
      </c>
      <c r="G59" s="40"/>
      <c r="H59" s="40"/>
      <c r="I59" s="40"/>
      <c r="J59" s="40"/>
      <c r="K59" s="40"/>
      <c r="L59" s="40"/>
      <c r="M59" s="40"/>
      <c r="N59" s="40"/>
      <c r="O59" s="40">
        <v>15000</v>
      </c>
      <c r="P59" s="40">
        <v>5000</v>
      </c>
      <c r="Q59" s="40" t="s">
        <v>2116</v>
      </c>
      <c r="R59" s="40">
        <v>5000</v>
      </c>
      <c r="S59" s="40" t="s">
        <v>2125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4</v>
      </c>
      <c r="B60" s="40">
        <v>58</v>
      </c>
      <c r="C60" s="40" t="s">
        <v>2058</v>
      </c>
      <c r="D60" s="40" t="s">
        <v>2066</v>
      </c>
      <c r="E60" s="40" t="s">
        <v>336</v>
      </c>
      <c r="F60" s="43" t="s">
        <v>2085</v>
      </c>
      <c r="G60" s="40"/>
      <c r="H60" s="40"/>
      <c r="I60" s="40"/>
      <c r="J60" s="40"/>
      <c r="K60" s="40"/>
      <c r="L60" s="40"/>
      <c r="M60" s="40"/>
      <c r="N60" s="40"/>
      <c r="O60" s="40">
        <v>20000</v>
      </c>
      <c r="P60" s="40">
        <v>500</v>
      </c>
      <c r="Q60" s="40" t="s">
        <v>2117</v>
      </c>
      <c r="R60" s="40">
        <v>7000</v>
      </c>
      <c r="S60" s="40" t="s">
        <v>2126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5</v>
      </c>
      <c r="B61" s="40">
        <v>50</v>
      </c>
      <c r="C61" s="40" t="s">
        <v>1866</v>
      </c>
      <c r="D61" s="40" t="s">
        <v>2067</v>
      </c>
      <c r="E61" s="40" t="s">
        <v>336</v>
      </c>
      <c r="F61" s="43" t="s">
        <v>2086</v>
      </c>
      <c r="G61" s="40"/>
      <c r="H61" s="40"/>
      <c r="I61" s="40"/>
      <c r="J61" s="40"/>
      <c r="K61" s="40"/>
      <c r="L61" s="40"/>
      <c r="M61" s="40"/>
      <c r="N61" s="40"/>
      <c r="O61" s="40">
        <v>25000</v>
      </c>
      <c r="P61" s="40">
        <v>5000</v>
      </c>
      <c r="Q61" s="40" t="s">
        <v>2118</v>
      </c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6</v>
      </c>
      <c r="B62" s="40">
        <v>63</v>
      </c>
      <c r="C62" s="40" t="s">
        <v>2059</v>
      </c>
      <c r="D62" s="40" t="s">
        <v>1942</v>
      </c>
      <c r="E62" s="40" t="s">
        <v>336</v>
      </c>
      <c r="F62" s="43" t="s">
        <v>2087</v>
      </c>
      <c r="G62" s="40"/>
      <c r="H62" s="40"/>
      <c r="I62" s="40"/>
      <c r="J62" s="40"/>
      <c r="K62" s="40"/>
      <c r="L62" s="40"/>
      <c r="M62" s="40"/>
      <c r="N62" s="40"/>
      <c r="O62" s="40">
        <v>17000</v>
      </c>
      <c r="P62" s="40">
        <v>5000</v>
      </c>
      <c r="Q62" s="40" t="s">
        <v>2119</v>
      </c>
      <c r="R62" s="40">
        <v>5000</v>
      </c>
      <c r="S62" s="40" t="s">
        <v>2127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7</v>
      </c>
      <c r="B63" s="40">
        <v>48</v>
      </c>
      <c r="C63" s="40" t="s">
        <v>2060</v>
      </c>
      <c r="D63" s="40" t="s">
        <v>2068</v>
      </c>
      <c r="E63" s="40" t="s">
        <v>336</v>
      </c>
      <c r="F63" s="43" t="s">
        <v>2088</v>
      </c>
      <c r="G63" s="40"/>
      <c r="H63" s="40"/>
      <c r="I63" s="40"/>
      <c r="J63" s="40"/>
      <c r="K63" s="40"/>
      <c r="L63" s="40"/>
      <c r="M63" s="40"/>
      <c r="N63" s="40"/>
      <c r="O63" s="40">
        <v>20000</v>
      </c>
      <c r="P63" s="40">
        <v>4500</v>
      </c>
      <c r="Q63" s="40" t="s">
        <v>2120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54">
        <v>8</v>
      </c>
      <c r="B64" s="40">
        <v>68</v>
      </c>
      <c r="C64" s="40" t="s">
        <v>2061</v>
      </c>
      <c r="D64" s="40" t="s">
        <v>2069</v>
      </c>
      <c r="E64" s="40" t="s">
        <v>336</v>
      </c>
      <c r="F64" s="43" t="s">
        <v>2089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2500</v>
      </c>
      <c r="Q64" s="40" t="s">
        <v>2121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9</v>
      </c>
      <c r="B65" s="40">
        <v>166</v>
      </c>
      <c r="C65" s="40" t="s">
        <v>2062</v>
      </c>
      <c r="D65" s="40" t="s">
        <v>2070</v>
      </c>
      <c r="E65" s="40" t="s">
        <v>336</v>
      </c>
      <c r="F65" s="43" t="s">
        <v>2090</v>
      </c>
      <c r="G65" s="40"/>
      <c r="H65" s="40"/>
      <c r="I65" s="40"/>
      <c r="J65" s="40"/>
      <c r="K65" s="40"/>
      <c r="L65" s="40"/>
      <c r="M65" s="40"/>
      <c r="N65" s="40"/>
      <c r="O65" s="40">
        <v>20000</v>
      </c>
      <c r="P65" s="40">
        <v>2000</v>
      </c>
      <c r="Q65" s="40" t="s">
        <v>2122</v>
      </c>
      <c r="R65" s="40">
        <v>5000</v>
      </c>
      <c r="S65" s="40" t="s">
        <v>2128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10</v>
      </c>
      <c r="B66" s="40">
        <v>45</v>
      </c>
      <c r="C66" s="40" t="s">
        <v>2063</v>
      </c>
      <c r="D66" s="40" t="s">
        <v>2071</v>
      </c>
      <c r="E66" s="40" t="s">
        <v>336</v>
      </c>
      <c r="F66" s="43" t="s">
        <v>2091</v>
      </c>
      <c r="G66" s="40"/>
      <c r="H66" s="40"/>
      <c r="I66" s="40"/>
      <c r="J66" s="40"/>
      <c r="K66" s="40"/>
      <c r="L66" s="40"/>
      <c r="M66" s="40"/>
      <c r="N66" s="40"/>
      <c r="O66" s="40">
        <v>18000</v>
      </c>
      <c r="P66" s="40">
        <v>5000</v>
      </c>
      <c r="Q66" s="40" t="s">
        <v>2123</v>
      </c>
      <c r="R66" s="40">
        <v>13000</v>
      </c>
      <c r="S66" s="40" t="s">
        <v>2129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11</v>
      </c>
      <c r="B67" s="40">
        <v>61</v>
      </c>
      <c r="C67" s="40" t="s">
        <v>2072</v>
      </c>
      <c r="D67" s="40" t="s">
        <v>1847</v>
      </c>
      <c r="E67" s="40" t="s">
        <v>336</v>
      </c>
      <c r="F67" s="43" t="s">
        <v>2092</v>
      </c>
      <c r="G67" s="40"/>
      <c r="H67" s="40"/>
      <c r="I67" s="40"/>
      <c r="J67" s="40"/>
      <c r="K67" s="40"/>
      <c r="L67" s="40"/>
      <c r="M67" s="40"/>
      <c r="N67" s="40"/>
      <c r="O67" s="40">
        <v>15000</v>
      </c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12</v>
      </c>
      <c r="B68" s="40">
        <v>62</v>
      </c>
      <c r="C68" s="40" t="s">
        <v>2073</v>
      </c>
      <c r="D68" s="40" t="s">
        <v>2104</v>
      </c>
      <c r="E68" s="40" t="s">
        <v>336</v>
      </c>
      <c r="F68" s="43" t="s">
        <v>2093</v>
      </c>
      <c r="G68" s="40"/>
      <c r="H68" s="40"/>
      <c r="I68" s="40"/>
      <c r="J68" s="40"/>
      <c r="K68" s="40"/>
      <c r="L68" s="40"/>
      <c r="M68" s="40"/>
      <c r="N68" s="40"/>
      <c r="O68" s="40">
        <v>12000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13</v>
      </c>
      <c r="B69" s="40">
        <v>69</v>
      </c>
      <c r="C69" s="40" t="s">
        <v>2074</v>
      </c>
      <c r="D69" s="40" t="s">
        <v>2105</v>
      </c>
      <c r="E69" s="40" t="s">
        <v>336</v>
      </c>
      <c r="F69" s="43" t="s">
        <v>2094</v>
      </c>
      <c r="G69" s="40"/>
      <c r="H69" s="40"/>
      <c r="I69" s="40"/>
      <c r="J69" s="40"/>
      <c r="K69" s="40"/>
      <c r="L69" s="40"/>
      <c r="M69" s="40"/>
      <c r="N69" s="40"/>
      <c r="O69" s="40">
        <v>15000</v>
      </c>
      <c r="P69" s="40">
        <v>4000</v>
      </c>
      <c r="Q69" s="40" t="s">
        <v>2102</v>
      </c>
      <c r="R69" s="40" t="s">
        <v>2130</v>
      </c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 t="s">
        <v>2103</v>
      </c>
      <c r="AE69" s="40"/>
      <c r="AF69" s="40"/>
      <c r="AG69" s="40"/>
      <c r="AH69" s="40"/>
    </row>
    <row r="70" spans="1:34" x14ac:dyDescent="0.25">
      <c r="A70" s="40">
        <v>14</v>
      </c>
      <c r="B70" s="40">
        <v>331</v>
      </c>
      <c r="C70" s="40" t="s">
        <v>2075</v>
      </c>
      <c r="D70" s="40" t="s">
        <v>2106</v>
      </c>
      <c r="E70" s="40" t="s">
        <v>336</v>
      </c>
      <c r="F70" s="43" t="s">
        <v>2095</v>
      </c>
      <c r="G70" s="40"/>
      <c r="H70" s="40"/>
      <c r="I70" s="40"/>
      <c r="J70" s="40"/>
      <c r="K70" s="40"/>
      <c r="L70" s="40"/>
      <c r="M70" s="40"/>
      <c r="N70" s="40"/>
      <c r="O70" s="40">
        <v>15000</v>
      </c>
      <c r="P70" s="40">
        <v>5000</v>
      </c>
      <c r="Q70" s="40" t="s">
        <v>2111</v>
      </c>
      <c r="R70" s="40">
        <v>5000</v>
      </c>
      <c r="S70" s="40" t="s">
        <v>2131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15</v>
      </c>
      <c r="B71" s="40">
        <v>116</v>
      </c>
      <c r="C71" s="40" t="s">
        <v>2076</v>
      </c>
      <c r="D71" s="40" t="s">
        <v>2107</v>
      </c>
      <c r="E71" s="40" t="s">
        <v>336</v>
      </c>
      <c r="F71" s="43" t="s">
        <v>2096</v>
      </c>
      <c r="G71" s="40"/>
      <c r="H71" s="40"/>
      <c r="I71" s="40"/>
      <c r="J71" s="40"/>
      <c r="K71" s="40"/>
      <c r="L71" s="40"/>
      <c r="M71" s="40"/>
      <c r="N71" s="40"/>
      <c r="O71" s="40">
        <v>17000</v>
      </c>
      <c r="P71" s="40">
        <v>2000</v>
      </c>
      <c r="Q71" s="40" t="s">
        <v>2112</v>
      </c>
      <c r="R71" s="40">
        <v>5000</v>
      </c>
      <c r="S71" s="40" t="s">
        <v>2132</v>
      </c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16</v>
      </c>
      <c r="B72" s="40">
        <v>47</v>
      </c>
      <c r="C72" s="40" t="s">
        <v>2077</v>
      </c>
      <c r="D72" s="40" t="s">
        <v>2010</v>
      </c>
      <c r="E72" s="40" t="s">
        <v>336</v>
      </c>
      <c r="F72" s="43" t="s">
        <v>2097</v>
      </c>
      <c r="G72" s="40"/>
      <c r="H72" s="40"/>
      <c r="I72" s="40"/>
      <c r="J72" s="40"/>
      <c r="K72" s="40"/>
      <c r="L72" s="40"/>
      <c r="M72" s="40"/>
      <c r="N72" s="40"/>
      <c r="O72" s="40">
        <v>24000</v>
      </c>
      <c r="P72" s="40">
        <v>5000</v>
      </c>
      <c r="Q72" s="40" t="s">
        <v>2113</v>
      </c>
      <c r="R72" s="40">
        <v>5000</v>
      </c>
      <c r="S72" s="40" t="s">
        <v>2133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17</v>
      </c>
      <c r="B73" s="40">
        <v>49</v>
      </c>
      <c r="C73" s="40" t="s">
        <v>2078</v>
      </c>
      <c r="D73" s="40" t="s">
        <v>2108</v>
      </c>
      <c r="E73" s="40" t="s">
        <v>336</v>
      </c>
      <c r="F73" s="43" t="s">
        <v>2098</v>
      </c>
      <c r="G73" s="40"/>
      <c r="H73" s="40"/>
      <c r="I73" s="40"/>
      <c r="J73" s="40"/>
      <c r="K73" s="40"/>
      <c r="L73" s="40"/>
      <c r="M73" s="40"/>
      <c r="N73" s="40"/>
      <c r="O73" s="40">
        <v>20000</v>
      </c>
      <c r="P73" s="40">
        <v>1000</v>
      </c>
      <c r="Q73" s="40" t="s">
        <v>2114</v>
      </c>
      <c r="R73" s="40">
        <v>5000</v>
      </c>
      <c r="S73" s="40" t="s">
        <v>2134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18</v>
      </c>
      <c r="B74" s="40">
        <v>60</v>
      </c>
      <c r="C74" s="40" t="s">
        <v>2079</v>
      </c>
      <c r="D74" s="40" t="s">
        <v>2109</v>
      </c>
      <c r="E74" s="40" t="s">
        <v>336</v>
      </c>
      <c r="F74" s="43" t="s">
        <v>2099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54">
        <v>19</v>
      </c>
      <c r="B75" s="40">
        <v>56</v>
      </c>
      <c r="C75" s="40" t="s">
        <v>2080</v>
      </c>
      <c r="D75" s="40" t="s">
        <v>2110</v>
      </c>
      <c r="E75" s="40" t="s">
        <v>336</v>
      </c>
      <c r="F75" s="43" t="s">
        <v>2100</v>
      </c>
      <c r="G75" s="40"/>
      <c r="H75" s="40"/>
      <c r="I75" s="40"/>
      <c r="J75" s="40"/>
      <c r="K75" s="40"/>
      <c r="L75" s="40"/>
      <c r="M75" s="40"/>
      <c r="N75" s="40"/>
      <c r="O75" s="40">
        <v>25000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20</v>
      </c>
      <c r="B76" s="40">
        <v>65</v>
      </c>
      <c r="C76" s="40" t="s">
        <v>2081</v>
      </c>
      <c r="D76" s="40" t="s">
        <v>1942</v>
      </c>
      <c r="E76" s="40" t="s">
        <v>336</v>
      </c>
      <c r="F76" s="43" t="s">
        <v>2101</v>
      </c>
      <c r="G76" s="40"/>
      <c r="H76" s="40"/>
      <c r="I76" s="40"/>
      <c r="J76" s="40"/>
      <c r="K76" s="40"/>
      <c r="L76" s="40"/>
      <c r="M76" s="40"/>
      <c r="N76" s="40"/>
      <c r="O76" s="40">
        <v>18000</v>
      </c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54">
        <v>21</v>
      </c>
      <c r="B77" s="40">
        <v>51</v>
      </c>
      <c r="C77" s="40" t="s">
        <v>2135</v>
      </c>
      <c r="D77" s="40" t="s">
        <v>2164</v>
      </c>
      <c r="E77" s="40" t="s">
        <v>336</v>
      </c>
      <c r="F77" s="43" t="s">
        <v>2204</v>
      </c>
      <c r="G77" s="40"/>
      <c r="H77" s="40"/>
      <c r="I77" s="40"/>
      <c r="J77" s="40"/>
      <c r="K77" s="40"/>
      <c r="L77" s="40"/>
      <c r="M77" s="40"/>
      <c r="N77" s="40"/>
      <c r="O77" s="40">
        <v>12000</v>
      </c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54">
        <v>22</v>
      </c>
      <c r="B78" s="40">
        <v>57</v>
      </c>
      <c r="C78" s="40" t="s">
        <v>2136</v>
      </c>
      <c r="D78" s="40" t="s">
        <v>2165</v>
      </c>
      <c r="E78" s="40" t="s">
        <v>336</v>
      </c>
      <c r="F78" s="43" t="s">
        <v>2205</v>
      </c>
      <c r="G78" s="40"/>
      <c r="H78" s="40"/>
      <c r="I78" s="40"/>
      <c r="J78" s="40"/>
      <c r="K78" s="40"/>
      <c r="L78" s="40"/>
      <c r="M78" s="40"/>
      <c r="N78" s="40"/>
      <c r="O78" s="40">
        <v>17000</v>
      </c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23</v>
      </c>
      <c r="B79" s="40">
        <v>8</v>
      </c>
      <c r="C79" s="40" t="s">
        <v>2137</v>
      </c>
      <c r="D79" s="40" t="s">
        <v>2138</v>
      </c>
      <c r="E79" s="40" t="s">
        <v>336</v>
      </c>
      <c r="F79" s="43" t="s">
        <v>2139</v>
      </c>
      <c r="G79" s="40"/>
      <c r="H79" s="40"/>
      <c r="I79" s="40"/>
      <c r="J79" s="40"/>
      <c r="K79" s="40"/>
      <c r="L79" s="40"/>
      <c r="M79" s="40"/>
      <c r="N79" s="40"/>
      <c r="O79" s="40">
        <v>7000</v>
      </c>
      <c r="P79" s="40">
        <v>1000</v>
      </c>
      <c r="Q79" s="40" t="s">
        <v>2027</v>
      </c>
      <c r="R79" s="40" t="s">
        <v>2141</v>
      </c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54">
        <v>24</v>
      </c>
      <c r="B80" s="40">
        <v>44</v>
      </c>
      <c r="C80" s="40" t="s">
        <v>2143</v>
      </c>
      <c r="D80" s="40" t="s">
        <v>2011</v>
      </c>
      <c r="E80" s="40" t="s">
        <v>336</v>
      </c>
      <c r="F80" s="43" t="s">
        <v>2182</v>
      </c>
      <c r="G80" s="40"/>
      <c r="H80" s="40"/>
      <c r="I80" s="40"/>
      <c r="J80" s="40"/>
      <c r="K80" s="40"/>
      <c r="L80" s="40"/>
      <c r="M80" s="40"/>
      <c r="N80" s="40"/>
      <c r="O80" s="40">
        <v>12000</v>
      </c>
      <c r="P80" s="40">
        <v>12000</v>
      </c>
      <c r="Q80" s="40" t="s">
        <v>2140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25</v>
      </c>
      <c r="B81" s="40">
        <v>55</v>
      </c>
      <c r="C81" s="40" t="s">
        <v>2144</v>
      </c>
      <c r="D81" s="40" t="s">
        <v>2166</v>
      </c>
      <c r="E81" s="40" t="s">
        <v>336</v>
      </c>
      <c r="F81" s="43" t="s">
        <v>2183</v>
      </c>
      <c r="G81" s="40"/>
      <c r="H81" s="40"/>
      <c r="I81" s="40"/>
      <c r="J81" s="40"/>
      <c r="K81" s="40"/>
      <c r="L81" s="40"/>
      <c r="M81" s="40"/>
      <c r="N81" s="40"/>
      <c r="O81" s="40">
        <v>15000</v>
      </c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54">
        <v>26</v>
      </c>
      <c r="B82" s="40">
        <v>53</v>
      </c>
      <c r="C82" s="40" t="s">
        <v>2145</v>
      </c>
      <c r="D82" s="40" t="s">
        <v>2167</v>
      </c>
      <c r="E82" s="40" t="s">
        <v>336</v>
      </c>
      <c r="F82" s="43" t="s">
        <v>2184</v>
      </c>
      <c r="G82" s="40"/>
      <c r="H82" s="40"/>
      <c r="I82" s="40"/>
      <c r="J82" s="40"/>
      <c r="K82" s="40"/>
      <c r="L82" s="40"/>
      <c r="M82" s="40"/>
      <c r="N82" s="40"/>
      <c r="O82" s="40">
        <v>20000</v>
      </c>
      <c r="P82" s="40">
        <v>1000</v>
      </c>
      <c r="Q82" s="40" t="s">
        <v>2206</v>
      </c>
      <c r="R82" s="40">
        <v>8000</v>
      </c>
      <c r="S82" s="40" t="s">
        <v>2208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54">
        <v>27</v>
      </c>
      <c r="B83" s="40">
        <v>66</v>
      </c>
      <c r="C83" s="40" t="s">
        <v>2146</v>
      </c>
      <c r="D83" s="40" t="s">
        <v>2168</v>
      </c>
      <c r="E83" s="40" t="s">
        <v>336</v>
      </c>
      <c r="F83" s="43" t="s">
        <v>2185</v>
      </c>
      <c r="G83" s="40"/>
      <c r="H83" s="40"/>
      <c r="I83" s="40"/>
      <c r="J83" s="40"/>
      <c r="K83" s="40"/>
      <c r="L83" s="40"/>
      <c r="M83" s="40"/>
      <c r="N83" s="40"/>
      <c r="O83" s="40">
        <v>15000</v>
      </c>
      <c r="P83" s="40">
        <v>2000</v>
      </c>
      <c r="Q83" s="40" t="s">
        <v>2207</v>
      </c>
      <c r="R83" s="40">
        <v>6000</v>
      </c>
      <c r="S83" s="40" t="s">
        <v>2209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28</v>
      </c>
      <c r="B84" s="40">
        <v>377</v>
      </c>
      <c r="C84" s="40" t="s">
        <v>2147</v>
      </c>
      <c r="D84" s="40" t="s">
        <v>2169</v>
      </c>
      <c r="E84" s="40" t="s">
        <v>336</v>
      </c>
      <c r="F84" s="43" t="s">
        <v>2186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15000</v>
      </c>
      <c r="Q84" s="40" t="s">
        <v>2210</v>
      </c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54">
        <v>29</v>
      </c>
      <c r="B85" s="40">
        <v>330</v>
      </c>
      <c r="C85" s="40" t="s">
        <v>2148</v>
      </c>
      <c r="D85" s="40" t="s">
        <v>2170</v>
      </c>
      <c r="E85" s="40" t="s">
        <v>336</v>
      </c>
      <c r="F85" s="43" t="s">
        <v>2187</v>
      </c>
      <c r="G85" s="40"/>
      <c r="H85" s="40"/>
      <c r="I85" s="40"/>
      <c r="J85" s="40"/>
      <c r="K85" s="40"/>
      <c r="L85" s="40"/>
      <c r="M85" s="40"/>
      <c r="N85" s="40"/>
      <c r="O85" s="40">
        <v>20000</v>
      </c>
      <c r="P85" s="40">
        <v>1000</v>
      </c>
      <c r="Q85" s="40" t="s">
        <v>2211</v>
      </c>
      <c r="R85" s="40">
        <v>5000</v>
      </c>
      <c r="S85" s="40" t="s">
        <v>2212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54">
        <v>30</v>
      </c>
      <c r="B86" s="40">
        <v>71</v>
      </c>
      <c r="C86" s="40" t="s">
        <v>2149</v>
      </c>
      <c r="D86" s="40" t="s">
        <v>1942</v>
      </c>
      <c r="E86" s="40" t="s">
        <v>336</v>
      </c>
      <c r="F86" s="43" t="s">
        <v>2188</v>
      </c>
      <c r="G86" s="40"/>
      <c r="H86" s="40"/>
      <c r="I86" s="40"/>
      <c r="J86" s="40"/>
      <c r="K86" s="40"/>
      <c r="L86" s="40"/>
      <c r="M86" s="40"/>
      <c r="N86" s="40"/>
      <c r="O86" s="40">
        <v>20000</v>
      </c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31</v>
      </c>
      <c r="B87" s="40">
        <v>70</v>
      </c>
      <c r="C87" s="40" t="s">
        <v>2150</v>
      </c>
      <c r="D87" s="40" t="s">
        <v>2171</v>
      </c>
      <c r="E87" s="40" t="s">
        <v>336</v>
      </c>
      <c r="F87" s="43" t="s">
        <v>2189</v>
      </c>
      <c r="G87" s="40"/>
      <c r="H87" s="40"/>
      <c r="I87" s="40"/>
      <c r="J87" s="40"/>
      <c r="K87" s="40"/>
      <c r="L87" s="40"/>
      <c r="M87" s="40"/>
      <c r="N87" s="40"/>
      <c r="O87" s="40">
        <v>10000</v>
      </c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32</v>
      </c>
      <c r="B88" s="40">
        <v>64</v>
      </c>
      <c r="C88" s="40" t="s">
        <v>2151</v>
      </c>
      <c r="D88" s="40" t="s">
        <v>1934</v>
      </c>
      <c r="E88" s="40" t="s">
        <v>336</v>
      </c>
      <c r="F88" s="43" t="s">
        <v>2190</v>
      </c>
      <c r="G88" s="40"/>
      <c r="H88" s="40"/>
      <c r="I88" s="40"/>
      <c r="J88" s="40"/>
      <c r="K88" s="40"/>
      <c r="L88" s="40"/>
      <c r="M88" s="40"/>
      <c r="N88" s="40"/>
      <c r="O88" s="40">
        <v>20000</v>
      </c>
      <c r="P88" s="40">
        <v>1000</v>
      </c>
      <c r="Q88" s="40" t="s">
        <v>2213</v>
      </c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54">
        <v>33</v>
      </c>
      <c r="B89" s="40">
        <v>118</v>
      </c>
      <c r="C89" s="40" t="s">
        <v>2152</v>
      </c>
      <c r="D89" s="40" t="s">
        <v>2172</v>
      </c>
      <c r="E89" s="40" t="s">
        <v>336</v>
      </c>
      <c r="F89" s="43" t="s">
        <v>2191</v>
      </c>
      <c r="G89" s="40"/>
      <c r="H89" s="40"/>
      <c r="I89" s="40"/>
      <c r="J89" s="40"/>
      <c r="K89" s="40"/>
      <c r="L89" s="40"/>
      <c r="M89" s="40"/>
      <c r="N89" s="40"/>
      <c r="O89" s="40">
        <v>13000</v>
      </c>
      <c r="P89" s="40">
        <v>2000</v>
      </c>
      <c r="Q89" s="40" t="s">
        <v>2214</v>
      </c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54">
        <v>34</v>
      </c>
      <c r="B90" s="40">
        <v>52</v>
      </c>
      <c r="C90" s="40" t="s">
        <v>2153</v>
      </c>
      <c r="D90" s="40" t="s">
        <v>2173</v>
      </c>
      <c r="E90" s="40" t="s">
        <v>336</v>
      </c>
      <c r="F90" s="43" t="s">
        <v>2192</v>
      </c>
      <c r="G90" s="40"/>
      <c r="H90" s="40"/>
      <c r="I90" s="40"/>
      <c r="J90" s="40"/>
      <c r="K90" s="40"/>
      <c r="L90" s="40"/>
      <c r="M90" s="40"/>
      <c r="N90" s="40"/>
      <c r="O90" s="40">
        <v>20000</v>
      </c>
      <c r="P90" s="40">
        <v>1000</v>
      </c>
      <c r="Q90" s="40" t="s">
        <v>2215</v>
      </c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54">
        <v>35</v>
      </c>
      <c r="B91" s="40">
        <v>344</v>
      </c>
      <c r="C91" s="40" t="s">
        <v>2154</v>
      </c>
      <c r="D91" s="40" t="s">
        <v>2174</v>
      </c>
      <c r="E91" s="40" t="s">
        <v>336</v>
      </c>
      <c r="F91" s="43" t="s">
        <v>2193</v>
      </c>
      <c r="G91" s="40"/>
      <c r="H91" s="40"/>
      <c r="I91" s="40"/>
      <c r="J91" s="40"/>
      <c r="K91" s="40"/>
      <c r="L91" s="40"/>
      <c r="M91" s="40"/>
      <c r="N91" s="40"/>
      <c r="O91" s="40">
        <v>25000</v>
      </c>
      <c r="P91" s="40">
        <v>3000</v>
      </c>
      <c r="Q91" s="40" t="s">
        <v>2216</v>
      </c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36</v>
      </c>
      <c r="B92" s="40">
        <v>49</v>
      </c>
      <c r="C92" s="40" t="s">
        <v>2155</v>
      </c>
      <c r="D92" s="40" t="s">
        <v>2002</v>
      </c>
      <c r="E92" s="40" t="s">
        <v>336</v>
      </c>
      <c r="F92" s="43" t="s">
        <v>2194</v>
      </c>
      <c r="G92" s="40"/>
      <c r="H92" s="40"/>
      <c r="I92" s="40"/>
      <c r="J92" s="40"/>
      <c r="K92" s="40"/>
      <c r="L92" s="40"/>
      <c r="M92" s="40"/>
      <c r="N92" s="40"/>
      <c r="O92" s="40">
        <v>24000</v>
      </c>
      <c r="P92" s="40">
        <v>1000</v>
      </c>
      <c r="Q92" s="40" t="s">
        <v>2217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37</v>
      </c>
      <c r="B93" s="40">
        <v>67</v>
      </c>
      <c r="C93" s="40" t="s">
        <v>2156</v>
      </c>
      <c r="D93" s="40" t="s">
        <v>2175</v>
      </c>
      <c r="E93" s="40" t="s">
        <v>336</v>
      </c>
      <c r="F93" s="43" t="s">
        <v>2195</v>
      </c>
      <c r="G93" s="40"/>
      <c r="H93" s="40"/>
      <c r="I93" s="40"/>
      <c r="J93" s="40"/>
      <c r="K93" s="40"/>
      <c r="L93" s="40"/>
      <c r="M93" s="40"/>
      <c r="N93" s="40"/>
      <c r="O93" s="40">
        <v>18000</v>
      </c>
      <c r="P93" s="40">
        <v>1000</v>
      </c>
      <c r="Q93" s="40" t="s">
        <v>2218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54">
        <v>38</v>
      </c>
      <c r="B94" s="40">
        <v>178</v>
      </c>
      <c r="C94" s="40" t="s">
        <v>2157</v>
      </c>
      <c r="D94" s="40" t="s">
        <v>2176</v>
      </c>
      <c r="E94" s="40" t="s">
        <v>336</v>
      </c>
      <c r="F94" s="43" t="s">
        <v>2196</v>
      </c>
      <c r="G94" s="40"/>
      <c r="H94" s="40"/>
      <c r="I94" s="40"/>
      <c r="J94" s="40"/>
      <c r="K94" s="40"/>
      <c r="L94" s="40"/>
      <c r="M94" s="40"/>
      <c r="N94" s="40"/>
      <c r="O94" s="40">
        <v>23000</v>
      </c>
      <c r="P94" s="40">
        <v>2000</v>
      </c>
      <c r="Q94" s="40" t="s">
        <v>2219</v>
      </c>
      <c r="R94" s="40">
        <v>11000</v>
      </c>
      <c r="S94" s="40" t="s">
        <v>2220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54">
        <v>39</v>
      </c>
      <c r="B95" s="40">
        <v>350</v>
      </c>
      <c r="C95" s="40" t="s">
        <v>2158</v>
      </c>
      <c r="D95" s="40" t="s">
        <v>2177</v>
      </c>
      <c r="E95" s="40" t="s">
        <v>336</v>
      </c>
      <c r="F95" s="43" t="s">
        <v>2197</v>
      </c>
      <c r="G95" s="40"/>
      <c r="H95" s="40"/>
      <c r="I95" s="40"/>
      <c r="J95" s="40"/>
      <c r="K95" s="40"/>
      <c r="L95" s="40"/>
      <c r="M95" s="40"/>
      <c r="N95" s="40"/>
      <c r="O95" s="40">
        <v>18000</v>
      </c>
      <c r="P95" s="40">
        <v>1000</v>
      </c>
      <c r="Q95" s="40" t="s">
        <v>2217</v>
      </c>
      <c r="R95" s="40">
        <v>14000</v>
      </c>
      <c r="S95" s="40" t="s">
        <v>2221</v>
      </c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40</v>
      </c>
      <c r="B96" s="40">
        <v>384</v>
      </c>
      <c r="C96" s="40" t="s">
        <v>2159</v>
      </c>
      <c r="D96" s="40" t="s">
        <v>2070</v>
      </c>
      <c r="E96" s="40" t="s">
        <v>336</v>
      </c>
      <c r="F96" s="43" t="s">
        <v>2198</v>
      </c>
      <c r="G96" s="40"/>
      <c r="H96" s="40"/>
      <c r="I96" s="40"/>
      <c r="J96" s="40"/>
      <c r="K96" s="40"/>
      <c r="L96" s="40"/>
      <c r="M96" s="40"/>
      <c r="N96" s="40"/>
      <c r="O96" s="40">
        <v>23000</v>
      </c>
      <c r="P96" s="40">
        <v>1000</v>
      </c>
      <c r="Q96" s="40" t="s">
        <v>2222</v>
      </c>
      <c r="R96" s="40">
        <v>5000</v>
      </c>
      <c r="S96" s="40" t="s">
        <v>2223</v>
      </c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54">
        <v>41</v>
      </c>
      <c r="B97" s="40">
        <v>73</v>
      </c>
      <c r="C97" s="40" t="s">
        <v>2160</v>
      </c>
      <c r="D97" s="40" t="s">
        <v>2178</v>
      </c>
      <c r="E97" s="40" t="s">
        <v>336</v>
      </c>
      <c r="F97" s="43" t="s">
        <v>2199</v>
      </c>
      <c r="G97" s="40"/>
      <c r="H97" s="40"/>
      <c r="I97" s="40"/>
      <c r="J97" s="40"/>
      <c r="K97" s="40"/>
      <c r="L97" s="40"/>
      <c r="M97" s="40"/>
      <c r="N97" s="40"/>
      <c r="O97" s="40">
        <v>18000</v>
      </c>
      <c r="P97" s="40">
        <v>9000</v>
      </c>
      <c r="Q97" s="40" t="s">
        <v>2224</v>
      </c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42</v>
      </c>
      <c r="B98" s="40" t="s">
        <v>2142</v>
      </c>
      <c r="C98" s="40" t="s">
        <v>2161</v>
      </c>
      <c r="D98" s="40" t="s">
        <v>2179</v>
      </c>
      <c r="E98" s="40" t="s">
        <v>336</v>
      </c>
      <c r="F98" s="43" t="s">
        <v>2200</v>
      </c>
      <c r="G98" s="40"/>
      <c r="H98" s="40"/>
      <c r="I98" s="40"/>
      <c r="J98" s="40"/>
      <c r="K98" s="40"/>
      <c r="L98" s="40"/>
      <c r="M98" s="40"/>
      <c r="N98" s="40"/>
      <c r="O98" s="40" t="s">
        <v>1834</v>
      </c>
      <c r="P98" s="40"/>
      <c r="Q98" s="40" t="s">
        <v>2203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54">
        <v>43</v>
      </c>
      <c r="B99" s="40">
        <v>374</v>
      </c>
      <c r="C99" s="40" t="s">
        <v>2162</v>
      </c>
      <c r="D99" s="40" t="s">
        <v>2180</v>
      </c>
      <c r="E99" s="40" t="s">
        <v>336</v>
      </c>
      <c r="F99" s="43" t="s">
        <v>2201</v>
      </c>
      <c r="G99" s="40"/>
      <c r="H99" s="40"/>
      <c r="I99" s="40"/>
      <c r="J99" s="40"/>
      <c r="K99" s="40"/>
      <c r="L99" s="40"/>
      <c r="M99" s="40"/>
      <c r="N99" s="40"/>
      <c r="O99" s="40">
        <v>12000</v>
      </c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44</v>
      </c>
      <c r="B100" s="40">
        <v>46</v>
      </c>
      <c r="C100" s="40" t="s">
        <v>2163</v>
      </c>
      <c r="D100" s="40" t="s">
        <v>2181</v>
      </c>
      <c r="E100" s="40" t="s">
        <v>336</v>
      </c>
      <c r="F100" s="43" t="s">
        <v>2202</v>
      </c>
      <c r="G100" s="40"/>
      <c r="H100" s="40"/>
      <c r="I100" s="40"/>
      <c r="J100" s="40"/>
      <c r="K100" s="40"/>
      <c r="L100" s="40"/>
      <c r="M100" s="40"/>
      <c r="N100" s="40"/>
      <c r="O100" s="40">
        <v>15000</v>
      </c>
      <c r="P100" s="40">
        <v>5000</v>
      </c>
      <c r="Q100" s="40" t="s">
        <v>2225</v>
      </c>
      <c r="R100" s="40">
        <v>5000</v>
      </c>
      <c r="S100" s="40" t="s">
        <v>2226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54">
        <v>1</v>
      </c>
      <c r="B101" s="40">
        <v>387</v>
      </c>
      <c r="C101" s="40" t="s">
        <v>2227</v>
      </c>
      <c r="D101" s="40" t="s">
        <v>2228</v>
      </c>
      <c r="E101" s="40" t="s">
        <v>342</v>
      </c>
      <c r="F101" s="43" t="s">
        <v>2229</v>
      </c>
      <c r="G101" s="40"/>
      <c r="H101" s="40"/>
      <c r="I101" s="40"/>
      <c r="J101" s="40"/>
      <c r="K101" s="40"/>
      <c r="L101" s="40"/>
      <c r="M101" s="40"/>
      <c r="N101" s="40"/>
      <c r="O101" s="40">
        <v>20000</v>
      </c>
      <c r="P101" s="40">
        <v>15000</v>
      </c>
      <c r="Q101" s="40" t="s">
        <v>2230</v>
      </c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54">
        <v>2</v>
      </c>
      <c r="B102" s="40">
        <v>193</v>
      </c>
      <c r="C102" s="40" t="s">
        <v>2231</v>
      </c>
      <c r="D102" s="40" t="s">
        <v>2232</v>
      </c>
      <c r="E102" s="40" t="s">
        <v>342</v>
      </c>
      <c r="F102" s="43" t="s">
        <v>2315</v>
      </c>
      <c r="G102" s="40"/>
      <c r="H102" s="40"/>
      <c r="I102" s="40"/>
      <c r="J102" s="40"/>
      <c r="K102" s="40"/>
      <c r="L102" s="40"/>
      <c r="M102" s="40"/>
      <c r="N102" s="40"/>
      <c r="O102" s="40" t="s">
        <v>1842</v>
      </c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54">
        <v>3</v>
      </c>
      <c r="B103" s="40">
        <v>74</v>
      </c>
      <c r="C103" s="40" t="s">
        <v>2233</v>
      </c>
      <c r="D103" s="40" t="s">
        <v>2279</v>
      </c>
      <c r="E103" s="40" t="s">
        <v>342</v>
      </c>
      <c r="F103" s="43" t="s">
        <v>2316</v>
      </c>
      <c r="G103" s="40"/>
      <c r="H103" s="40"/>
      <c r="I103" s="40"/>
      <c r="J103" s="40"/>
      <c r="K103" s="40"/>
      <c r="L103" s="40"/>
      <c r="M103" s="40"/>
      <c r="N103" s="40"/>
      <c r="O103" s="40">
        <v>5000</v>
      </c>
      <c r="P103" s="40">
        <v>5000</v>
      </c>
      <c r="Q103" s="40" t="s">
        <v>2366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54">
        <v>4</v>
      </c>
      <c r="B104" s="40">
        <v>75</v>
      </c>
      <c r="C104" s="40" t="s">
        <v>1915</v>
      </c>
      <c r="D104" s="40" t="s">
        <v>2280</v>
      </c>
      <c r="E104" s="40" t="s">
        <v>342</v>
      </c>
      <c r="F104" s="43" t="s">
        <v>2317</v>
      </c>
      <c r="G104" s="40"/>
      <c r="H104" s="40"/>
      <c r="I104" s="40"/>
      <c r="J104" s="40"/>
      <c r="K104" s="40"/>
      <c r="L104" s="40"/>
      <c r="M104" s="40"/>
      <c r="N104" s="40"/>
      <c r="O104" s="40">
        <v>10000</v>
      </c>
      <c r="P104" s="40">
        <v>2500</v>
      </c>
      <c r="Q104" s="40" t="s">
        <v>2367</v>
      </c>
      <c r="R104" s="40">
        <v>4000</v>
      </c>
      <c r="S104" s="40" t="s">
        <v>2406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54">
        <v>5</v>
      </c>
      <c r="B105" s="40">
        <v>76</v>
      </c>
      <c r="C105" s="40" t="s">
        <v>2234</v>
      </c>
      <c r="D105" s="40" t="s">
        <v>2010</v>
      </c>
      <c r="E105" s="40" t="s">
        <v>342</v>
      </c>
      <c r="F105" s="43" t="s">
        <v>2318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2500</v>
      </c>
      <c r="Q105" s="40" t="s">
        <v>2368</v>
      </c>
      <c r="R105" s="40">
        <v>4000</v>
      </c>
      <c r="S105" s="40" t="s">
        <v>2407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54">
        <v>6</v>
      </c>
      <c r="B106" s="40">
        <v>78</v>
      </c>
      <c r="C106" s="40" t="s">
        <v>2235</v>
      </c>
      <c r="D106" s="40" t="s">
        <v>2281</v>
      </c>
      <c r="E106" s="40" t="s">
        <v>342</v>
      </c>
      <c r="F106" s="43" t="s">
        <v>2319</v>
      </c>
      <c r="G106" s="40"/>
      <c r="H106" s="40"/>
      <c r="I106" s="40"/>
      <c r="J106" s="40"/>
      <c r="K106" s="40"/>
      <c r="L106" s="40"/>
      <c r="M106" s="40"/>
      <c r="N106" s="40"/>
      <c r="O106" s="40">
        <v>10000</v>
      </c>
      <c r="P106" s="40">
        <v>2500</v>
      </c>
      <c r="Q106" s="40" t="s">
        <v>2369</v>
      </c>
      <c r="R106" s="40">
        <v>4000</v>
      </c>
      <c r="S106" s="40" t="s">
        <v>2408</v>
      </c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54">
        <v>7</v>
      </c>
      <c r="B107" s="40">
        <v>196</v>
      </c>
      <c r="C107" s="40" t="s">
        <v>2236</v>
      </c>
      <c r="D107" s="40" t="s">
        <v>2282</v>
      </c>
      <c r="E107" s="40" t="s">
        <v>342</v>
      </c>
      <c r="F107" s="43" t="s">
        <v>2320</v>
      </c>
      <c r="G107" s="40"/>
      <c r="H107" s="40"/>
      <c r="I107" s="40"/>
      <c r="J107" s="40"/>
      <c r="K107" s="40"/>
      <c r="L107" s="40"/>
      <c r="M107" s="40"/>
      <c r="N107" s="40"/>
      <c r="O107" s="40">
        <v>20000</v>
      </c>
      <c r="P107" s="40">
        <v>5000</v>
      </c>
      <c r="Q107" s="40" t="s">
        <v>2370</v>
      </c>
      <c r="R107" s="40">
        <v>5000</v>
      </c>
      <c r="S107" s="40" t="s">
        <v>2409</v>
      </c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54">
        <v>8</v>
      </c>
      <c r="B108" s="40">
        <v>79</v>
      </c>
      <c r="C108" s="40" t="s">
        <v>2237</v>
      </c>
      <c r="D108" s="40" t="s">
        <v>2179</v>
      </c>
      <c r="E108" s="40" t="s">
        <v>342</v>
      </c>
      <c r="F108" s="43" t="s">
        <v>2321</v>
      </c>
      <c r="G108" s="40"/>
      <c r="H108" s="40"/>
      <c r="I108" s="40"/>
      <c r="J108" s="40"/>
      <c r="K108" s="40"/>
      <c r="L108" s="40"/>
      <c r="M108" s="40"/>
      <c r="N108" s="40"/>
      <c r="O108" s="40">
        <v>5000</v>
      </c>
      <c r="P108" s="40">
        <v>1000</v>
      </c>
      <c r="Q108" s="40" t="s">
        <v>2371</v>
      </c>
      <c r="R108" s="40">
        <v>2000</v>
      </c>
      <c r="S108" s="40" t="s">
        <v>2410</v>
      </c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54">
        <v>9</v>
      </c>
      <c r="B109" s="40">
        <v>80</v>
      </c>
      <c r="C109" s="40" t="s">
        <v>2238</v>
      </c>
      <c r="D109" s="40" t="s">
        <v>1885</v>
      </c>
      <c r="E109" s="40" t="s">
        <v>342</v>
      </c>
      <c r="F109" s="43" t="s">
        <v>2322</v>
      </c>
      <c r="G109" s="40"/>
      <c r="H109" s="40"/>
      <c r="I109" s="40"/>
      <c r="J109" s="40"/>
      <c r="K109" s="40"/>
      <c r="L109" s="40"/>
      <c r="M109" s="40"/>
      <c r="N109" s="40"/>
      <c r="O109" s="40">
        <v>15000</v>
      </c>
      <c r="P109" s="40">
        <v>5000</v>
      </c>
      <c r="Q109" s="40" t="s">
        <v>2372</v>
      </c>
      <c r="R109" s="40">
        <v>3000</v>
      </c>
      <c r="S109" s="40" t="s">
        <v>2411</v>
      </c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54">
        <v>10</v>
      </c>
      <c r="B110" s="40">
        <v>82</v>
      </c>
      <c r="C110" s="40" t="s">
        <v>2278</v>
      </c>
      <c r="D110" s="40" t="s">
        <v>2012</v>
      </c>
      <c r="E110" s="40" t="s">
        <v>342</v>
      </c>
      <c r="F110" s="43" t="s">
        <v>2323</v>
      </c>
      <c r="G110" s="40"/>
      <c r="H110" s="40"/>
      <c r="I110" s="40"/>
      <c r="J110" s="40"/>
      <c r="K110" s="40"/>
      <c r="L110" s="40"/>
      <c r="M110" s="40"/>
      <c r="N110" s="40"/>
      <c r="O110" s="40">
        <v>15000</v>
      </c>
      <c r="P110" s="40">
        <v>2000</v>
      </c>
      <c r="Q110" s="40" t="s">
        <v>2373</v>
      </c>
      <c r="R110" s="40">
        <v>5000</v>
      </c>
      <c r="S110" s="40" t="s">
        <v>2412</v>
      </c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54">
        <v>11</v>
      </c>
      <c r="B111" s="40">
        <v>83</v>
      </c>
      <c r="C111" s="40" t="s">
        <v>2239</v>
      </c>
      <c r="D111" s="40" t="s">
        <v>2283</v>
      </c>
      <c r="E111" s="40" t="s">
        <v>342</v>
      </c>
      <c r="F111" s="43" t="s">
        <v>2324</v>
      </c>
      <c r="G111" s="40"/>
      <c r="H111" s="40"/>
      <c r="I111" s="40"/>
      <c r="J111" s="40"/>
      <c r="K111" s="40"/>
      <c r="L111" s="40"/>
      <c r="M111" s="40"/>
      <c r="N111" s="40"/>
      <c r="O111" s="40">
        <v>15000</v>
      </c>
      <c r="P111" s="40">
        <v>5000</v>
      </c>
      <c r="Q111" s="40" t="s">
        <v>2374</v>
      </c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54">
        <v>12</v>
      </c>
      <c r="B112" s="40">
        <v>84</v>
      </c>
      <c r="C112" s="40" t="s">
        <v>2240</v>
      </c>
      <c r="D112" s="40" t="s">
        <v>2284</v>
      </c>
      <c r="E112" s="40" t="s">
        <v>342</v>
      </c>
      <c r="F112" s="43" t="s">
        <v>2325</v>
      </c>
      <c r="G112" s="40"/>
      <c r="H112" s="40"/>
      <c r="I112" s="40"/>
      <c r="J112" s="40"/>
      <c r="K112" s="40"/>
      <c r="L112" s="40"/>
      <c r="M112" s="40"/>
      <c r="N112" s="40"/>
      <c r="O112" s="40">
        <v>15000</v>
      </c>
      <c r="P112" s="40">
        <v>2000</v>
      </c>
      <c r="Q112" s="40" t="s">
        <v>2375</v>
      </c>
      <c r="R112" s="40">
        <v>6000</v>
      </c>
      <c r="S112" s="40" t="s">
        <v>2413</v>
      </c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54">
        <v>13</v>
      </c>
      <c r="B113" s="40">
        <v>85</v>
      </c>
      <c r="C113" s="40" t="s">
        <v>2241</v>
      </c>
      <c r="D113" s="40" t="s">
        <v>2174</v>
      </c>
      <c r="E113" s="40" t="s">
        <v>342</v>
      </c>
      <c r="F113" s="43" t="s">
        <v>2326</v>
      </c>
      <c r="G113" s="40"/>
      <c r="H113" s="40"/>
      <c r="I113" s="40"/>
      <c r="J113" s="40"/>
      <c r="K113" s="40"/>
      <c r="L113" s="40"/>
      <c r="M113" s="40"/>
      <c r="N113" s="40"/>
      <c r="O113" s="40">
        <v>20000</v>
      </c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0">
        <v>14</v>
      </c>
      <c r="B114" s="40">
        <v>86</v>
      </c>
      <c r="C114" s="40" t="s">
        <v>2242</v>
      </c>
      <c r="D114" s="40" t="s">
        <v>2163</v>
      </c>
      <c r="E114" s="40" t="s">
        <v>342</v>
      </c>
      <c r="F114" s="43" t="s">
        <v>2327</v>
      </c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</v>
      </c>
      <c r="Q114" s="40" t="s">
        <v>2376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54">
        <v>15</v>
      </c>
      <c r="B115" s="40">
        <v>87</v>
      </c>
      <c r="C115" s="40" t="s">
        <v>2243</v>
      </c>
      <c r="D115" s="40" t="s">
        <v>2285</v>
      </c>
      <c r="E115" s="40" t="s">
        <v>342</v>
      </c>
      <c r="F115" s="43" t="s">
        <v>2328</v>
      </c>
      <c r="G115" s="40"/>
      <c r="H115" s="40"/>
      <c r="I115" s="40"/>
      <c r="J115" s="40"/>
      <c r="K115" s="40"/>
      <c r="L115" s="40"/>
      <c r="M115" s="40"/>
      <c r="N115" s="40"/>
      <c r="O115" s="40">
        <v>17000</v>
      </c>
      <c r="P115" s="40">
        <v>4500</v>
      </c>
      <c r="Q115" s="40" t="s">
        <v>2377</v>
      </c>
      <c r="R115" s="40">
        <v>6000</v>
      </c>
      <c r="S115" s="40" t="s">
        <v>2414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54">
        <v>16</v>
      </c>
      <c r="B116" s="40">
        <v>89</v>
      </c>
      <c r="C116" s="40" t="s">
        <v>2244</v>
      </c>
      <c r="D116" s="40" t="s">
        <v>2286</v>
      </c>
      <c r="E116" s="40" t="s">
        <v>342</v>
      </c>
      <c r="F116" s="43" t="s">
        <v>2329</v>
      </c>
      <c r="G116" s="40"/>
      <c r="H116" s="40"/>
      <c r="I116" s="40"/>
      <c r="J116" s="40"/>
      <c r="K116" s="40"/>
      <c r="L116" s="40"/>
      <c r="M116" s="40"/>
      <c r="N116" s="40"/>
      <c r="O116" s="40">
        <v>18000</v>
      </c>
      <c r="P116" s="40">
        <v>1000</v>
      </c>
      <c r="Q116" s="40" t="s">
        <v>2378</v>
      </c>
      <c r="R116" s="40">
        <v>3000</v>
      </c>
      <c r="S116" s="40" t="s">
        <v>2415</v>
      </c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54">
        <v>17</v>
      </c>
      <c r="B117" s="40">
        <v>90</v>
      </c>
      <c r="C117" s="40" t="s">
        <v>2245</v>
      </c>
      <c r="D117" s="40" t="s">
        <v>2287</v>
      </c>
      <c r="E117" s="40" t="s">
        <v>342</v>
      </c>
      <c r="F117" s="43" t="s">
        <v>2330</v>
      </c>
      <c r="G117" s="40"/>
      <c r="H117" s="40"/>
      <c r="I117" s="40"/>
      <c r="J117" s="40"/>
      <c r="K117" s="40"/>
      <c r="L117" s="40"/>
      <c r="M117" s="40"/>
      <c r="N117" s="40"/>
      <c r="O117" s="40">
        <v>18000</v>
      </c>
      <c r="P117" s="40">
        <v>1000</v>
      </c>
      <c r="Q117" s="40" t="s">
        <v>2379</v>
      </c>
      <c r="R117" s="40">
        <v>6000</v>
      </c>
      <c r="S117" s="40" t="s">
        <v>2416</v>
      </c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54">
        <v>18</v>
      </c>
      <c r="B118" s="40">
        <v>93</v>
      </c>
      <c r="C118" s="40" t="s">
        <v>2066</v>
      </c>
      <c r="D118" s="40" t="s">
        <v>2288</v>
      </c>
      <c r="E118" s="40" t="s">
        <v>342</v>
      </c>
      <c r="F118" s="43" t="s">
        <v>2331</v>
      </c>
      <c r="G118" s="40"/>
      <c r="H118" s="40"/>
      <c r="I118" s="40"/>
      <c r="J118" s="40"/>
      <c r="K118" s="40"/>
      <c r="L118" s="40"/>
      <c r="M118" s="40"/>
      <c r="N118" s="40"/>
      <c r="O118" s="40">
        <v>18000</v>
      </c>
      <c r="P118" s="40">
        <v>4500</v>
      </c>
      <c r="Q118" s="40" t="s">
        <v>2380</v>
      </c>
      <c r="R118" s="40">
        <v>2000</v>
      </c>
      <c r="S118" s="40" t="s">
        <v>2417</v>
      </c>
      <c r="T118" s="40">
        <v>5000</v>
      </c>
      <c r="U118" s="40" t="s">
        <v>2418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54">
        <v>19</v>
      </c>
      <c r="B119" s="40">
        <v>94</v>
      </c>
      <c r="C119" s="40" t="s">
        <v>2246</v>
      </c>
      <c r="D119" s="40" t="s">
        <v>2289</v>
      </c>
      <c r="E119" s="40" t="s">
        <v>342</v>
      </c>
      <c r="F119" s="43" t="s">
        <v>2332</v>
      </c>
      <c r="G119" s="40"/>
      <c r="H119" s="40"/>
      <c r="I119" s="40"/>
      <c r="J119" s="40"/>
      <c r="K119" s="40"/>
      <c r="L119" s="40"/>
      <c r="M119" s="40"/>
      <c r="N119" s="40"/>
      <c r="O119" s="40">
        <v>18000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54">
        <v>20</v>
      </c>
      <c r="B120" s="40">
        <v>208</v>
      </c>
      <c r="C120" s="40" t="s">
        <v>2247</v>
      </c>
      <c r="D120" s="40" t="s">
        <v>2290</v>
      </c>
      <c r="E120" s="40" t="s">
        <v>342</v>
      </c>
      <c r="F120" s="43" t="s">
        <v>2332</v>
      </c>
      <c r="G120" s="40"/>
      <c r="H120" s="40"/>
      <c r="I120" s="40"/>
      <c r="J120" s="40"/>
      <c r="K120" s="40"/>
      <c r="L120" s="40"/>
      <c r="M120" s="40"/>
      <c r="N120" s="40"/>
      <c r="O120" s="40">
        <v>5000</v>
      </c>
      <c r="P120" s="40">
        <v>1200</v>
      </c>
      <c r="Q120" s="40">
        <v>1826</v>
      </c>
      <c r="R120" s="40">
        <v>2000</v>
      </c>
      <c r="S120" s="40" t="s">
        <v>2419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54">
        <v>21</v>
      </c>
      <c r="B121" s="40">
        <v>95</v>
      </c>
      <c r="C121" s="40" t="s">
        <v>2248</v>
      </c>
      <c r="D121" s="40" t="s">
        <v>2175</v>
      </c>
      <c r="E121" s="40" t="s">
        <v>342</v>
      </c>
      <c r="F121" s="43" t="s">
        <v>2333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2500</v>
      </c>
      <c r="Q121" s="40" t="s">
        <v>2381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54">
        <v>22</v>
      </c>
      <c r="B122" s="40">
        <v>195</v>
      </c>
      <c r="C122" s="40" t="s">
        <v>2249</v>
      </c>
      <c r="D122" s="40" t="s">
        <v>2291</v>
      </c>
      <c r="E122" s="40" t="s">
        <v>342</v>
      </c>
      <c r="F122" s="43" t="s">
        <v>2334</v>
      </c>
      <c r="G122" s="40"/>
      <c r="H122" s="40"/>
      <c r="I122" s="40"/>
      <c r="J122" s="40"/>
      <c r="K122" s="40"/>
      <c r="L122" s="40"/>
      <c r="M122" s="40"/>
      <c r="N122" s="40"/>
      <c r="O122" s="40">
        <v>15000</v>
      </c>
      <c r="P122" s="40">
        <v>3000</v>
      </c>
      <c r="Q122" s="40" t="s">
        <v>2382</v>
      </c>
      <c r="R122" s="40">
        <v>3000</v>
      </c>
      <c r="S122" s="40" t="s">
        <v>2420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54">
        <v>23</v>
      </c>
      <c r="B123" s="40">
        <v>97</v>
      </c>
      <c r="C123" s="40" t="s">
        <v>2250</v>
      </c>
      <c r="D123" s="40" t="s">
        <v>1939</v>
      </c>
      <c r="E123" s="40" t="s">
        <v>342</v>
      </c>
      <c r="F123" s="43" t="s">
        <v>2335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2000</v>
      </c>
      <c r="Q123" s="40" t="s">
        <v>2383</v>
      </c>
      <c r="R123" s="40">
        <v>5000</v>
      </c>
      <c r="S123" s="40" t="s">
        <v>2421</v>
      </c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54">
        <v>24</v>
      </c>
      <c r="B124" s="40">
        <v>98</v>
      </c>
      <c r="C124" s="40" t="s">
        <v>2251</v>
      </c>
      <c r="D124" s="40" t="s">
        <v>2292</v>
      </c>
      <c r="E124" s="40" t="s">
        <v>342</v>
      </c>
      <c r="F124" s="43" t="s">
        <v>2336</v>
      </c>
      <c r="G124" s="40"/>
      <c r="H124" s="40"/>
      <c r="I124" s="40"/>
      <c r="J124" s="40"/>
      <c r="K124" s="40"/>
      <c r="L124" s="40"/>
      <c r="M124" s="40"/>
      <c r="N124" s="40"/>
      <c r="O124" s="40">
        <v>10000</v>
      </c>
      <c r="P124" s="40">
        <v>5000</v>
      </c>
      <c r="Q124" s="40" t="s">
        <v>2384</v>
      </c>
      <c r="R124" s="40">
        <v>3000</v>
      </c>
      <c r="S124" s="40" t="s">
        <v>2422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25</v>
      </c>
      <c r="B125" s="40">
        <v>99</v>
      </c>
      <c r="C125" s="40" t="s">
        <v>1999</v>
      </c>
      <c r="D125" s="40" t="s">
        <v>2293</v>
      </c>
      <c r="E125" s="40" t="s">
        <v>342</v>
      </c>
      <c r="F125" s="43" t="s">
        <v>2337</v>
      </c>
      <c r="G125" s="40"/>
      <c r="H125" s="40"/>
      <c r="I125" s="40"/>
      <c r="J125" s="40"/>
      <c r="K125" s="40"/>
      <c r="L125" s="40"/>
      <c r="M125" s="40"/>
      <c r="N125" s="40"/>
      <c r="O125" s="40" t="s">
        <v>1842</v>
      </c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26</v>
      </c>
      <c r="B126" s="40">
        <v>100</v>
      </c>
      <c r="C126" s="40" t="s">
        <v>1934</v>
      </c>
      <c r="D126" s="40" t="s">
        <v>2294</v>
      </c>
      <c r="E126" s="40" t="s">
        <v>342</v>
      </c>
      <c r="F126" s="43" t="s">
        <v>2338</v>
      </c>
      <c r="G126" s="40"/>
      <c r="H126" s="40"/>
      <c r="I126" s="40"/>
      <c r="J126" s="40"/>
      <c r="K126" s="40"/>
      <c r="L126" s="40"/>
      <c r="M126" s="40"/>
      <c r="N126" s="40"/>
      <c r="O126" s="40">
        <v>12000</v>
      </c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54">
        <v>27</v>
      </c>
      <c r="B127" s="40">
        <v>102</v>
      </c>
      <c r="C127" s="40" t="s">
        <v>2252</v>
      </c>
      <c r="D127" s="40" t="s">
        <v>2295</v>
      </c>
      <c r="E127" s="40" t="s">
        <v>342</v>
      </c>
      <c r="F127" s="43" t="s">
        <v>2339</v>
      </c>
      <c r="G127" s="40"/>
      <c r="H127" s="40"/>
      <c r="I127" s="40"/>
      <c r="J127" s="40"/>
      <c r="K127" s="40"/>
      <c r="L127" s="40"/>
      <c r="M127" s="40"/>
      <c r="N127" s="40"/>
      <c r="O127" s="40">
        <v>15000</v>
      </c>
      <c r="P127" s="40">
        <v>1000</v>
      </c>
      <c r="Q127" s="40" t="s">
        <v>2385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54">
        <v>28</v>
      </c>
      <c r="B128" s="40">
        <v>342</v>
      </c>
      <c r="C128" s="40" t="s">
        <v>2253</v>
      </c>
      <c r="D128" s="40" t="s">
        <v>2296</v>
      </c>
      <c r="E128" s="40" t="s">
        <v>342</v>
      </c>
      <c r="F128" s="43" t="s">
        <v>2340</v>
      </c>
      <c r="G128" s="40"/>
      <c r="H128" s="40"/>
      <c r="I128" s="40"/>
      <c r="J128" s="40"/>
      <c r="K128" s="40"/>
      <c r="L128" s="40"/>
      <c r="M128" s="40"/>
      <c r="N128" s="40"/>
      <c r="O128" s="40">
        <v>20000</v>
      </c>
      <c r="P128" s="40">
        <v>2000</v>
      </c>
      <c r="Q128" s="40" t="s">
        <v>2386</v>
      </c>
      <c r="R128" s="40">
        <v>5000</v>
      </c>
      <c r="S128" s="40" t="s">
        <v>2423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54">
        <v>29</v>
      </c>
      <c r="B129" s="40">
        <v>103</v>
      </c>
      <c r="C129" s="40" t="s">
        <v>2254</v>
      </c>
      <c r="D129" s="40" t="s">
        <v>2297</v>
      </c>
      <c r="E129" s="40" t="s">
        <v>342</v>
      </c>
      <c r="F129" s="43" t="s">
        <v>2341</v>
      </c>
      <c r="G129" s="40"/>
      <c r="H129" s="40"/>
      <c r="I129" s="40"/>
      <c r="J129" s="40"/>
      <c r="K129" s="40"/>
      <c r="L129" s="40"/>
      <c r="M129" s="40"/>
      <c r="N129" s="40"/>
      <c r="O129" s="40">
        <v>15000</v>
      </c>
      <c r="P129" s="40">
        <v>5000</v>
      </c>
      <c r="Q129" s="40" t="s">
        <v>2387</v>
      </c>
      <c r="R129" s="40">
        <v>5000</v>
      </c>
      <c r="S129" s="40" t="s">
        <v>2424</v>
      </c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54">
        <v>30</v>
      </c>
      <c r="B130" s="40">
        <v>104</v>
      </c>
      <c r="C130" s="40" t="s">
        <v>2255</v>
      </c>
      <c r="D130" s="40" t="s">
        <v>2138</v>
      </c>
      <c r="E130" s="40" t="s">
        <v>342</v>
      </c>
      <c r="F130" s="43" t="s">
        <v>2342</v>
      </c>
      <c r="G130" s="40"/>
      <c r="H130" s="40"/>
      <c r="I130" s="40"/>
      <c r="J130" s="40"/>
      <c r="K130" s="40"/>
      <c r="L130" s="40"/>
      <c r="M130" s="40"/>
      <c r="N130" s="40"/>
      <c r="O130" s="40">
        <v>5000</v>
      </c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54">
        <v>31</v>
      </c>
      <c r="B131" s="40">
        <v>105</v>
      </c>
      <c r="C131" s="40" t="s">
        <v>2256</v>
      </c>
      <c r="D131" s="40" t="s">
        <v>1893</v>
      </c>
      <c r="E131" s="40" t="s">
        <v>342</v>
      </c>
      <c r="F131" s="43" t="s">
        <v>2343</v>
      </c>
      <c r="G131" s="40"/>
      <c r="H131" s="40"/>
      <c r="I131" s="40"/>
      <c r="J131" s="40"/>
      <c r="K131" s="40"/>
      <c r="L131" s="40"/>
      <c r="M131" s="40"/>
      <c r="N131" s="40"/>
      <c r="O131" s="40">
        <v>15000</v>
      </c>
      <c r="P131" s="40">
        <v>4500</v>
      </c>
      <c r="Q131" s="40" t="s">
        <v>2388</v>
      </c>
      <c r="R131" s="40">
        <v>5000</v>
      </c>
      <c r="S131" s="40" t="s">
        <v>2425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54">
        <v>32</v>
      </c>
      <c r="B132" s="40">
        <v>106</v>
      </c>
      <c r="C132" s="40" t="s">
        <v>2257</v>
      </c>
      <c r="D132" s="40" t="s">
        <v>2298</v>
      </c>
      <c r="E132" s="40" t="s">
        <v>342</v>
      </c>
      <c r="F132" s="43" t="s">
        <v>2344</v>
      </c>
      <c r="G132" s="40"/>
      <c r="H132" s="40"/>
      <c r="I132" s="40"/>
      <c r="J132" s="40"/>
      <c r="K132" s="40"/>
      <c r="L132" s="40"/>
      <c r="M132" s="40"/>
      <c r="N132" s="40"/>
      <c r="O132" s="40">
        <v>18000</v>
      </c>
      <c r="P132" s="40">
        <v>1000</v>
      </c>
      <c r="Q132" s="40" t="s">
        <v>2389</v>
      </c>
      <c r="R132" s="40">
        <v>5000</v>
      </c>
      <c r="S132" s="40" t="s">
        <v>2426</v>
      </c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54">
        <v>33</v>
      </c>
      <c r="B133" s="40">
        <v>343</v>
      </c>
      <c r="C133" s="40" t="s">
        <v>2258</v>
      </c>
      <c r="D133" s="40" t="s">
        <v>2246</v>
      </c>
      <c r="E133" s="40" t="s">
        <v>342</v>
      </c>
      <c r="F133" s="43" t="s">
        <v>2345</v>
      </c>
      <c r="G133" s="40"/>
      <c r="H133" s="40"/>
      <c r="I133" s="40"/>
      <c r="J133" s="40"/>
      <c r="K133" s="40"/>
      <c r="L133" s="40"/>
      <c r="M133" s="40"/>
      <c r="N133" s="40"/>
      <c r="O133" s="40">
        <v>23000</v>
      </c>
      <c r="P133" s="40">
        <v>9000</v>
      </c>
      <c r="Q133" s="40" t="s">
        <v>2390</v>
      </c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54">
        <v>34</v>
      </c>
      <c r="B134" s="40">
        <v>110</v>
      </c>
      <c r="C134" s="45" t="s">
        <v>2259</v>
      </c>
      <c r="D134" s="40" t="s">
        <v>2043</v>
      </c>
      <c r="E134" s="40" t="s">
        <v>342</v>
      </c>
      <c r="F134" s="43" t="s">
        <v>2346</v>
      </c>
      <c r="G134" s="40"/>
      <c r="H134" s="40"/>
      <c r="I134" s="40"/>
      <c r="J134" s="40"/>
      <c r="K134" s="40"/>
      <c r="L134" s="40"/>
      <c r="M134" s="40"/>
      <c r="N134" s="40"/>
      <c r="O134" s="40">
        <v>20000</v>
      </c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54">
        <v>35</v>
      </c>
      <c r="B135" s="40">
        <v>111</v>
      </c>
      <c r="C135" s="45" t="s">
        <v>2277</v>
      </c>
      <c r="D135" s="40" t="s">
        <v>1932</v>
      </c>
      <c r="E135" s="40" t="s">
        <v>342</v>
      </c>
      <c r="F135" s="43" t="s">
        <v>2347</v>
      </c>
      <c r="G135" s="40"/>
      <c r="H135" s="40"/>
      <c r="I135" s="40"/>
      <c r="J135" s="40"/>
      <c r="K135" s="40"/>
      <c r="L135" s="40"/>
      <c r="M135" s="40"/>
      <c r="N135" s="40"/>
      <c r="O135" s="40">
        <v>13000</v>
      </c>
      <c r="P135" s="40">
        <v>3500</v>
      </c>
      <c r="Q135" s="40" t="s">
        <v>2391</v>
      </c>
      <c r="R135" s="40">
        <v>5000</v>
      </c>
      <c r="S135" s="40" t="s">
        <v>2427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54">
        <v>36</v>
      </c>
      <c r="B136" s="40">
        <v>113</v>
      </c>
      <c r="C136" s="40" t="s">
        <v>2299</v>
      </c>
      <c r="D136" s="40" t="s">
        <v>2300</v>
      </c>
      <c r="E136" s="40" t="s">
        <v>342</v>
      </c>
      <c r="F136" s="43" t="s">
        <v>2348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2500</v>
      </c>
      <c r="Q136" s="40" t="s">
        <v>2392</v>
      </c>
      <c r="R136" s="40">
        <v>4000</v>
      </c>
      <c r="S136" s="40" t="s">
        <v>2428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54">
        <v>37</v>
      </c>
      <c r="B137" s="40">
        <v>114</v>
      </c>
      <c r="C137" s="40" t="s">
        <v>2260</v>
      </c>
      <c r="D137" s="40" t="s">
        <v>2301</v>
      </c>
      <c r="E137" s="40" t="s">
        <v>342</v>
      </c>
      <c r="F137" s="43" t="s">
        <v>2349</v>
      </c>
      <c r="G137" s="40"/>
      <c r="H137" s="40"/>
      <c r="I137" s="40"/>
      <c r="J137" s="40"/>
      <c r="K137" s="40"/>
      <c r="L137" s="40"/>
      <c r="M137" s="40"/>
      <c r="N137" s="40"/>
      <c r="O137" s="40" t="s">
        <v>1842</v>
      </c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54">
        <v>38</v>
      </c>
      <c r="B138" s="40">
        <v>352</v>
      </c>
      <c r="C138" s="40" t="s">
        <v>2261</v>
      </c>
      <c r="D138" s="40" t="s">
        <v>2012</v>
      </c>
      <c r="E138" s="40" t="s">
        <v>342</v>
      </c>
      <c r="F138" s="43"/>
      <c r="G138" s="40"/>
      <c r="H138" s="40"/>
      <c r="I138" s="40"/>
      <c r="J138" s="40"/>
      <c r="K138" s="40"/>
      <c r="L138" s="40"/>
      <c r="M138" s="40"/>
      <c r="N138" s="40"/>
      <c r="O138" s="40">
        <v>17000</v>
      </c>
      <c r="P138" s="40">
        <v>3000</v>
      </c>
      <c r="Q138" s="40" t="s">
        <v>2393</v>
      </c>
      <c r="R138" s="40">
        <v>6000</v>
      </c>
      <c r="S138" s="40" t="s">
        <v>2429</v>
      </c>
      <c r="T138" s="40">
        <v>3000</v>
      </c>
      <c r="U138" s="40" t="s">
        <v>2438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54">
        <v>39</v>
      </c>
      <c r="B139" s="40">
        <v>175</v>
      </c>
      <c r="C139" s="40" t="s">
        <v>2262</v>
      </c>
      <c r="D139" s="40" t="s">
        <v>2302</v>
      </c>
      <c r="E139" s="40" t="s">
        <v>342</v>
      </c>
      <c r="F139" s="43" t="s">
        <v>2350</v>
      </c>
      <c r="G139" s="40"/>
      <c r="H139" s="40"/>
      <c r="I139" s="40"/>
      <c r="J139" s="40"/>
      <c r="K139" s="40"/>
      <c r="L139" s="40"/>
      <c r="M139" s="40"/>
      <c r="N139" s="40"/>
      <c r="O139" s="40">
        <v>5000</v>
      </c>
      <c r="P139" s="40">
        <v>1000</v>
      </c>
      <c r="Q139" s="40" t="s">
        <v>2394</v>
      </c>
      <c r="R139" s="40">
        <v>2000</v>
      </c>
      <c r="S139" s="40" t="s">
        <v>2430</v>
      </c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54">
        <v>40</v>
      </c>
      <c r="B140" s="40">
        <v>237</v>
      </c>
      <c r="C140" s="40" t="s">
        <v>2263</v>
      </c>
      <c r="D140" s="40" t="s">
        <v>2303</v>
      </c>
      <c r="E140" s="40" t="s">
        <v>342</v>
      </c>
      <c r="F140" s="43" t="s">
        <v>2351</v>
      </c>
      <c r="G140" s="40"/>
      <c r="H140" s="40"/>
      <c r="I140" s="40"/>
      <c r="J140" s="40"/>
      <c r="K140" s="40"/>
      <c r="L140" s="40"/>
      <c r="M140" s="40"/>
      <c r="N140" s="40"/>
      <c r="O140" s="40" t="s">
        <v>2365</v>
      </c>
      <c r="P140" s="40">
        <v>2000</v>
      </c>
      <c r="Q140" s="40" t="s">
        <v>2395</v>
      </c>
      <c r="R140" s="40">
        <v>5000</v>
      </c>
      <c r="S140" s="40" t="s">
        <v>2431</v>
      </c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54">
        <v>41</v>
      </c>
      <c r="B141" s="40">
        <v>139</v>
      </c>
      <c r="C141" s="40" t="s">
        <v>2264</v>
      </c>
      <c r="D141" s="40" t="s">
        <v>1893</v>
      </c>
      <c r="E141" s="40" t="s">
        <v>342</v>
      </c>
      <c r="F141" s="43" t="s">
        <v>2352</v>
      </c>
      <c r="G141" s="40"/>
      <c r="H141" s="40"/>
      <c r="I141" s="40"/>
      <c r="J141" s="40"/>
      <c r="K141" s="40"/>
      <c r="L141" s="40"/>
      <c r="M141" s="40"/>
      <c r="N141" s="40"/>
      <c r="O141" s="40">
        <v>17500</v>
      </c>
      <c r="P141" s="40">
        <v>5000</v>
      </c>
      <c r="Q141" s="40" t="s">
        <v>2396</v>
      </c>
      <c r="R141" s="40">
        <v>5000</v>
      </c>
      <c r="S141" s="40" t="s">
        <v>2432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54">
        <v>42</v>
      </c>
      <c r="B142" s="40">
        <v>147</v>
      </c>
      <c r="C142" s="40" t="s">
        <v>2265</v>
      </c>
      <c r="D142" s="40" t="s">
        <v>2304</v>
      </c>
      <c r="E142" s="40" t="s">
        <v>342</v>
      </c>
      <c r="F142" s="43" t="s">
        <v>2353</v>
      </c>
      <c r="G142" s="40"/>
      <c r="H142" s="40"/>
      <c r="I142" s="40"/>
      <c r="J142" s="40"/>
      <c r="K142" s="40"/>
      <c r="L142" s="40"/>
      <c r="M142" s="40"/>
      <c r="N142" s="40"/>
      <c r="O142" s="40">
        <v>17000</v>
      </c>
      <c r="P142" s="40">
        <v>4000</v>
      </c>
      <c r="Q142" s="40" t="s">
        <v>2397</v>
      </c>
      <c r="R142" s="40">
        <v>3000</v>
      </c>
      <c r="S142" s="40" t="s">
        <v>2433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54">
        <v>43</v>
      </c>
      <c r="B143" s="40">
        <v>129</v>
      </c>
      <c r="C143" s="40" t="s">
        <v>2266</v>
      </c>
      <c r="D143" s="40" t="s">
        <v>2305</v>
      </c>
      <c r="E143" s="40" t="s">
        <v>342</v>
      </c>
      <c r="F143" s="43" t="s">
        <v>2354</v>
      </c>
      <c r="G143" s="40"/>
      <c r="H143" s="40"/>
      <c r="I143" s="40"/>
      <c r="J143" s="40"/>
      <c r="K143" s="40"/>
      <c r="L143" s="40"/>
      <c r="M143" s="40"/>
      <c r="N143" s="40"/>
      <c r="O143" s="40">
        <v>20000</v>
      </c>
      <c r="P143" s="40">
        <v>5000</v>
      </c>
      <c r="Q143" s="40" t="s">
        <v>2398</v>
      </c>
      <c r="R143" s="40">
        <v>5000</v>
      </c>
      <c r="S143" s="40" t="s">
        <v>2434</v>
      </c>
      <c r="T143" s="40">
        <v>5000</v>
      </c>
      <c r="U143" s="40" t="s">
        <v>2437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54">
        <v>44</v>
      </c>
      <c r="B144" s="40">
        <v>137</v>
      </c>
      <c r="C144" s="40" t="s">
        <v>1969</v>
      </c>
      <c r="D144" s="40" t="s">
        <v>2178</v>
      </c>
      <c r="E144" s="40" t="s">
        <v>342</v>
      </c>
      <c r="F144" s="43" t="s">
        <v>2355</v>
      </c>
      <c r="G144" s="40"/>
      <c r="H144" s="40"/>
      <c r="I144" s="40"/>
      <c r="J144" s="40"/>
      <c r="K144" s="40"/>
      <c r="L144" s="40"/>
      <c r="M144" s="40"/>
      <c r="N144" s="40"/>
      <c r="O144" s="40">
        <v>20000</v>
      </c>
      <c r="P144" s="40">
        <v>5000</v>
      </c>
      <c r="Q144" s="40" t="s">
        <v>2399</v>
      </c>
      <c r="R144" s="40">
        <v>5000</v>
      </c>
      <c r="S144" s="40" t="s">
        <v>2435</v>
      </c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45</v>
      </c>
      <c r="B145" s="40">
        <v>183</v>
      </c>
      <c r="C145" s="40" t="s">
        <v>2267</v>
      </c>
      <c r="D145" s="40" t="s">
        <v>2306</v>
      </c>
      <c r="E145" s="40" t="s">
        <v>342</v>
      </c>
      <c r="F145" s="43" t="s">
        <v>2356</v>
      </c>
      <c r="G145" s="40"/>
      <c r="H145" s="40"/>
      <c r="I145" s="40"/>
      <c r="J145" s="40"/>
      <c r="K145" s="40"/>
      <c r="L145" s="40"/>
      <c r="M145" s="40"/>
      <c r="N145" s="40"/>
      <c r="O145" s="40">
        <v>20000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54">
        <v>46</v>
      </c>
      <c r="B146" s="40">
        <v>121</v>
      </c>
      <c r="C146" s="40" t="s">
        <v>2268</v>
      </c>
      <c r="D146" s="40" t="s">
        <v>2307</v>
      </c>
      <c r="E146" s="40" t="s">
        <v>342</v>
      </c>
      <c r="F146" s="43" t="s">
        <v>2357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47</v>
      </c>
      <c r="B147" s="40">
        <v>140</v>
      </c>
      <c r="C147" s="40" t="s">
        <v>2269</v>
      </c>
      <c r="D147" s="40" t="s">
        <v>2308</v>
      </c>
      <c r="E147" s="40" t="s">
        <v>342</v>
      </c>
      <c r="F147" s="43" t="s">
        <v>2358</v>
      </c>
      <c r="G147" s="40"/>
      <c r="H147" s="40"/>
      <c r="I147" s="40"/>
      <c r="J147" s="40"/>
      <c r="K147" s="40"/>
      <c r="L147" s="40"/>
      <c r="M147" s="40"/>
      <c r="N147" s="40"/>
      <c r="O147" s="40">
        <v>22000</v>
      </c>
      <c r="P147" s="40">
        <v>1000</v>
      </c>
      <c r="Q147" s="40" t="s">
        <v>2400</v>
      </c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48</v>
      </c>
      <c r="B148" s="40">
        <v>197</v>
      </c>
      <c r="C148" s="40" t="s">
        <v>2137</v>
      </c>
      <c r="D148" s="40" t="s">
        <v>2043</v>
      </c>
      <c r="E148" s="40" t="s">
        <v>342</v>
      </c>
      <c r="F148" s="43" t="s">
        <v>2359</v>
      </c>
      <c r="G148" s="40"/>
      <c r="H148" s="40"/>
      <c r="I148" s="40"/>
      <c r="J148" s="40"/>
      <c r="K148" s="40"/>
      <c r="L148" s="40"/>
      <c r="M148" s="40"/>
      <c r="N148" s="40"/>
      <c r="O148" s="40">
        <v>20000</v>
      </c>
      <c r="P148" s="40">
        <v>2000</v>
      </c>
      <c r="Q148" s="40" t="s">
        <v>2401</v>
      </c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54">
        <v>49</v>
      </c>
      <c r="B149" s="40">
        <v>173</v>
      </c>
      <c r="C149" s="40" t="s">
        <v>2270</v>
      </c>
      <c r="D149" s="40" t="s">
        <v>2309</v>
      </c>
      <c r="E149" s="40" t="s">
        <v>342</v>
      </c>
      <c r="F149" s="43" t="s">
        <v>2360</v>
      </c>
      <c r="G149" s="40"/>
      <c r="H149" s="40"/>
      <c r="I149" s="40"/>
      <c r="J149" s="40"/>
      <c r="K149" s="40"/>
      <c r="L149" s="40"/>
      <c r="M149" s="40"/>
      <c r="N149" s="40"/>
      <c r="O149" s="40">
        <v>20000</v>
      </c>
      <c r="P149" s="40">
        <v>5000</v>
      </c>
      <c r="Q149" s="40" t="s">
        <v>2402</v>
      </c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55">
        <v>50</v>
      </c>
      <c r="B150" s="40">
        <v>92</v>
      </c>
      <c r="C150" s="40" t="s">
        <v>2005</v>
      </c>
      <c r="D150" s="40" t="s">
        <v>1885</v>
      </c>
      <c r="E150" s="40" t="s">
        <v>342</v>
      </c>
      <c r="F150" s="43" t="s">
        <v>2361</v>
      </c>
      <c r="G150" s="40"/>
      <c r="H150" s="40"/>
      <c r="I150" s="40"/>
      <c r="J150" s="40"/>
      <c r="K150" s="40"/>
      <c r="L150" s="40"/>
      <c r="M150" s="40"/>
      <c r="N150" s="40"/>
      <c r="O150" s="40">
        <v>20000</v>
      </c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51</v>
      </c>
      <c r="B151" s="40">
        <v>109</v>
      </c>
      <c r="C151" s="40" t="s">
        <v>2271</v>
      </c>
      <c r="D151" s="40" t="s">
        <v>2310</v>
      </c>
      <c r="E151" s="40" t="s">
        <v>342</v>
      </c>
      <c r="F151" s="43" t="s">
        <v>2362</v>
      </c>
      <c r="G151" s="40"/>
      <c r="H151" s="40"/>
      <c r="I151" s="40"/>
      <c r="J151" s="40"/>
      <c r="K151" s="40"/>
      <c r="L151" s="40"/>
      <c r="M151" s="40"/>
      <c r="N151" s="40"/>
      <c r="O151" s="40">
        <v>15000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54">
        <v>52</v>
      </c>
      <c r="B152" s="40">
        <v>148</v>
      </c>
      <c r="C152" s="40" t="s">
        <v>2272</v>
      </c>
      <c r="D152" s="40" t="s">
        <v>2311</v>
      </c>
      <c r="E152" s="40" t="s">
        <v>342</v>
      </c>
      <c r="F152" s="43" t="s">
        <v>2363</v>
      </c>
      <c r="G152" s="40"/>
      <c r="H152" s="40"/>
      <c r="I152" s="40"/>
      <c r="J152" s="40"/>
      <c r="K152" s="40"/>
      <c r="L152" s="40"/>
      <c r="M152" s="40"/>
      <c r="N152" s="40"/>
      <c r="O152" s="40">
        <v>4000</v>
      </c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54">
        <v>53</v>
      </c>
      <c r="B153" s="40">
        <v>149</v>
      </c>
      <c r="C153" s="40" t="s">
        <v>2273</v>
      </c>
      <c r="D153" s="40" t="s">
        <v>2311</v>
      </c>
      <c r="E153" s="40" t="s">
        <v>342</v>
      </c>
      <c r="F153" s="43" t="s">
        <v>2357</v>
      </c>
      <c r="G153" s="40"/>
      <c r="H153" s="40"/>
      <c r="I153" s="40"/>
      <c r="J153" s="40"/>
      <c r="K153" s="40"/>
      <c r="L153" s="40"/>
      <c r="M153" s="40"/>
      <c r="N153" s="40"/>
      <c r="O153" s="40">
        <v>4000</v>
      </c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54">
        <v>54</v>
      </c>
      <c r="B154" s="40">
        <v>346</v>
      </c>
      <c r="C154" s="40" t="s">
        <v>2274</v>
      </c>
      <c r="D154" s="40" t="s">
        <v>2312</v>
      </c>
      <c r="E154" s="40" t="s">
        <v>342</v>
      </c>
      <c r="F154" s="43" t="s">
        <v>2364</v>
      </c>
      <c r="G154" s="40"/>
      <c r="H154" s="40"/>
      <c r="I154" s="40"/>
      <c r="J154" s="40"/>
      <c r="K154" s="40"/>
      <c r="L154" s="40"/>
      <c r="M154" s="40"/>
      <c r="N154" s="40"/>
      <c r="O154" s="40">
        <v>18000</v>
      </c>
      <c r="P154" s="40">
        <v>2000</v>
      </c>
      <c r="Q154" s="40" t="s">
        <v>2403</v>
      </c>
      <c r="R154" s="40">
        <v>4000</v>
      </c>
      <c r="S154" s="40" t="s">
        <v>2436</v>
      </c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55</v>
      </c>
      <c r="B155" s="40">
        <v>165</v>
      </c>
      <c r="C155" s="40" t="s">
        <v>2275</v>
      </c>
      <c r="D155" s="40" t="s">
        <v>2313</v>
      </c>
      <c r="E155" s="40" t="s">
        <v>342</v>
      </c>
      <c r="F155" s="43"/>
      <c r="G155" s="40"/>
      <c r="H155" s="40"/>
      <c r="I155" s="40"/>
      <c r="J155" s="40"/>
      <c r="K155" s="40"/>
      <c r="L155" s="40"/>
      <c r="M155" s="40"/>
      <c r="N155" s="40"/>
      <c r="O155" s="40">
        <v>5000</v>
      </c>
      <c r="P155" s="40">
        <v>5000</v>
      </c>
      <c r="Q155" s="40" t="s">
        <v>2404</v>
      </c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56</v>
      </c>
      <c r="B156" s="40">
        <v>353</v>
      </c>
      <c r="C156" s="40" t="s">
        <v>2276</v>
      </c>
      <c r="D156" s="40" t="s">
        <v>2314</v>
      </c>
      <c r="E156" s="40" t="s">
        <v>342</v>
      </c>
      <c r="F156" s="43"/>
      <c r="G156" s="40"/>
      <c r="H156" s="40"/>
      <c r="I156" s="40"/>
      <c r="J156" s="40"/>
      <c r="K156" s="40"/>
      <c r="L156" s="40"/>
      <c r="M156" s="40"/>
      <c r="N156" s="40"/>
      <c r="O156" s="40">
        <v>15000</v>
      </c>
      <c r="P156" s="40">
        <v>1000</v>
      </c>
      <c r="Q156" s="40" t="s">
        <v>2405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54">
        <v>1</v>
      </c>
      <c r="B157" s="40">
        <v>119</v>
      </c>
      <c r="C157" s="40" t="s">
        <v>2439</v>
      </c>
      <c r="D157" s="40" t="s">
        <v>2440</v>
      </c>
      <c r="E157" s="40" t="s">
        <v>592</v>
      </c>
      <c r="F157" s="43" t="s">
        <v>2522</v>
      </c>
      <c r="G157" s="40"/>
      <c r="H157" s="40"/>
      <c r="I157" s="40"/>
      <c r="J157" s="40"/>
      <c r="K157" s="40"/>
      <c r="L157" s="40"/>
      <c r="M157" s="40"/>
      <c r="N157" s="40"/>
      <c r="O157" s="40">
        <v>20000</v>
      </c>
      <c r="P157" s="40">
        <v>1000</v>
      </c>
      <c r="Q157" s="40" t="s">
        <v>2568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54">
        <v>2</v>
      </c>
      <c r="B158" s="40">
        <v>120</v>
      </c>
      <c r="C158" s="40" t="s">
        <v>2441</v>
      </c>
      <c r="D158" s="40" t="s">
        <v>2488</v>
      </c>
      <c r="E158" s="40" t="s">
        <v>592</v>
      </c>
      <c r="F158" s="43" t="s">
        <v>2523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2569</v>
      </c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3</v>
      </c>
      <c r="B159" s="40">
        <v>122</v>
      </c>
      <c r="C159" s="40" t="s">
        <v>2442</v>
      </c>
      <c r="D159" s="40" t="s">
        <v>2107</v>
      </c>
      <c r="E159" s="40" t="s">
        <v>592</v>
      </c>
      <c r="F159" s="43" t="s">
        <v>2524</v>
      </c>
      <c r="G159" s="40"/>
      <c r="H159" s="40"/>
      <c r="I159" s="40"/>
      <c r="J159" s="40"/>
      <c r="K159" s="40"/>
      <c r="L159" s="40"/>
      <c r="M159" s="40"/>
      <c r="N159" s="40"/>
      <c r="O159" s="40">
        <v>15000</v>
      </c>
      <c r="P159" s="40">
        <v>1000</v>
      </c>
      <c r="Q159" s="40" t="s">
        <v>2570</v>
      </c>
      <c r="R159" s="40">
        <v>5000</v>
      </c>
      <c r="S159" s="40" t="s">
        <v>2605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54">
        <v>4</v>
      </c>
      <c r="B160" s="40">
        <v>123</v>
      </c>
      <c r="C160" s="40" t="s">
        <v>2443</v>
      </c>
      <c r="D160" s="40" t="s">
        <v>2012</v>
      </c>
      <c r="E160" s="40" t="s">
        <v>592</v>
      </c>
      <c r="F160" s="43" t="s">
        <v>2525</v>
      </c>
      <c r="G160" s="40"/>
      <c r="H160" s="40"/>
      <c r="I160" s="40"/>
      <c r="J160" s="40"/>
      <c r="K160" s="40"/>
      <c r="L160" s="40"/>
      <c r="M160" s="40"/>
      <c r="N160" s="40"/>
      <c r="O160" s="40">
        <v>15000</v>
      </c>
      <c r="P160" s="40">
        <v>1000</v>
      </c>
      <c r="Q160" s="40" t="s">
        <v>2571</v>
      </c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54">
        <v>5</v>
      </c>
      <c r="B161" s="40">
        <v>126</v>
      </c>
      <c r="C161" s="40" t="s">
        <v>2444</v>
      </c>
      <c r="D161" s="40" t="s">
        <v>2489</v>
      </c>
      <c r="E161" s="40" t="s">
        <v>592</v>
      </c>
      <c r="F161" s="43" t="s">
        <v>2526</v>
      </c>
      <c r="G161" s="40"/>
      <c r="H161" s="40"/>
      <c r="I161" s="40"/>
      <c r="J161" s="40"/>
      <c r="K161" s="40"/>
      <c r="L161" s="40"/>
      <c r="M161" s="40"/>
      <c r="N161" s="40"/>
      <c r="O161" s="40">
        <v>20000</v>
      </c>
      <c r="P161" s="40">
        <v>3000</v>
      </c>
      <c r="Q161" s="40" t="s">
        <v>2572</v>
      </c>
      <c r="R161" s="40">
        <v>7000</v>
      </c>
      <c r="S161" s="40" t="s">
        <v>2606</v>
      </c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54">
        <v>6</v>
      </c>
      <c r="B162" s="40">
        <v>385</v>
      </c>
      <c r="C162" s="40" t="s">
        <v>2445</v>
      </c>
      <c r="D162" s="40" t="s">
        <v>2490</v>
      </c>
      <c r="E162" s="40" t="s">
        <v>592</v>
      </c>
      <c r="F162" s="43" t="s">
        <v>2527</v>
      </c>
      <c r="G162" s="40"/>
      <c r="H162" s="40"/>
      <c r="I162" s="40"/>
      <c r="J162" s="40"/>
      <c r="K162" s="40"/>
      <c r="L162" s="40"/>
      <c r="M162" s="40"/>
      <c r="N162" s="40"/>
      <c r="O162" s="40">
        <v>20000</v>
      </c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54">
        <v>7</v>
      </c>
      <c r="B163" s="40">
        <v>124</v>
      </c>
      <c r="C163" s="40" t="s">
        <v>2446</v>
      </c>
      <c r="D163" s="40"/>
      <c r="E163" s="40" t="s">
        <v>592</v>
      </c>
      <c r="F163" s="43" t="s">
        <v>2528</v>
      </c>
      <c r="G163" s="40"/>
      <c r="H163" s="40"/>
      <c r="I163" s="40"/>
      <c r="J163" s="40"/>
      <c r="K163" s="40"/>
      <c r="L163" s="40"/>
      <c r="M163" s="40"/>
      <c r="N163" s="40"/>
      <c r="O163" s="40">
        <v>20000</v>
      </c>
      <c r="P163" s="40">
        <v>5000</v>
      </c>
      <c r="Q163" s="40" t="s">
        <v>2573</v>
      </c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54">
        <v>8</v>
      </c>
      <c r="B164" s="40">
        <v>127</v>
      </c>
      <c r="C164" s="40" t="s">
        <v>2447</v>
      </c>
      <c r="D164" s="40" t="s">
        <v>2491</v>
      </c>
      <c r="E164" s="40" t="s">
        <v>592</v>
      </c>
      <c r="F164" s="43" t="s">
        <v>2529</v>
      </c>
      <c r="G164" s="40"/>
      <c r="H164" s="40"/>
      <c r="I164" s="40"/>
      <c r="J164" s="40"/>
      <c r="K164" s="40"/>
      <c r="L164" s="40"/>
      <c r="M164" s="40"/>
      <c r="N164" s="40"/>
      <c r="O164" s="40">
        <v>15000</v>
      </c>
      <c r="P164" s="40">
        <v>2000</v>
      </c>
      <c r="Q164" s="40" t="s">
        <v>2574</v>
      </c>
      <c r="R164" s="40">
        <v>10000</v>
      </c>
      <c r="S164" s="40" t="s">
        <v>2607</v>
      </c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54">
        <v>9</v>
      </c>
      <c r="B165" s="40">
        <v>128</v>
      </c>
      <c r="C165" s="40" t="s">
        <v>2448</v>
      </c>
      <c r="D165" s="40" t="s">
        <v>2492</v>
      </c>
      <c r="E165" s="40" t="s">
        <v>592</v>
      </c>
      <c r="F165" s="43" t="s">
        <v>2530</v>
      </c>
      <c r="G165" s="40"/>
      <c r="H165" s="40"/>
      <c r="I165" s="40"/>
      <c r="J165" s="40"/>
      <c r="K165" s="40"/>
      <c r="L165" s="40"/>
      <c r="M165" s="40"/>
      <c r="N165" s="40"/>
      <c r="O165" s="40">
        <v>20000</v>
      </c>
      <c r="P165" s="40">
        <v>5000</v>
      </c>
      <c r="Q165" s="40" t="s">
        <v>2575</v>
      </c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54">
        <v>10</v>
      </c>
      <c r="B166" s="40">
        <v>131</v>
      </c>
      <c r="C166" s="40" t="s">
        <v>2449</v>
      </c>
      <c r="D166" s="40" t="s">
        <v>2070</v>
      </c>
      <c r="E166" s="40" t="s">
        <v>592</v>
      </c>
      <c r="F166" s="43" t="s">
        <v>2531</v>
      </c>
      <c r="G166" s="40"/>
      <c r="H166" s="40"/>
      <c r="I166" s="40"/>
      <c r="J166" s="40"/>
      <c r="K166" s="40"/>
      <c r="L166" s="40"/>
      <c r="M166" s="40"/>
      <c r="N166" s="40"/>
      <c r="O166" s="40">
        <v>25000</v>
      </c>
      <c r="P166" s="40">
        <v>8000</v>
      </c>
      <c r="Q166" s="40" t="s">
        <v>2576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54">
        <v>11</v>
      </c>
      <c r="B167" s="40">
        <v>155</v>
      </c>
      <c r="C167" s="40" t="s">
        <v>2450</v>
      </c>
      <c r="D167" s="40" t="s">
        <v>2493</v>
      </c>
      <c r="E167" s="40" t="s">
        <v>592</v>
      </c>
      <c r="F167" s="43" t="s">
        <v>2532</v>
      </c>
      <c r="G167" s="40"/>
      <c r="H167" s="40"/>
      <c r="I167" s="40"/>
      <c r="J167" s="40"/>
      <c r="K167" s="40"/>
      <c r="L167" s="40"/>
      <c r="M167" s="40"/>
      <c r="N167" s="40"/>
      <c r="O167" s="40">
        <v>18000</v>
      </c>
      <c r="P167" s="40">
        <v>1000</v>
      </c>
      <c r="Q167" s="40" t="s">
        <v>2577</v>
      </c>
      <c r="R167" s="40">
        <v>4000</v>
      </c>
      <c r="S167" s="40" t="s">
        <v>2608</v>
      </c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54">
        <v>12</v>
      </c>
      <c r="B168" s="40">
        <v>130</v>
      </c>
      <c r="C168" s="40" t="s">
        <v>2451</v>
      </c>
      <c r="D168" s="40" t="s">
        <v>2013</v>
      </c>
      <c r="E168" s="40" t="s">
        <v>342</v>
      </c>
      <c r="F168" s="43" t="s">
        <v>2533</v>
      </c>
      <c r="G168" s="40"/>
      <c r="H168" s="40"/>
      <c r="I168" s="40"/>
      <c r="J168" s="40"/>
      <c r="K168" s="40"/>
      <c r="L168" s="40"/>
      <c r="M168" s="40"/>
      <c r="N168" s="40"/>
      <c r="O168" s="40">
        <v>20000</v>
      </c>
      <c r="P168" s="40">
        <v>2000</v>
      </c>
      <c r="Q168" s="40" t="s">
        <v>2578</v>
      </c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54">
        <v>13</v>
      </c>
      <c r="B169" s="40">
        <v>132</v>
      </c>
      <c r="C169" s="40" t="s">
        <v>2452</v>
      </c>
      <c r="D169" s="40" t="s">
        <v>2494</v>
      </c>
      <c r="E169" s="40" t="s">
        <v>592</v>
      </c>
      <c r="F169" s="43" t="s">
        <v>2534</v>
      </c>
      <c r="G169" s="40"/>
      <c r="H169" s="40"/>
      <c r="I169" s="40"/>
      <c r="J169" s="40"/>
      <c r="K169" s="40"/>
      <c r="L169" s="40"/>
      <c r="M169" s="40"/>
      <c r="N169" s="40"/>
      <c r="O169" s="40">
        <v>17000</v>
      </c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54">
        <v>14</v>
      </c>
      <c r="B170" s="40">
        <v>133</v>
      </c>
      <c r="C170" s="40" t="s">
        <v>2453</v>
      </c>
      <c r="D170" s="40" t="s">
        <v>2495</v>
      </c>
      <c r="E170" s="40" t="s">
        <v>592</v>
      </c>
      <c r="F170" s="43" t="s">
        <v>2536</v>
      </c>
      <c r="G170" s="40"/>
      <c r="H170" s="40"/>
      <c r="I170" s="40"/>
      <c r="J170" s="40"/>
      <c r="K170" s="40"/>
      <c r="L170" s="40"/>
      <c r="M170" s="40"/>
      <c r="N170" s="40"/>
      <c r="O170" s="40">
        <v>25000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54">
        <v>15</v>
      </c>
      <c r="B171" s="40">
        <v>134</v>
      </c>
      <c r="C171" s="40" t="s">
        <v>2454</v>
      </c>
      <c r="D171" s="40" t="s">
        <v>2496</v>
      </c>
      <c r="E171" s="40" t="s">
        <v>592</v>
      </c>
      <c r="F171" s="43" t="s">
        <v>2535</v>
      </c>
      <c r="G171" s="40"/>
      <c r="H171" s="40"/>
      <c r="I171" s="40"/>
      <c r="J171" s="40"/>
      <c r="K171" s="40"/>
      <c r="L171" s="40"/>
      <c r="M171" s="40"/>
      <c r="N171" s="40"/>
      <c r="O171" s="40">
        <v>20000</v>
      </c>
      <c r="P171" s="40">
        <v>4000</v>
      </c>
      <c r="Q171" s="40" t="s">
        <v>2579</v>
      </c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54">
        <v>16</v>
      </c>
      <c r="B172" s="40">
        <v>108</v>
      </c>
      <c r="C172" s="40" t="s">
        <v>2455</v>
      </c>
      <c r="D172" s="40" t="s">
        <v>2171</v>
      </c>
      <c r="E172" s="40" t="s">
        <v>342</v>
      </c>
      <c r="F172" s="43" t="s">
        <v>2537</v>
      </c>
      <c r="G172" s="40"/>
      <c r="H172" s="40"/>
      <c r="I172" s="40"/>
      <c r="J172" s="40"/>
      <c r="K172" s="40"/>
      <c r="L172" s="40"/>
      <c r="M172" s="40"/>
      <c r="N172" s="40"/>
      <c r="O172" s="40">
        <v>25000</v>
      </c>
      <c r="P172" s="40">
        <v>1000</v>
      </c>
      <c r="Q172" s="40" t="s">
        <v>2580</v>
      </c>
      <c r="R172" s="40">
        <v>3000</v>
      </c>
      <c r="S172" s="40" t="s">
        <v>2609</v>
      </c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17</v>
      </c>
      <c r="B173" s="40">
        <v>141</v>
      </c>
      <c r="C173" s="40" t="s">
        <v>2456</v>
      </c>
      <c r="D173" s="40" t="s">
        <v>2156</v>
      </c>
      <c r="E173" s="40" t="s">
        <v>592</v>
      </c>
      <c r="F173" s="43" t="s">
        <v>2538</v>
      </c>
      <c r="G173" s="40"/>
      <c r="H173" s="40"/>
      <c r="I173" s="40"/>
      <c r="J173" s="40"/>
      <c r="K173" s="40"/>
      <c r="L173" s="40"/>
      <c r="M173" s="40"/>
      <c r="N173" s="40"/>
      <c r="O173" s="40">
        <v>10000</v>
      </c>
      <c r="P173" s="40">
        <v>1000</v>
      </c>
      <c r="Q173" s="40" t="s">
        <v>2581</v>
      </c>
      <c r="R173" s="40">
        <v>5000</v>
      </c>
      <c r="S173" s="40" t="s">
        <v>2610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54">
        <v>18</v>
      </c>
      <c r="B174" s="40">
        <v>373</v>
      </c>
      <c r="C174" s="40" t="s">
        <v>2457</v>
      </c>
      <c r="D174" s="40" t="s">
        <v>2066</v>
      </c>
      <c r="E174" s="40" t="s">
        <v>592</v>
      </c>
      <c r="F174" s="43"/>
      <c r="G174" s="40"/>
      <c r="H174" s="40"/>
      <c r="I174" s="40"/>
      <c r="J174" s="40"/>
      <c r="K174" s="40"/>
      <c r="L174" s="40"/>
      <c r="M174" s="40"/>
      <c r="N174" s="40"/>
      <c r="O174" s="40">
        <v>25000</v>
      </c>
      <c r="P174" s="40">
        <v>5000</v>
      </c>
      <c r="Q174" s="40" t="s">
        <v>2582</v>
      </c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0">
        <v>19</v>
      </c>
      <c r="B175" s="40">
        <v>138</v>
      </c>
      <c r="C175" s="40" t="s">
        <v>2458</v>
      </c>
      <c r="D175" s="40" t="s">
        <v>2497</v>
      </c>
      <c r="E175" s="40" t="s">
        <v>592</v>
      </c>
      <c r="F175" s="43" t="s">
        <v>2539</v>
      </c>
      <c r="G175" s="40"/>
      <c r="H175" s="40"/>
      <c r="I175" s="40"/>
      <c r="J175" s="40"/>
      <c r="K175" s="40"/>
      <c r="L175" s="40"/>
      <c r="M175" s="40"/>
      <c r="N175" s="40"/>
      <c r="O175" s="40">
        <v>5000</v>
      </c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54">
        <v>20</v>
      </c>
      <c r="B176" s="40">
        <v>142</v>
      </c>
      <c r="C176" s="40" t="s">
        <v>2003</v>
      </c>
      <c r="D176" s="40" t="s">
        <v>1944</v>
      </c>
      <c r="E176" s="40" t="s">
        <v>592</v>
      </c>
      <c r="F176" s="43" t="s">
        <v>2538</v>
      </c>
      <c r="G176" s="40"/>
      <c r="H176" s="40"/>
      <c r="I176" s="40"/>
      <c r="J176" s="40"/>
      <c r="K176" s="40"/>
      <c r="L176" s="40"/>
      <c r="M176" s="40"/>
      <c r="N176" s="40"/>
      <c r="O176" s="40">
        <v>22000</v>
      </c>
      <c r="P176" s="40">
        <v>1000</v>
      </c>
      <c r="Q176" s="40" t="s">
        <v>2583</v>
      </c>
      <c r="R176" s="40">
        <v>5250</v>
      </c>
      <c r="S176" s="40" t="s">
        <v>2611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54">
        <v>21</v>
      </c>
      <c r="B177" s="40">
        <v>144</v>
      </c>
      <c r="C177" s="40" t="s">
        <v>1860</v>
      </c>
      <c r="D177" s="40" t="s">
        <v>2498</v>
      </c>
      <c r="E177" s="40" t="s">
        <v>592</v>
      </c>
      <c r="F177" s="43" t="s">
        <v>2540</v>
      </c>
      <c r="G177" s="40"/>
      <c r="H177" s="40"/>
      <c r="I177" s="40"/>
      <c r="J177" s="40"/>
      <c r="K177" s="40"/>
      <c r="L177" s="40"/>
      <c r="M177" s="40"/>
      <c r="N177" s="40"/>
      <c r="O177" s="40">
        <v>20000</v>
      </c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54">
        <v>22</v>
      </c>
      <c r="B178" s="40">
        <v>174</v>
      </c>
      <c r="C178" s="40" t="s">
        <v>2459</v>
      </c>
      <c r="D178" s="40" t="s">
        <v>2499</v>
      </c>
      <c r="E178" s="40" t="s">
        <v>592</v>
      </c>
      <c r="F178" s="43" t="s">
        <v>2541</v>
      </c>
      <c r="G178" s="40"/>
      <c r="H178" s="40"/>
      <c r="I178" s="40"/>
      <c r="J178" s="40"/>
      <c r="K178" s="40"/>
      <c r="L178" s="40"/>
      <c r="M178" s="40"/>
      <c r="N178" s="40"/>
      <c r="O178" s="40">
        <v>20000</v>
      </c>
      <c r="P178" s="40">
        <v>1000</v>
      </c>
      <c r="Q178" s="40" t="s">
        <v>2584</v>
      </c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54">
        <v>23</v>
      </c>
      <c r="B179" s="40">
        <v>145</v>
      </c>
      <c r="C179" s="40" t="s">
        <v>2460</v>
      </c>
      <c r="D179" s="40" t="s">
        <v>2012</v>
      </c>
      <c r="E179" s="40" t="s">
        <v>592</v>
      </c>
      <c r="F179" s="43" t="s">
        <v>2542</v>
      </c>
      <c r="G179" s="40"/>
      <c r="H179" s="40"/>
      <c r="I179" s="40"/>
      <c r="J179" s="40"/>
      <c r="K179" s="40"/>
      <c r="L179" s="40"/>
      <c r="M179" s="40"/>
      <c r="N179" s="40"/>
      <c r="O179" s="40">
        <v>18000</v>
      </c>
      <c r="P179" s="40">
        <v>1000</v>
      </c>
      <c r="Q179" s="40" t="s">
        <v>2585</v>
      </c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0">
        <v>24</v>
      </c>
      <c r="B180" s="40">
        <v>146</v>
      </c>
      <c r="C180" s="40" t="s">
        <v>2461</v>
      </c>
      <c r="D180" s="40" t="s">
        <v>2500</v>
      </c>
      <c r="E180" s="40" t="s">
        <v>592</v>
      </c>
      <c r="F180" s="43" t="s">
        <v>2543</v>
      </c>
      <c r="G180" s="40"/>
      <c r="H180" s="40"/>
      <c r="I180" s="40"/>
      <c r="J180" s="40"/>
      <c r="K180" s="40"/>
      <c r="L180" s="40"/>
      <c r="M180" s="40"/>
      <c r="N180" s="40"/>
      <c r="O180" s="40">
        <v>25000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0">
        <v>25</v>
      </c>
      <c r="B181" s="40">
        <v>150</v>
      </c>
      <c r="C181" s="40" t="s">
        <v>2462</v>
      </c>
      <c r="D181" s="40" t="s">
        <v>2501</v>
      </c>
      <c r="E181" s="40" t="s">
        <v>592</v>
      </c>
      <c r="F181" s="43" t="s">
        <v>2544</v>
      </c>
      <c r="G181" s="40"/>
      <c r="H181" s="40"/>
      <c r="I181" s="40"/>
      <c r="J181" s="40"/>
      <c r="K181" s="40"/>
      <c r="L181" s="40"/>
      <c r="M181" s="40"/>
      <c r="N181" s="40"/>
      <c r="O181" s="40">
        <v>20000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54">
        <v>26</v>
      </c>
      <c r="B182" s="40">
        <v>151</v>
      </c>
      <c r="C182" s="40" t="s">
        <v>2463</v>
      </c>
      <c r="D182" s="40" t="s">
        <v>2502</v>
      </c>
      <c r="E182" s="40" t="s">
        <v>592</v>
      </c>
      <c r="F182" s="43" t="s">
        <v>2545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54">
        <v>27</v>
      </c>
      <c r="B183" s="40">
        <v>152</v>
      </c>
      <c r="C183" s="40" t="s">
        <v>2464</v>
      </c>
      <c r="D183" s="40" t="s">
        <v>2167</v>
      </c>
      <c r="E183" s="40" t="s">
        <v>592</v>
      </c>
      <c r="F183" s="43" t="s">
        <v>2546</v>
      </c>
      <c r="G183" s="40"/>
      <c r="H183" s="40"/>
      <c r="I183" s="40"/>
      <c r="J183" s="40"/>
      <c r="K183" s="40"/>
      <c r="L183" s="40"/>
      <c r="M183" s="40"/>
      <c r="N183" s="40"/>
      <c r="O183" s="40">
        <v>27500</v>
      </c>
      <c r="P183" s="40">
        <v>2000</v>
      </c>
      <c r="Q183" s="40" t="s">
        <v>2586</v>
      </c>
      <c r="R183" s="40">
        <v>5000</v>
      </c>
      <c r="S183" s="40" t="s">
        <v>2612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0">
        <v>28</v>
      </c>
      <c r="B184" s="40">
        <v>153</v>
      </c>
      <c r="C184" s="40" t="s">
        <v>2465</v>
      </c>
      <c r="D184" s="40" t="s">
        <v>2297</v>
      </c>
      <c r="E184" s="40" t="s">
        <v>592</v>
      </c>
      <c r="F184" s="43"/>
      <c r="G184" s="40"/>
      <c r="H184" s="40"/>
      <c r="I184" s="40"/>
      <c r="J184" s="40"/>
      <c r="K184" s="40"/>
      <c r="L184" s="40"/>
      <c r="M184" s="40"/>
      <c r="N184" s="40"/>
      <c r="O184" s="40">
        <v>20000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54">
        <v>29</v>
      </c>
      <c r="B185" s="40">
        <v>154</v>
      </c>
      <c r="C185" s="40" t="s">
        <v>2175</v>
      </c>
      <c r="D185" s="40" t="s">
        <v>2503</v>
      </c>
      <c r="E185" s="40" t="s">
        <v>592</v>
      </c>
      <c r="F185" s="43" t="s">
        <v>2547</v>
      </c>
      <c r="G185" s="40"/>
      <c r="H185" s="40"/>
      <c r="I185" s="40"/>
      <c r="J185" s="40"/>
      <c r="K185" s="40"/>
      <c r="L185" s="40"/>
      <c r="M185" s="40"/>
      <c r="N185" s="40"/>
      <c r="O185" s="40">
        <v>17000</v>
      </c>
      <c r="P185" s="40">
        <v>5000</v>
      </c>
      <c r="Q185" s="40" t="s">
        <v>2587</v>
      </c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54">
        <v>30</v>
      </c>
      <c r="B186" s="40">
        <v>156</v>
      </c>
      <c r="C186" s="40" t="s">
        <v>2466</v>
      </c>
      <c r="D186" s="40" t="s">
        <v>2504</v>
      </c>
      <c r="E186" s="40" t="s">
        <v>592</v>
      </c>
      <c r="F186" s="43" t="s">
        <v>2548</v>
      </c>
      <c r="G186" s="40"/>
      <c r="H186" s="40"/>
      <c r="I186" s="40"/>
      <c r="J186" s="40"/>
      <c r="K186" s="40"/>
      <c r="L186" s="40"/>
      <c r="M186" s="40"/>
      <c r="N186" s="40"/>
      <c r="O186" s="40">
        <v>19500</v>
      </c>
      <c r="P186" s="40">
        <v>1000</v>
      </c>
      <c r="Q186" s="40" t="s">
        <v>2588</v>
      </c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54">
        <v>31</v>
      </c>
      <c r="B187" s="40">
        <v>157</v>
      </c>
      <c r="C187" s="40" t="s">
        <v>2467</v>
      </c>
      <c r="D187" s="40" t="s">
        <v>2505</v>
      </c>
      <c r="E187" s="40" t="s">
        <v>592</v>
      </c>
      <c r="F187" s="43" t="s">
        <v>2549</v>
      </c>
      <c r="G187" s="40"/>
      <c r="H187" s="40"/>
      <c r="I187" s="40"/>
      <c r="J187" s="40"/>
      <c r="K187" s="40"/>
      <c r="L187" s="40"/>
      <c r="M187" s="40"/>
      <c r="N187" s="40"/>
      <c r="O187" s="40">
        <v>20000</v>
      </c>
      <c r="P187" s="40">
        <v>2000</v>
      </c>
      <c r="Q187" s="40" t="s">
        <v>2589</v>
      </c>
      <c r="R187" s="40">
        <v>6000</v>
      </c>
      <c r="S187" s="40" t="s">
        <v>2613</v>
      </c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54">
        <v>32</v>
      </c>
      <c r="B188" s="40">
        <v>171</v>
      </c>
      <c r="C188" s="40" t="s">
        <v>2468</v>
      </c>
      <c r="D188" s="40" t="s">
        <v>2506</v>
      </c>
      <c r="E188" s="40" t="s">
        <v>592</v>
      </c>
      <c r="F188" s="43" t="s">
        <v>2550</v>
      </c>
      <c r="G188" s="40"/>
      <c r="H188" s="40"/>
      <c r="I188" s="40"/>
      <c r="J188" s="40"/>
      <c r="K188" s="40"/>
      <c r="L188" s="40"/>
      <c r="M188" s="40"/>
      <c r="N188" s="40"/>
      <c r="O188" s="40">
        <v>16000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0">
        <v>33</v>
      </c>
      <c r="B189" s="40">
        <v>158</v>
      </c>
      <c r="C189" s="40" t="s">
        <v>2469</v>
      </c>
      <c r="D189" s="40" t="s">
        <v>2507</v>
      </c>
      <c r="E189" s="40" t="s">
        <v>592</v>
      </c>
      <c r="F189" s="43" t="s">
        <v>2551</v>
      </c>
      <c r="G189" s="40"/>
      <c r="H189" s="40"/>
      <c r="I189" s="40"/>
      <c r="J189" s="40"/>
      <c r="K189" s="40"/>
      <c r="L189" s="40"/>
      <c r="M189" s="40"/>
      <c r="N189" s="40"/>
      <c r="O189" s="40">
        <v>22000</v>
      </c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54">
        <v>34</v>
      </c>
      <c r="B190" s="40">
        <v>159</v>
      </c>
      <c r="C190" s="40" t="s">
        <v>2470</v>
      </c>
      <c r="D190" s="40" t="s">
        <v>2508</v>
      </c>
      <c r="E190" s="40" t="s">
        <v>592</v>
      </c>
      <c r="F190" s="43" t="s">
        <v>2552</v>
      </c>
      <c r="G190" s="40"/>
      <c r="H190" s="40"/>
      <c r="I190" s="40"/>
      <c r="J190" s="40"/>
      <c r="K190" s="40"/>
      <c r="L190" s="40"/>
      <c r="M190" s="40"/>
      <c r="N190" s="40"/>
      <c r="O190" s="40">
        <v>20000</v>
      </c>
      <c r="P190" s="40">
        <v>1000</v>
      </c>
      <c r="Q190" s="40" t="s">
        <v>2590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54"/>
      <c r="B191" s="40"/>
      <c r="C191" s="40" t="s">
        <v>4224</v>
      </c>
      <c r="D191" s="40" t="s">
        <v>42</v>
      </c>
      <c r="E191" s="40" t="s">
        <v>342</v>
      </c>
      <c r="F191" s="43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54"/>
      <c r="B192" s="40"/>
      <c r="C192" s="40" t="s">
        <v>4223</v>
      </c>
      <c r="D192" s="40" t="s">
        <v>98</v>
      </c>
      <c r="E192" s="40" t="s">
        <v>342</v>
      </c>
      <c r="F192" s="43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54">
        <v>35</v>
      </c>
      <c r="B193" s="40">
        <v>160</v>
      </c>
      <c r="C193" s="40" t="s">
        <v>2471</v>
      </c>
      <c r="D193" s="40" t="s">
        <v>2509</v>
      </c>
      <c r="E193" s="40" t="s">
        <v>342</v>
      </c>
      <c r="F193" s="43" t="s">
        <v>2553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5000</v>
      </c>
      <c r="Q193" s="40" t="s">
        <v>2591</v>
      </c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54">
        <v>36</v>
      </c>
      <c r="B194" s="40">
        <v>162</v>
      </c>
      <c r="C194" s="40" t="s">
        <v>2472</v>
      </c>
      <c r="D194" s="40" t="s">
        <v>2510</v>
      </c>
      <c r="E194" s="40" t="s">
        <v>592</v>
      </c>
      <c r="F194" s="43" t="s">
        <v>2554</v>
      </c>
      <c r="G194" s="40"/>
      <c r="H194" s="40"/>
      <c r="I194" s="40"/>
      <c r="J194" s="40"/>
      <c r="K194" s="40"/>
      <c r="L194" s="40"/>
      <c r="M194" s="40"/>
      <c r="N194" s="40"/>
      <c r="O194" s="40">
        <v>13000</v>
      </c>
      <c r="P194" s="40">
        <v>1000</v>
      </c>
      <c r="Q194" s="40" t="s">
        <v>2592</v>
      </c>
      <c r="R194" s="40">
        <v>3000</v>
      </c>
      <c r="S194" s="40" t="s">
        <v>2614</v>
      </c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54">
        <v>37</v>
      </c>
      <c r="B195" s="40">
        <v>181</v>
      </c>
      <c r="C195" s="40" t="s">
        <v>2473</v>
      </c>
      <c r="D195" s="40" t="s">
        <v>2511</v>
      </c>
      <c r="E195" s="40" t="s">
        <v>592</v>
      </c>
      <c r="F195" s="43" t="s">
        <v>2555</v>
      </c>
      <c r="G195" s="40"/>
      <c r="H195" s="40"/>
      <c r="I195" s="40"/>
      <c r="J195" s="40"/>
      <c r="K195" s="40"/>
      <c r="L195" s="40"/>
      <c r="M195" s="40"/>
      <c r="N195" s="40"/>
      <c r="O195" s="40">
        <v>18000</v>
      </c>
      <c r="P195" s="40">
        <v>3000</v>
      </c>
      <c r="Q195" s="40" t="s">
        <v>2593</v>
      </c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54">
        <v>38</v>
      </c>
      <c r="B196" s="40">
        <v>172</v>
      </c>
      <c r="C196" s="40" t="s">
        <v>2474</v>
      </c>
      <c r="D196" s="40" t="s">
        <v>2512</v>
      </c>
      <c r="E196" s="40" t="s">
        <v>592</v>
      </c>
      <c r="F196" s="43" t="s">
        <v>2556</v>
      </c>
      <c r="G196" s="40"/>
      <c r="H196" s="40"/>
      <c r="I196" s="40"/>
      <c r="J196" s="40"/>
      <c r="K196" s="40"/>
      <c r="L196" s="40"/>
      <c r="M196" s="40"/>
      <c r="N196" s="40"/>
      <c r="O196" s="40">
        <v>18000</v>
      </c>
      <c r="P196" s="40">
        <v>1000</v>
      </c>
      <c r="Q196" s="40" t="s">
        <v>2594</v>
      </c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54">
        <v>39</v>
      </c>
      <c r="B197" s="40">
        <v>136</v>
      </c>
      <c r="C197" s="40" t="s">
        <v>2475</v>
      </c>
      <c r="D197" s="40" t="s">
        <v>2513</v>
      </c>
      <c r="E197" s="40" t="s">
        <v>592</v>
      </c>
      <c r="F197" s="43" t="s">
        <v>2557</v>
      </c>
      <c r="G197" s="40"/>
      <c r="H197" s="40"/>
      <c r="I197" s="40"/>
      <c r="J197" s="40"/>
      <c r="K197" s="40"/>
      <c r="L197" s="40"/>
      <c r="M197" s="40"/>
      <c r="N197" s="40"/>
      <c r="O197" s="40">
        <v>18000</v>
      </c>
      <c r="P197" s="40">
        <v>2000</v>
      </c>
      <c r="Q197" s="40" t="s">
        <v>2595</v>
      </c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54">
        <v>40</v>
      </c>
      <c r="B198" s="40">
        <v>77</v>
      </c>
      <c r="C198" s="40" t="s">
        <v>2476</v>
      </c>
      <c r="D198" s="40" t="s">
        <v>2514</v>
      </c>
      <c r="E198" s="40" t="s">
        <v>342</v>
      </c>
      <c r="F198" s="43" t="s">
        <v>2558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5000</v>
      </c>
      <c r="Q198" s="40" t="s">
        <v>2596</v>
      </c>
      <c r="R198" s="40">
        <v>5000</v>
      </c>
      <c r="S198" s="40" t="s">
        <v>2615</v>
      </c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54">
        <v>41</v>
      </c>
      <c r="B199" s="40">
        <v>88</v>
      </c>
      <c r="C199" s="40" t="s">
        <v>2477</v>
      </c>
      <c r="D199" s="40" t="s">
        <v>2484</v>
      </c>
      <c r="E199" s="40" t="s">
        <v>592</v>
      </c>
      <c r="F199" s="43" t="s">
        <v>2559</v>
      </c>
      <c r="G199" s="40"/>
      <c r="H199" s="40"/>
      <c r="I199" s="40"/>
      <c r="J199" s="40"/>
      <c r="K199" s="40"/>
      <c r="L199" s="40"/>
      <c r="M199" s="40"/>
      <c r="N199" s="40"/>
      <c r="O199" s="40">
        <v>20000</v>
      </c>
      <c r="P199" s="40">
        <v>1000</v>
      </c>
      <c r="Q199" s="40" t="s">
        <v>2597</v>
      </c>
      <c r="R199" s="40">
        <v>5000</v>
      </c>
      <c r="S199" s="40" t="s">
        <v>2616</v>
      </c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54">
        <v>42</v>
      </c>
      <c r="B200" s="40">
        <v>204</v>
      </c>
      <c r="C200" s="40" t="s">
        <v>2478</v>
      </c>
      <c r="D200" s="40" t="s">
        <v>2515</v>
      </c>
      <c r="E200" s="40" t="s">
        <v>592</v>
      </c>
      <c r="F200" s="43" t="s">
        <v>2560</v>
      </c>
      <c r="G200" s="40"/>
      <c r="H200" s="40"/>
      <c r="I200" s="40"/>
      <c r="J200" s="40"/>
      <c r="K200" s="40"/>
      <c r="L200" s="40"/>
      <c r="M200" s="40"/>
      <c r="N200" s="40"/>
      <c r="O200" s="40">
        <v>10000</v>
      </c>
      <c r="P200" s="40">
        <v>1000</v>
      </c>
      <c r="Q200" s="40" t="s">
        <v>2598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43</v>
      </c>
      <c r="B201" s="40">
        <v>107</v>
      </c>
      <c r="C201" s="40" t="s">
        <v>2479</v>
      </c>
      <c r="D201" s="40" t="s">
        <v>2006</v>
      </c>
      <c r="E201" s="40" t="s">
        <v>592</v>
      </c>
      <c r="F201" s="43" t="s">
        <v>2561</v>
      </c>
      <c r="G201" s="40"/>
      <c r="H201" s="40"/>
      <c r="I201" s="40"/>
      <c r="J201" s="40"/>
      <c r="K201" s="40"/>
      <c r="L201" s="40"/>
      <c r="M201" s="40"/>
      <c r="N201" s="40"/>
      <c r="O201" s="40">
        <v>24000</v>
      </c>
      <c r="P201" s="40">
        <v>1000</v>
      </c>
      <c r="Q201" s="40" t="s">
        <v>2599</v>
      </c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54">
        <v>44</v>
      </c>
      <c r="B202" s="40">
        <v>101</v>
      </c>
      <c r="C202" s="40" t="s">
        <v>2480</v>
      </c>
      <c r="D202" s="40" t="s">
        <v>2516</v>
      </c>
      <c r="E202" s="40" t="s">
        <v>592</v>
      </c>
      <c r="F202" s="43" t="s">
        <v>2562</v>
      </c>
      <c r="G202" s="40"/>
      <c r="H202" s="40"/>
      <c r="I202" s="40"/>
      <c r="J202" s="40"/>
      <c r="K202" s="40"/>
      <c r="L202" s="40"/>
      <c r="M202" s="40"/>
      <c r="N202" s="40"/>
      <c r="O202" s="40">
        <v>15000</v>
      </c>
      <c r="P202" s="40">
        <v>5000</v>
      </c>
      <c r="Q202" s="40" t="s">
        <v>2600</v>
      </c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54">
        <v>45</v>
      </c>
      <c r="B203" s="40">
        <v>91</v>
      </c>
      <c r="C203" s="40" t="s">
        <v>2481</v>
      </c>
      <c r="D203" s="40" t="s">
        <v>2517</v>
      </c>
      <c r="E203" s="40" t="s">
        <v>592</v>
      </c>
      <c r="F203" s="43" t="s">
        <v>2563</v>
      </c>
      <c r="G203" s="40"/>
      <c r="H203" s="40"/>
      <c r="I203" s="40"/>
      <c r="J203" s="40"/>
      <c r="K203" s="40"/>
      <c r="L203" s="40"/>
      <c r="M203" s="40"/>
      <c r="N203" s="40"/>
      <c r="O203" s="40">
        <v>20000</v>
      </c>
      <c r="P203" s="40">
        <v>1000</v>
      </c>
      <c r="Q203" s="40" t="s">
        <v>2601</v>
      </c>
      <c r="R203" s="40">
        <v>4000</v>
      </c>
      <c r="S203" s="40" t="s">
        <v>2617</v>
      </c>
      <c r="T203" s="40">
        <v>5000</v>
      </c>
      <c r="U203" s="40" t="s">
        <v>2619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46</v>
      </c>
      <c r="B204" s="40">
        <v>81</v>
      </c>
      <c r="C204" s="40" t="s">
        <v>2482</v>
      </c>
      <c r="D204" s="40" t="s">
        <v>2175</v>
      </c>
      <c r="E204" s="40" t="s">
        <v>592</v>
      </c>
      <c r="F204" s="43" t="s">
        <v>2564</v>
      </c>
      <c r="G204" s="40"/>
      <c r="H204" s="40"/>
      <c r="I204" s="40"/>
      <c r="J204" s="40"/>
      <c r="K204" s="40"/>
      <c r="L204" s="40"/>
      <c r="M204" s="40"/>
      <c r="N204" s="40"/>
      <c r="O204" s="40">
        <v>20000</v>
      </c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47</v>
      </c>
      <c r="B205" s="40">
        <v>201</v>
      </c>
      <c r="C205" s="40" t="s">
        <v>2483</v>
      </c>
      <c r="D205" s="40" t="s">
        <v>2518</v>
      </c>
      <c r="E205" s="40" t="s">
        <v>592</v>
      </c>
      <c r="F205" s="43" t="s">
        <v>2565</v>
      </c>
      <c r="G205" s="40"/>
      <c r="H205" s="40"/>
      <c r="I205" s="40"/>
      <c r="J205" s="40"/>
      <c r="K205" s="40"/>
      <c r="L205" s="40"/>
      <c r="M205" s="40"/>
      <c r="N205" s="40"/>
      <c r="O205" s="40">
        <v>12000</v>
      </c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48</v>
      </c>
      <c r="B206" s="40">
        <v>96</v>
      </c>
      <c r="C206" s="40" t="s">
        <v>2484</v>
      </c>
      <c r="D206" s="40" t="s">
        <v>2519</v>
      </c>
      <c r="E206" s="40" t="s">
        <v>592</v>
      </c>
      <c r="F206" s="43" t="s">
        <v>2335</v>
      </c>
      <c r="G206" s="40"/>
      <c r="H206" s="40"/>
      <c r="I206" s="40"/>
      <c r="J206" s="40"/>
      <c r="K206" s="40"/>
      <c r="L206" s="40"/>
      <c r="M206" s="40"/>
      <c r="N206" s="40"/>
      <c r="O206" s="40">
        <v>13000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49</v>
      </c>
      <c r="B207" s="40">
        <v>135</v>
      </c>
      <c r="C207" s="40" t="s">
        <v>2485</v>
      </c>
      <c r="D207" s="40" t="s">
        <v>2492</v>
      </c>
      <c r="E207" s="40" t="s">
        <v>592</v>
      </c>
      <c r="F207" s="43"/>
      <c r="G207" s="40"/>
      <c r="H207" s="40"/>
      <c r="I207" s="40"/>
      <c r="J207" s="40"/>
      <c r="K207" s="40"/>
      <c r="L207" s="40"/>
      <c r="M207" s="40"/>
      <c r="N207" s="40"/>
      <c r="O207" s="40">
        <v>20000</v>
      </c>
      <c r="P207" s="40">
        <v>2000</v>
      </c>
      <c r="Q207" s="40" t="s">
        <v>2602</v>
      </c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54">
        <v>50</v>
      </c>
      <c r="B208" s="40">
        <v>115</v>
      </c>
      <c r="C208" s="40" t="s">
        <v>2486</v>
      </c>
      <c r="D208" s="40" t="s">
        <v>2520</v>
      </c>
      <c r="E208" s="40" t="s">
        <v>342</v>
      </c>
      <c r="F208" s="43" t="s">
        <v>2566</v>
      </c>
      <c r="G208" s="40"/>
      <c r="H208" s="40"/>
      <c r="I208" s="40"/>
      <c r="J208" s="40"/>
      <c r="K208" s="40"/>
      <c r="L208" s="40"/>
      <c r="M208" s="40"/>
      <c r="N208" s="40"/>
      <c r="O208" s="40">
        <v>15000</v>
      </c>
      <c r="P208" s="40">
        <v>1000</v>
      </c>
      <c r="Q208" s="40" t="s">
        <v>2603</v>
      </c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51</v>
      </c>
      <c r="B209" s="40">
        <v>112</v>
      </c>
      <c r="C209" s="40" t="s">
        <v>2487</v>
      </c>
      <c r="D209" s="40" t="s">
        <v>2521</v>
      </c>
      <c r="E209" s="40" t="s">
        <v>592</v>
      </c>
      <c r="F209" s="43" t="s">
        <v>2564</v>
      </c>
      <c r="G209" s="40"/>
      <c r="H209" s="40"/>
      <c r="I209" s="40"/>
      <c r="J209" s="40"/>
      <c r="K209" s="40"/>
      <c r="L209" s="40"/>
      <c r="M209" s="40"/>
      <c r="N209" s="40"/>
      <c r="O209" s="40">
        <v>15000</v>
      </c>
      <c r="P209" s="40">
        <v>5000</v>
      </c>
      <c r="Q209" s="40" t="s">
        <v>2604</v>
      </c>
      <c r="R209" s="40">
        <v>5000</v>
      </c>
      <c r="S209" s="40" t="s">
        <v>2618</v>
      </c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54">
        <v>1</v>
      </c>
      <c r="B210" s="40">
        <v>169</v>
      </c>
      <c r="C210" s="40" t="s">
        <v>2003</v>
      </c>
      <c r="D210" s="40" t="s">
        <v>2294</v>
      </c>
      <c r="E210" s="40" t="s">
        <v>431</v>
      </c>
      <c r="F210" s="43" t="s">
        <v>2679</v>
      </c>
      <c r="G210" s="40"/>
      <c r="H210" s="40"/>
      <c r="I210" s="40"/>
      <c r="J210" s="40"/>
      <c r="K210" s="40"/>
      <c r="L210" s="40"/>
      <c r="M210" s="40"/>
      <c r="N210" s="40"/>
      <c r="O210" s="40">
        <v>15000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54">
        <v>2</v>
      </c>
      <c r="B211" s="40">
        <v>170</v>
      </c>
      <c r="C211" s="40" t="s">
        <v>2620</v>
      </c>
      <c r="D211" s="40" t="s">
        <v>2013</v>
      </c>
      <c r="E211" s="40" t="s">
        <v>431</v>
      </c>
      <c r="F211" s="43" t="s">
        <v>2680</v>
      </c>
      <c r="G211" s="40"/>
      <c r="H211" s="40"/>
      <c r="I211" s="40"/>
      <c r="J211" s="40"/>
      <c r="K211" s="40"/>
      <c r="L211" s="40"/>
      <c r="M211" s="40"/>
      <c r="N211" s="40"/>
      <c r="O211" s="40">
        <v>5000</v>
      </c>
      <c r="P211" s="40">
        <v>1000</v>
      </c>
      <c r="Q211" s="40" t="s">
        <v>2718</v>
      </c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54">
        <v>3</v>
      </c>
      <c r="B212" s="40">
        <v>209</v>
      </c>
      <c r="C212" s="40" t="s">
        <v>2621</v>
      </c>
      <c r="D212" s="40" t="s">
        <v>2506</v>
      </c>
      <c r="E212" s="40" t="s">
        <v>431</v>
      </c>
      <c r="F212" s="43" t="s">
        <v>2681</v>
      </c>
      <c r="G212" s="40"/>
      <c r="H212" s="40"/>
      <c r="I212" s="40"/>
      <c r="J212" s="40"/>
      <c r="K212" s="40"/>
      <c r="L212" s="40"/>
      <c r="M212" s="40"/>
      <c r="N212" s="40"/>
      <c r="O212" s="40">
        <v>10000</v>
      </c>
      <c r="P212" s="40">
        <v>1000</v>
      </c>
      <c r="Q212" s="40" t="s">
        <v>2719</v>
      </c>
      <c r="R212" s="40">
        <v>5000</v>
      </c>
      <c r="S212" s="40" t="s">
        <v>2751</v>
      </c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54">
        <v>4</v>
      </c>
      <c r="B213" s="40">
        <v>210</v>
      </c>
      <c r="C213" s="40" t="s">
        <v>2622</v>
      </c>
      <c r="D213" s="40" t="s">
        <v>2651</v>
      </c>
      <c r="E213" s="40" t="s">
        <v>431</v>
      </c>
      <c r="F213" s="43" t="s">
        <v>2682</v>
      </c>
      <c r="G213" s="40"/>
      <c r="H213" s="40"/>
      <c r="I213" s="40"/>
      <c r="J213" s="40"/>
      <c r="K213" s="40"/>
      <c r="L213" s="40"/>
      <c r="M213" s="40"/>
      <c r="N213" s="40"/>
      <c r="O213" s="40">
        <v>17000</v>
      </c>
      <c r="P213" s="40">
        <v>1000</v>
      </c>
      <c r="Q213" s="45" t="s">
        <v>2720</v>
      </c>
      <c r="R213" s="40">
        <v>3000</v>
      </c>
      <c r="S213" s="40" t="s">
        <v>2752</v>
      </c>
      <c r="T213" s="40">
        <v>4000</v>
      </c>
      <c r="U213" s="40" t="s">
        <v>2770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54">
        <v>5</v>
      </c>
      <c r="B214" s="40">
        <v>211</v>
      </c>
      <c r="C214" s="40" t="s">
        <v>2623</v>
      </c>
      <c r="D214" s="40" t="s">
        <v>2652</v>
      </c>
      <c r="E214" s="40" t="s">
        <v>431</v>
      </c>
      <c r="F214" s="43" t="s">
        <v>2683</v>
      </c>
      <c r="G214" s="40"/>
      <c r="H214" s="40"/>
      <c r="I214" s="40"/>
      <c r="J214" s="40"/>
      <c r="K214" s="40"/>
      <c r="L214" s="40"/>
      <c r="M214" s="40"/>
      <c r="N214" s="40"/>
      <c r="O214" s="40">
        <v>20000</v>
      </c>
      <c r="P214" s="40">
        <v>4000</v>
      </c>
      <c r="Q214" s="40" t="s">
        <v>2721</v>
      </c>
      <c r="R214" s="40">
        <v>5000</v>
      </c>
      <c r="S214" s="40" t="s">
        <v>2753</v>
      </c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6</v>
      </c>
      <c r="B215" s="40">
        <v>212</v>
      </c>
      <c r="C215" s="40" t="s">
        <v>2624</v>
      </c>
      <c r="D215" s="40" t="s">
        <v>2653</v>
      </c>
      <c r="E215" s="40" t="s">
        <v>431</v>
      </c>
      <c r="F215" s="43" t="s">
        <v>2684</v>
      </c>
      <c r="G215" s="40"/>
      <c r="H215" s="40"/>
      <c r="I215" s="40"/>
      <c r="J215" s="40"/>
      <c r="K215" s="40"/>
      <c r="L215" s="40"/>
      <c r="M215" s="40"/>
      <c r="N215" s="40"/>
      <c r="O215" s="40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54">
        <v>7</v>
      </c>
      <c r="B216" s="40">
        <v>213</v>
      </c>
      <c r="C216" s="40" t="s">
        <v>2625</v>
      </c>
      <c r="D216" s="40" t="s">
        <v>2654</v>
      </c>
      <c r="E216" s="40" t="s">
        <v>431</v>
      </c>
      <c r="F216" s="43" t="s">
        <v>2685</v>
      </c>
      <c r="G216" s="40"/>
      <c r="H216" s="40"/>
      <c r="I216" s="40"/>
      <c r="J216" s="40"/>
      <c r="K216" s="40"/>
      <c r="L216" s="40"/>
      <c r="M216" s="40"/>
      <c r="N216" s="40"/>
      <c r="O216" s="40">
        <v>15000</v>
      </c>
      <c r="P216" s="40">
        <v>1000</v>
      </c>
      <c r="Q216" s="40" t="s">
        <v>2722</v>
      </c>
      <c r="R216" s="40">
        <v>6000</v>
      </c>
      <c r="S216" s="40" t="s">
        <v>2754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54">
        <v>8</v>
      </c>
      <c r="B217" s="40">
        <v>214</v>
      </c>
      <c r="C217" s="40" t="s">
        <v>2500</v>
      </c>
      <c r="D217" s="40" t="s">
        <v>2283</v>
      </c>
      <c r="E217" s="40" t="s">
        <v>431</v>
      </c>
      <c r="F217" s="43" t="s">
        <v>2686</v>
      </c>
      <c r="G217" s="40"/>
      <c r="H217" s="40"/>
      <c r="I217" s="40"/>
      <c r="J217" s="40"/>
      <c r="K217" s="40"/>
      <c r="L217" s="40"/>
      <c r="M217" s="40"/>
      <c r="N217" s="40"/>
      <c r="O217" s="40">
        <v>17000</v>
      </c>
      <c r="P217" s="40">
        <v>1000</v>
      </c>
      <c r="Q217" s="40" t="s">
        <v>2723</v>
      </c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9</v>
      </c>
      <c r="B218" s="40">
        <v>215</v>
      </c>
      <c r="C218" s="40" t="s">
        <v>2626</v>
      </c>
      <c r="D218" s="40" t="s">
        <v>2655</v>
      </c>
      <c r="E218" s="40" t="s">
        <v>431</v>
      </c>
      <c r="F218" s="43" t="s">
        <v>2687</v>
      </c>
      <c r="G218" s="40"/>
      <c r="H218" s="40"/>
      <c r="I218" s="40"/>
      <c r="J218" s="40"/>
      <c r="K218" s="40"/>
      <c r="L218" s="40"/>
      <c r="M218" s="40"/>
      <c r="N218" s="40"/>
      <c r="O218" s="40">
        <v>13000</v>
      </c>
      <c r="P218" s="40">
        <v>3000</v>
      </c>
      <c r="Q218" s="40" t="s">
        <v>2724</v>
      </c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10</v>
      </c>
      <c r="B219" s="40">
        <v>216</v>
      </c>
      <c r="C219" s="40" t="s">
        <v>2627</v>
      </c>
      <c r="D219" s="40" t="s">
        <v>1932</v>
      </c>
      <c r="E219" s="40" t="s">
        <v>431</v>
      </c>
      <c r="F219" s="43" t="s">
        <v>2688</v>
      </c>
      <c r="G219" s="40"/>
      <c r="H219" s="40"/>
      <c r="I219" s="40"/>
      <c r="J219" s="40"/>
      <c r="K219" s="40"/>
      <c r="L219" s="40"/>
      <c r="M219" s="40"/>
      <c r="N219" s="40"/>
      <c r="O219" s="40">
        <v>20000</v>
      </c>
      <c r="P219" s="40">
        <v>5000</v>
      </c>
      <c r="Q219" s="40" t="s">
        <v>2725</v>
      </c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54">
        <v>11</v>
      </c>
      <c r="B220" s="40">
        <v>217</v>
      </c>
      <c r="C220" s="40" t="s">
        <v>2628</v>
      </c>
      <c r="D220" s="40" t="s">
        <v>2656</v>
      </c>
      <c r="E220" s="40" t="s">
        <v>431</v>
      </c>
      <c r="F220" s="43" t="s">
        <v>2689</v>
      </c>
      <c r="G220" s="40"/>
      <c r="H220" s="40"/>
      <c r="I220" s="40"/>
      <c r="J220" s="40"/>
      <c r="K220" s="40"/>
      <c r="L220" s="40"/>
      <c r="M220" s="40"/>
      <c r="N220" s="40"/>
      <c r="O220" s="40">
        <v>5000</v>
      </c>
      <c r="P220" s="40">
        <v>1000</v>
      </c>
      <c r="Q220" s="40" t="s">
        <v>2726</v>
      </c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54">
        <v>12</v>
      </c>
      <c r="B221" s="40">
        <v>218</v>
      </c>
      <c r="C221" s="40" t="s">
        <v>2629</v>
      </c>
      <c r="D221" s="40" t="s">
        <v>2459</v>
      </c>
      <c r="E221" s="40" t="s">
        <v>431</v>
      </c>
      <c r="F221" s="43" t="s">
        <v>2690</v>
      </c>
      <c r="G221" s="40"/>
      <c r="H221" s="40"/>
      <c r="I221" s="40"/>
      <c r="J221" s="40"/>
      <c r="K221" s="40"/>
      <c r="L221" s="40"/>
      <c r="M221" s="40"/>
      <c r="N221" s="40"/>
      <c r="O221" s="40">
        <v>15000</v>
      </c>
      <c r="P221" s="40">
        <v>1000</v>
      </c>
      <c r="Q221" s="40" t="s">
        <v>2727</v>
      </c>
      <c r="R221" s="40">
        <v>5000</v>
      </c>
      <c r="S221" s="40" t="s">
        <v>2755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54">
        <v>13</v>
      </c>
      <c r="B222" s="40">
        <v>219</v>
      </c>
      <c r="C222" s="40" t="s">
        <v>2630</v>
      </c>
      <c r="D222" s="40" t="s">
        <v>2657</v>
      </c>
      <c r="E222" s="40" t="s">
        <v>431</v>
      </c>
      <c r="F222" s="43" t="s">
        <v>2691</v>
      </c>
      <c r="G222" s="40"/>
      <c r="H222" s="40"/>
      <c r="I222" s="40"/>
      <c r="J222" s="40"/>
      <c r="K222" s="40"/>
      <c r="L222" s="40"/>
      <c r="M222" s="40"/>
      <c r="N222" s="40"/>
      <c r="O222" s="40">
        <v>2000</v>
      </c>
      <c r="P222" s="40">
        <v>1000</v>
      </c>
      <c r="Q222" s="40" t="s">
        <v>2728</v>
      </c>
      <c r="R222" s="40">
        <v>1000</v>
      </c>
      <c r="S222" s="40" t="s">
        <v>2756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54">
        <v>14</v>
      </c>
      <c r="B223" s="40">
        <v>219</v>
      </c>
      <c r="C223" s="40" t="s">
        <v>2631</v>
      </c>
      <c r="D223" s="40" t="s">
        <v>2658</v>
      </c>
      <c r="E223" s="40" t="s">
        <v>431</v>
      </c>
      <c r="F223" s="43" t="s">
        <v>2692</v>
      </c>
      <c r="G223" s="40"/>
      <c r="H223" s="40"/>
      <c r="I223" s="40"/>
      <c r="J223" s="40"/>
      <c r="K223" s="40"/>
      <c r="L223" s="40"/>
      <c r="M223" s="40"/>
      <c r="N223" s="40"/>
      <c r="O223" s="40">
        <v>5000</v>
      </c>
      <c r="P223" s="40">
        <v>1000</v>
      </c>
      <c r="Q223" s="40" t="s">
        <v>2729</v>
      </c>
      <c r="R223" s="40">
        <v>3000</v>
      </c>
      <c r="S223" s="40" t="s">
        <v>2757</v>
      </c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54">
        <v>15</v>
      </c>
      <c r="B224" s="40">
        <v>220</v>
      </c>
      <c r="C224" s="40" t="s">
        <v>1938</v>
      </c>
      <c r="D224" s="40" t="s">
        <v>2659</v>
      </c>
      <c r="E224" s="40" t="s">
        <v>431</v>
      </c>
      <c r="F224" s="43" t="s">
        <v>2693</v>
      </c>
      <c r="G224" s="40"/>
      <c r="H224" s="40"/>
      <c r="I224" s="40"/>
      <c r="J224" s="40"/>
      <c r="K224" s="40"/>
      <c r="L224" s="40"/>
      <c r="M224" s="40"/>
      <c r="N224" s="40"/>
      <c r="O224" s="40">
        <v>5000</v>
      </c>
      <c r="P224" s="40">
        <v>1000</v>
      </c>
      <c r="Q224" s="40" t="s">
        <v>2730</v>
      </c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54">
        <v>16</v>
      </c>
      <c r="B225" s="40">
        <v>221</v>
      </c>
      <c r="C225" s="40" t="s">
        <v>2632</v>
      </c>
      <c r="D225" s="40" t="s">
        <v>2660</v>
      </c>
      <c r="E225" s="40" t="s">
        <v>431</v>
      </c>
      <c r="F225" s="43" t="s">
        <v>2694</v>
      </c>
      <c r="G225" s="40"/>
      <c r="H225" s="40"/>
      <c r="I225" s="40"/>
      <c r="J225" s="40"/>
      <c r="K225" s="40"/>
      <c r="L225" s="40"/>
      <c r="M225" s="40"/>
      <c r="N225" s="40"/>
      <c r="O225" s="40">
        <v>5000</v>
      </c>
      <c r="P225" s="40">
        <v>1000</v>
      </c>
      <c r="Q225" s="40" t="s">
        <v>2731</v>
      </c>
      <c r="R225" s="40">
        <v>4000</v>
      </c>
      <c r="S225" s="40" t="s">
        <v>2758</v>
      </c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54">
        <v>17</v>
      </c>
      <c r="B226" s="40">
        <v>222</v>
      </c>
      <c r="C226" s="40" t="s">
        <v>2633</v>
      </c>
      <c r="D226" s="40" t="s">
        <v>2661</v>
      </c>
      <c r="E226" s="40" t="s">
        <v>431</v>
      </c>
      <c r="F226" s="43" t="s">
        <v>2695</v>
      </c>
      <c r="G226" s="40"/>
      <c r="H226" s="40"/>
      <c r="I226" s="40"/>
      <c r="J226" s="40"/>
      <c r="K226" s="40"/>
      <c r="L226" s="40"/>
      <c r="M226" s="40"/>
      <c r="N226" s="40"/>
      <c r="O226" s="40">
        <v>15000</v>
      </c>
      <c r="P226" s="40"/>
      <c r="Q226" s="40" t="s">
        <v>2732</v>
      </c>
      <c r="R226" s="40">
        <v>5000</v>
      </c>
      <c r="S226" s="40" t="s">
        <v>2759</v>
      </c>
      <c r="T226" s="40">
        <v>3000</v>
      </c>
      <c r="U226" s="40" t="s">
        <v>2771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54">
        <v>18</v>
      </c>
      <c r="B227" s="40">
        <v>223</v>
      </c>
      <c r="C227" s="40" t="s">
        <v>2634</v>
      </c>
      <c r="D227" s="40" t="s">
        <v>1964</v>
      </c>
      <c r="E227" s="40" t="s">
        <v>431</v>
      </c>
      <c r="F227" s="43" t="s">
        <v>2696</v>
      </c>
      <c r="G227" s="40"/>
      <c r="H227" s="40"/>
      <c r="I227" s="40"/>
      <c r="J227" s="40"/>
      <c r="K227" s="40"/>
      <c r="L227" s="40"/>
      <c r="M227" s="40"/>
      <c r="N227" s="40"/>
      <c r="O227" s="40">
        <v>8000</v>
      </c>
      <c r="P227" s="40">
        <v>1000</v>
      </c>
      <c r="Q227" s="40" t="s">
        <v>2733</v>
      </c>
      <c r="R227" s="40">
        <v>4000</v>
      </c>
      <c r="S227" s="40" t="s">
        <v>2760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54">
        <v>19</v>
      </c>
      <c r="B228" s="40">
        <v>224</v>
      </c>
      <c r="C228" s="40" t="s">
        <v>2635</v>
      </c>
      <c r="D228" s="40" t="s">
        <v>2007</v>
      </c>
      <c r="E228" s="40" t="s">
        <v>431</v>
      </c>
      <c r="F228" s="43" t="s">
        <v>2697</v>
      </c>
      <c r="G228" s="40"/>
      <c r="H228" s="40"/>
      <c r="I228" s="40"/>
      <c r="J228" s="40"/>
      <c r="K228" s="40"/>
      <c r="L228" s="40"/>
      <c r="M228" s="40"/>
      <c r="N228" s="40"/>
      <c r="O228" s="40">
        <v>17000</v>
      </c>
      <c r="P228" s="40">
        <v>1000</v>
      </c>
      <c r="Q228" s="40" t="s">
        <v>2734</v>
      </c>
      <c r="R228" s="40">
        <v>6000</v>
      </c>
      <c r="S228" s="40" t="s">
        <v>2761</v>
      </c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54">
        <v>20</v>
      </c>
      <c r="B229" s="40">
        <v>225</v>
      </c>
      <c r="C229" s="40" t="s">
        <v>2636</v>
      </c>
      <c r="D229" s="40" t="s">
        <v>2070</v>
      </c>
      <c r="E229" s="40" t="s">
        <v>431</v>
      </c>
      <c r="F229" s="43" t="s">
        <v>2698</v>
      </c>
      <c r="G229" s="40"/>
      <c r="H229" s="40"/>
      <c r="I229" s="40"/>
      <c r="J229" s="40"/>
      <c r="K229" s="40"/>
      <c r="L229" s="40"/>
      <c r="M229" s="40"/>
      <c r="N229" s="40"/>
      <c r="O229" s="40">
        <v>15000</v>
      </c>
      <c r="P229" s="40">
        <v>1000</v>
      </c>
      <c r="Q229" s="40" t="s">
        <v>2735</v>
      </c>
      <c r="R229" s="40">
        <v>4000</v>
      </c>
      <c r="S229" s="40" t="s">
        <v>2762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54">
        <v>21</v>
      </c>
      <c r="B230" s="40">
        <v>226</v>
      </c>
      <c r="C230" s="40" t="s">
        <v>2637</v>
      </c>
      <c r="D230" s="40" t="s">
        <v>2662</v>
      </c>
      <c r="E230" s="40" t="s">
        <v>431</v>
      </c>
      <c r="F230" s="43" t="s">
        <v>2699</v>
      </c>
      <c r="G230" s="40"/>
      <c r="H230" s="40"/>
      <c r="I230" s="40"/>
      <c r="J230" s="40"/>
      <c r="K230" s="40"/>
      <c r="L230" s="40"/>
      <c r="M230" s="40"/>
      <c r="N230" s="40"/>
      <c r="O230" s="40">
        <v>17000</v>
      </c>
      <c r="P230" s="40">
        <v>1000</v>
      </c>
      <c r="Q230" s="40" t="s">
        <v>2736</v>
      </c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54">
        <v>22</v>
      </c>
      <c r="B231" s="40">
        <v>227</v>
      </c>
      <c r="C231" s="40" t="s">
        <v>2638</v>
      </c>
      <c r="D231" s="40" t="s">
        <v>2663</v>
      </c>
      <c r="E231" s="40" t="s">
        <v>431</v>
      </c>
      <c r="F231" s="43" t="s">
        <v>2700</v>
      </c>
      <c r="G231" s="40"/>
      <c r="H231" s="40"/>
      <c r="I231" s="40"/>
      <c r="J231" s="40"/>
      <c r="K231" s="40"/>
      <c r="L231" s="40"/>
      <c r="M231" s="40"/>
      <c r="N231" s="40"/>
      <c r="O231" s="40">
        <v>17500</v>
      </c>
      <c r="P231" s="40">
        <v>1000</v>
      </c>
      <c r="Q231" s="40" t="s">
        <v>2737</v>
      </c>
      <c r="R231" s="40">
        <v>6000</v>
      </c>
      <c r="S231" s="40" t="s">
        <v>2763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54">
        <v>23</v>
      </c>
      <c r="B232" s="40">
        <v>228</v>
      </c>
      <c r="C232" s="40" t="s">
        <v>2639</v>
      </c>
      <c r="D232" s="40" t="s">
        <v>2664</v>
      </c>
      <c r="E232" s="40" t="s">
        <v>431</v>
      </c>
      <c r="F232" s="43" t="s">
        <v>2701</v>
      </c>
      <c r="G232" s="40"/>
      <c r="H232" s="40"/>
      <c r="I232" s="40"/>
      <c r="J232" s="40"/>
      <c r="K232" s="40"/>
      <c r="L232" s="40"/>
      <c r="M232" s="40"/>
      <c r="N232" s="40"/>
      <c r="O232" s="40">
        <v>15000</v>
      </c>
      <c r="P232" s="40">
        <v>2000</v>
      </c>
      <c r="Q232" s="40" t="s">
        <v>2738</v>
      </c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54">
        <v>24</v>
      </c>
      <c r="B233" s="40">
        <v>230</v>
      </c>
      <c r="C233" s="40" t="s">
        <v>2640</v>
      </c>
      <c r="D233" s="40" t="s">
        <v>2665</v>
      </c>
      <c r="E233" s="40" t="s">
        <v>431</v>
      </c>
      <c r="F233" s="43" t="s">
        <v>2702</v>
      </c>
      <c r="G233" s="40"/>
      <c r="H233" s="40"/>
      <c r="I233" s="40"/>
      <c r="J233" s="40"/>
      <c r="K233" s="40"/>
      <c r="L233" s="40"/>
      <c r="M233" s="40"/>
      <c r="N233" s="40"/>
      <c r="O233" s="40">
        <v>12000</v>
      </c>
      <c r="P233" s="40">
        <v>1000</v>
      </c>
      <c r="Q233" s="40" t="s">
        <v>2739</v>
      </c>
      <c r="R233" s="40">
        <v>3000</v>
      </c>
      <c r="S233" s="40" t="s">
        <v>2764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54">
        <v>25</v>
      </c>
      <c r="B234" s="40">
        <v>231</v>
      </c>
      <c r="C234" s="40" t="s">
        <v>2073</v>
      </c>
      <c r="D234" s="40" t="s">
        <v>2666</v>
      </c>
      <c r="E234" s="40" t="s">
        <v>431</v>
      </c>
      <c r="F234" s="43" t="s">
        <v>2703</v>
      </c>
      <c r="G234" s="40"/>
      <c r="H234" s="40"/>
      <c r="I234" s="40"/>
      <c r="J234" s="40"/>
      <c r="K234" s="40"/>
      <c r="L234" s="40"/>
      <c r="M234" s="40"/>
      <c r="N234" s="40"/>
      <c r="O234" s="40">
        <v>5000</v>
      </c>
      <c r="P234" s="40">
        <v>1200</v>
      </c>
      <c r="Q234" s="40" t="s">
        <v>2740</v>
      </c>
      <c r="R234" s="40">
        <v>1600</v>
      </c>
      <c r="S234" s="40" t="s">
        <v>2765</v>
      </c>
      <c r="T234" s="40">
        <v>2200</v>
      </c>
      <c r="U234" s="40" t="s">
        <v>2772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54">
        <v>26</v>
      </c>
      <c r="B235" s="40">
        <v>232</v>
      </c>
      <c r="C235" s="40" t="s">
        <v>2168</v>
      </c>
      <c r="D235" s="40" t="s">
        <v>2667</v>
      </c>
      <c r="E235" s="40" t="s">
        <v>431</v>
      </c>
      <c r="F235" s="43" t="s">
        <v>2704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3000</v>
      </c>
      <c r="Q235" s="40" t="s">
        <v>2741</v>
      </c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54">
        <v>27</v>
      </c>
      <c r="B236" s="40">
        <v>233</v>
      </c>
      <c r="C236" s="40" t="s">
        <v>2641</v>
      </c>
      <c r="D236" s="40" t="s">
        <v>2173</v>
      </c>
      <c r="E236" s="40" t="s">
        <v>431</v>
      </c>
      <c r="F236" s="43" t="s">
        <v>2705</v>
      </c>
      <c r="G236" s="40"/>
      <c r="H236" s="40"/>
      <c r="I236" s="40"/>
      <c r="J236" s="40"/>
      <c r="K236" s="40"/>
      <c r="L236" s="40"/>
      <c r="M236" s="40"/>
      <c r="N236" s="40"/>
      <c r="O236" s="40">
        <v>20000</v>
      </c>
      <c r="P236" s="40">
        <v>1000</v>
      </c>
      <c r="Q236" s="40" t="s">
        <v>2742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54">
        <v>28</v>
      </c>
      <c r="B237" s="40">
        <v>234</v>
      </c>
      <c r="C237" s="40" t="s">
        <v>2642</v>
      </c>
      <c r="D237" s="40" t="s">
        <v>2668</v>
      </c>
      <c r="E237" s="40" t="s">
        <v>431</v>
      </c>
      <c r="F237" s="43" t="s">
        <v>2706</v>
      </c>
      <c r="G237" s="40"/>
      <c r="H237" s="40"/>
      <c r="I237" s="40"/>
      <c r="J237" s="40"/>
      <c r="K237" s="40"/>
      <c r="L237" s="40"/>
      <c r="M237" s="40"/>
      <c r="N237" s="40"/>
      <c r="O237" s="40">
        <v>8000</v>
      </c>
      <c r="P237" s="40">
        <v>1000</v>
      </c>
      <c r="Q237" s="40" t="s">
        <v>2743</v>
      </c>
      <c r="R237" s="40">
        <v>2000</v>
      </c>
      <c r="S237" s="40" t="s">
        <v>2766</v>
      </c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54">
        <v>29</v>
      </c>
      <c r="B238" s="40">
        <v>235</v>
      </c>
      <c r="C238" s="40" t="s">
        <v>2076</v>
      </c>
      <c r="D238" s="40" t="s">
        <v>2669</v>
      </c>
      <c r="E238" s="40" t="s">
        <v>431</v>
      </c>
      <c r="F238" s="43" t="s">
        <v>2707</v>
      </c>
      <c r="G238" s="40"/>
      <c r="H238" s="40"/>
      <c r="I238" s="40"/>
      <c r="J238" s="40"/>
      <c r="K238" s="40"/>
      <c r="L238" s="40"/>
      <c r="M238" s="40"/>
      <c r="N238" s="40"/>
      <c r="O238" s="40">
        <v>15000</v>
      </c>
      <c r="P238" s="40">
        <v>1000</v>
      </c>
      <c r="Q238" s="40" t="s">
        <v>2744</v>
      </c>
      <c r="R238" s="40">
        <v>3000</v>
      </c>
      <c r="S238" s="40" t="s">
        <v>2767</v>
      </c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54">
        <v>30</v>
      </c>
      <c r="B239" s="40">
        <v>236</v>
      </c>
      <c r="C239" s="40" t="s">
        <v>2643</v>
      </c>
      <c r="D239" s="40" t="s">
        <v>2670</v>
      </c>
      <c r="E239" s="40" t="s">
        <v>431</v>
      </c>
      <c r="F239" s="43" t="s">
        <v>2708</v>
      </c>
      <c r="G239" s="40"/>
      <c r="H239" s="40"/>
      <c r="I239" s="40"/>
      <c r="J239" s="40"/>
      <c r="K239" s="40"/>
      <c r="L239" s="40"/>
      <c r="M239" s="40"/>
      <c r="N239" s="40"/>
      <c r="O239" s="40">
        <v>10000</v>
      </c>
      <c r="P239" s="40">
        <v>1000</v>
      </c>
      <c r="Q239" s="40" t="s">
        <v>2745</v>
      </c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54">
        <v>31</v>
      </c>
      <c r="B240" s="40">
        <v>237</v>
      </c>
      <c r="C240" s="40" t="s">
        <v>2644</v>
      </c>
      <c r="D240" s="40" t="s">
        <v>2671</v>
      </c>
      <c r="E240" s="40" t="s">
        <v>431</v>
      </c>
      <c r="F240" s="43" t="s">
        <v>2709</v>
      </c>
      <c r="G240" s="40"/>
      <c r="H240" s="40"/>
      <c r="I240" s="40"/>
      <c r="J240" s="40"/>
      <c r="K240" s="40"/>
      <c r="L240" s="40"/>
      <c r="M240" s="40"/>
      <c r="N240" s="40"/>
      <c r="O240" s="40">
        <v>12000</v>
      </c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32</v>
      </c>
      <c r="B241" s="40">
        <v>238</v>
      </c>
      <c r="C241" s="40" t="s">
        <v>2629</v>
      </c>
      <c r="D241" s="40" t="s">
        <v>2012</v>
      </c>
      <c r="E241" s="40" t="s">
        <v>431</v>
      </c>
      <c r="F241" s="43" t="s">
        <v>2710</v>
      </c>
      <c r="G241" s="40"/>
      <c r="H241" s="40"/>
      <c r="I241" s="40"/>
      <c r="J241" s="40"/>
      <c r="K241" s="40"/>
      <c r="L241" s="40"/>
      <c r="M241" s="40"/>
      <c r="N241" s="40"/>
      <c r="O241" s="40">
        <v>20000</v>
      </c>
      <c r="P241" s="40">
        <v>3000</v>
      </c>
      <c r="Q241" s="40" t="s">
        <v>2746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54">
        <v>33</v>
      </c>
      <c r="B242" s="40">
        <v>239</v>
      </c>
      <c r="C242" s="40" t="s">
        <v>2620</v>
      </c>
      <c r="D242" s="40" t="s">
        <v>1885</v>
      </c>
      <c r="E242" s="40" t="s">
        <v>431</v>
      </c>
      <c r="F242" s="43" t="s">
        <v>2711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54">
        <v>34</v>
      </c>
      <c r="B243" s="40">
        <v>240</v>
      </c>
      <c r="C243" s="40" t="s">
        <v>2645</v>
      </c>
      <c r="D243" s="40" t="s">
        <v>2672</v>
      </c>
      <c r="E243" s="40" t="s">
        <v>431</v>
      </c>
      <c r="F243" s="43" t="s">
        <v>2712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35</v>
      </c>
      <c r="B244" s="40">
        <v>241</v>
      </c>
      <c r="C244" s="40" t="s">
        <v>2646</v>
      </c>
      <c r="D244" s="40" t="s">
        <v>2673</v>
      </c>
      <c r="E244" s="40" t="s">
        <v>431</v>
      </c>
      <c r="F244" s="43" t="s">
        <v>2713</v>
      </c>
      <c r="G244" s="40"/>
      <c r="H244" s="40"/>
      <c r="I244" s="40"/>
      <c r="J244" s="40"/>
      <c r="K244" s="40"/>
      <c r="L244" s="40"/>
      <c r="M244" s="40"/>
      <c r="N244" s="40"/>
      <c r="O244" s="40">
        <v>20000</v>
      </c>
      <c r="P244" s="40">
        <v>1000</v>
      </c>
      <c r="Q244" s="40" t="s">
        <v>2747</v>
      </c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54">
        <v>36</v>
      </c>
      <c r="B245" s="40">
        <v>242</v>
      </c>
      <c r="C245" s="40" t="s">
        <v>2647</v>
      </c>
      <c r="D245" s="40" t="s">
        <v>2674</v>
      </c>
      <c r="E245" s="40" t="s">
        <v>431</v>
      </c>
      <c r="F245" s="43" t="s">
        <v>2714</v>
      </c>
      <c r="G245" s="40"/>
      <c r="H245" s="40"/>
      <c r="I245" s="40"/>
      <c r="J245" s="40"/>
      <c r="K245" s="40"/>
      <c r="L245" s="40"/>
      <c r="M245" s="40"/>
      <c r="N245" s="40"/>
      <c r="O245" s="40">
        <v>150000</v>
      </c>
      <c r="P245" s="40">
        <v>1000</v>
      </c>
      <c r="Q245" s="40" t="s">
        <v>2748</v>
      </c>
      <c r="R245" s="40">
        <v>6000</v>
      </c>
      <c r="S245" s="40" t="s">
        <v>2768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54">
        <v>37</v>
      </c>
      <c r="B246" s="40">
        <v>337</v>
      </c>
      <c r="C246" s="40" t="s">
        <v>2647</v>
      </c>
      <c r="D246" s="40" t="s">
        <v>2675</v>
      </c>
      <c r="E246" s="40" t="s">
        <v>431</v>
      </c>
      <c r="F246" s="43" t="s">
        <v>2715</v>
      </c>
      <c r="G246" s="40"/>
      <c r="H246" s="40"/>
      <c r="I246" s="40"/>
      <c r="J246" s="40"/>
      <c r="K246" s="40"/>
      <c r="L246" s="40"/>
      <c r="M246" s="40"/>
      <c r="N246" s="40"/>
      <c r="O246" s="40">
        <v>20000</v>
      </c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54">
        <v>38</v>
      </c>
      <c r="B247" s="40">
        <v>338</v>
      </c>
      <c r="C247" s="40" t="s">
        <v>2648</v>
      </c>
      <c r="D247" s="40" t="s">
        <v>2676</v>
      </c>
      <c r="E247" s="40" t="s">
        <v>431</v>
      </c>
      <c r="F247" s="43" t="s">
        <v>2716</v>
      </c>
      <c r="G247" s="40"/>
      <c r="H247" s="40"/>
      <c r="I247" s="40"/>
      <c r="J247" s="40"/>
      <c r="K247" s="40"/>
      <c r="L247" s="40"/>
      <c r="M247" s="40"/>
      <c r="N247" s="40"/>
      <c r="O247" s="40">
        <v>17000</v>
      </c>
      <c r="P247" s="40">
        <v>800</v>
      </c>
      <c r="Q247" s="40" t="s">
        <v>2749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54">
        <v>39</v>
      </c>
      <c r="B248" s="40">
        <v>370</v>
      </c>
      <c r="C248" s="40" t="s">
        <v>2649</v>
      </c>
      <c r="D248" s="40" t="s">
        <v>2677</v>
      </c>
      <c r="E248" s="40" t="s">
        <v>431</v>
      </c>
      <c r="F248" s="43" t="s">
        <v>2679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54">
        <v>40</v>
      </c>
      <c r="B249" s="40">
        <v>386</v>
      </c>
      <c r="C249" s="40" t="s">
        <v>2650</v>
      </c>
      <c r="D249" s="40" t="s">
        <v>2678</v>
      </c>
      <c r="E249" s="40" t="s">
        <v>431</v>
      </c>
      <c r="F249" s="43" t="s">
        <v>2717</v>
      </c>
      <c r="G249" s="40"/>
      <c r="H249" s="40"/>
      <c r="I249" s="40"/>
      <c r="J249" s="40"/>
      <c r="K249" s="40"/>
      <c r="L249" s="40"/>
      <c r="M249" s="40"/>
      <c r="N249" s="40"/>
      <c r="O249" s="40">
        <v>17000</v>
      </c>
      <c r="P249" s="40">
        <v>1500</v>
      </c>
      <c r="Q249" s="40" t="s">
        <v>2750</v>
      </c>
      <c r="R249" s="40">
        <v>5500</v>
      </c>
      <c r="S249" s="40" t="s">
        <v>2769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54">
        <v>1</v>
      </c>
      <c r="B250" s="40">
        <v>168</v>
      </c>
      <c r="C250" s="40" t="s">
        <v>2774</v>
      </c>
      <c r="D250" s="40" t="s">
        <v>2775</v>
      </c>
      <c r="E250" s="40" t="s">
        <v>496</v>
      </c>
      <c r="F250" s="43" t="s">
        <v>2843</v>
      </c>
      <c r="G250" s="40"/>
      <c r="H250" s="40"/>
      <c r="I250" s="40"/>
      <c r="J250" s="40"/>
      <c r="K250" s="40"/>
      <c r="L250" s="40"/>
      <c r="M250" s="40"/>
      <c r="N250" s="40"/>
      <c r="O250" s="40">
        <v>25000</v>
      </c>
      <c r="P250" s="40">
        <v>1500</v>
      </c>
      <c r="Q250" s="40" t="s">
        <v>2887</v>
      </c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54">
        <v>2</v>
      </c>
      <c r="B251" s="40">
        <v>244</v>
      </c>
      <c r="C251" s="40" t="s">
        <v>2629</v>
      </c>
      <c r="D251" s="40" t="s">
        <v>2776</v>
      </c>
      <c r="E251" s="40" t="s">
        <v>496</v>
      </c>
      <c r="F251" s="43" t="s">
        <v>2844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2000</v>
      </c>
      <c r="Q251" s="40" t="s">
        <v>2888</v>
      </c>
      <c r="R251" s="40">
        <v>3000</v>
      </c>
      <c r="S251" s="40" t="s">
        <v>3059</v>
      </c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54">
        <v>3</v>
      </c>
      <c r="B252" s="40">
        <v>185</v>
      </c>
      <c r="C252" s="40" t="s">
        <v>2777</v>
      </c>
      <c r="D252" s="40" t="s">
        <v>2165</v>
      </c>
      <c r="E252" s="40" t="s">
        <v>496</v>
      </c>
      <c r="F252" s="43" t="s">
        <v>2845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P252" s="40">
        <v>1000</v>
      </c>
      <c r="Q252" s="40" t="s">
        <v>2889</v>
      </c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 s="54">
        <v>4</v>
      </c>
      <c r="B253" s="40">
        <v>368</v>
      </c>
      <c r="C253" s="40" t="s">
        <v>2778</v>
      </c>
      <c r="D253" s="40" t="s">
        <v>2779</v>
      </c>
      <c r="E253" s="40" t="s">
        <v>496</v>
      </c>
      <c r="F253" s="43" t="s">
        <v>2846</v>
      </c>
      <c r="G253" s="40"/>
      <c r="H253" s="40"/>
      <c r="I253" s="40"/>
      <c r="J253" s="40"/>
      <c r="K253" s="40"/>
      <c r="L253" s="40"/>
      <c r="M253" s="40"/>
      <c r="N253" s="40"/>
      <c r="O253" s="40">
        <v>18000</v>
      </c>
      <c r="P253" s="40">
        <v>1000</v>
      </c>
      <c r="Q253" s="40" t="s">
        <v>2890</v>
      </c>
      <c r="R253" s="40">
        <v>6000</v>
      </c>
      <c r="S253" s="40" t="s">
        <v>3058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54">
        <v>5</v>
      </c>
      <c r="B254" s="40">
        <v>187</v>
      </c>
      <c r="C254" s="40" t="s">
        <v>2780</v>
      </c>
      <c r="D254" s="40" t="s">
        <v>2781</v>
      </c>
      <c r="E254" s="40" t="s">
        <v>496</v>
      </c>
      <c r="F254" s="43" t="s">
        <v>2847</v>
      </c>
      <c r="G254" s="40"/>
      <c r="H254" s="40"/>
      <c r="I254" s="40"/>
      <c r="J254" s="40"/>
      <c r="K254" s="40"/>
      <c r="L254" s="40"/>
      <c r="M254" s="40"/>
      <c r="N254" s="40"/>
      <c r="O254" s="40">
        <v>20000</v>
      </c>
      <c r="P254" s="40">
        <v>1000</v>
      </c>
      <c r="Q254" s="40" t="s">
        <v>2891</v>
      </c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54">
        <v>6</v>
      </c>
      <c r="B255" s="40">
        <v>246</v>
      </c>
      <c r="C255" s="40" t="s">
        <v>2782</v>
      </c>
      <c r="D255" s="40" t="s">
        <v>2783</v>
      </c>
      <c r="E255" s="40" t="s">
        <v>496</v>
      </c>
      <c r="F255" s="43" t="s">
        <v>2848</v>
      </c>
      <c r="G255" s="40"/>
      <c r="H255" s="40"/>
      <c r="I255" s="40"/>
      <c r="J255" s="40"/>
      <c r="K255" s="40"/>
      <c r="L255" s="40"/>
      <c r="M255" s="40"/>
      <c r="N255" s="40"/>
      <c r="O255" s="40" t="s">
        <v>1842</v>
      </c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54">
        <v>7</v>
      </c>
      <c r="B256" s="40">
        <v>188</v>
      </c>
      <c r="C256" s="40" t="s">
        <v>2784</v>
      </c>
      <c r="D256" s="40" t="s">
        <v>2822</v>
      </c>
      <c r="E256" s="40" t="s">
        <v>496</v>
      </c>
      <c r="F256" s="43" t="s">
        <v>2849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1400</v>
      </c>
      <c r="Q256" s="40" t="s">
        <v>2892</v>
      </c>
      <c r="R256" s="40">
        <v>2000</v>
      </c>
      <c r="S256" s="40" t="s">
        <v>3057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54">
        <v>8</v>
      </c>
      <c r="B257" s="40">
        <v>247</v>
      </c>
      <c r="C257" s="40" t="s">
        <v>2785</v>
      </c>
      <c r="D257" s="40" t="s">
        <v>2823</v>
      </c>
      <c r="E257" s="40" t="s">
        <v>496</v>
      </c>
      <c r="F257" s="43" t="s">
        <v>2850</v>
      </c>
      <c r="G257" s="40"/>
      <c r="H257" s="40"/>
      <c r="I257" s="40"/>
      <c r="J257" s="40"/>
      <c r="K257" s="40"/>
      <c r="L257" s="40"/>
      <c r="M257" s="40"/>
      <c r="N257" s="40"/>
      <c r="O257" s="40">
        <v>5000</v>
      </c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54">
        <v>9</v>
      </c>
      <c r="B258" s="40">
        <v>366</v>
      </c>
      <c r="C258" s="40" t="s">
        <v>2786</v>
      </c>
      <c r="D258" s="40" t="s">
        <v>2824</v>
      </c>
      <c r="E258" s="40" t="s">
        <v>496</v>
      </c>
      <c r="F258" s="43" t="s">
        <v>2851</v>
      </c>
      <c r="G258" s="40"/>
      <c r="H258" s="40"/>
      <c r="I258" s="40"/>
      <c r="J258" s="40"/>
      <c r="K258" s="40"/>
      <c r="L258" s="40"/>
      <c r="M258" s="40"/>
      <c r="N258" s="40"/>
      <c r="O258" s="40">
        <v>18000</v>
      </c>
      <c r="P258" s="40">
        <v>1000</v>
      </c>
      <c r="Q258" s="40" t="s">
        <v>2893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10</v>
      </c>
      <c r="B259" s="40">
        <v>248</v>
      </c>
      <c r="C259" s="40" t="s">
        <v>2787</v>
      </c>
      <c r="D259" s="40" t="s">
        <v>2825</v>
      </c>
      <c r="E259" s="40" t="s">
        <v>496</v>
      </c>
      <c r="F259" s="43" t="s">
        <v>2852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1000</v>
      </c>
      <c r="Q259" s="40" t="s">
        <v>2894</v>
      </c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54">
        <v>11</v>
      </c>
      <c r="B260" s="40">
        <v>250</v>
      </c>
      <c r="C260" s="40" t="s">
        <v>2788</v>
      </c>
      <c r="D260" s="40" t="s">
        <v>1893</v>
      </c>
      <c r="E260" s="40" t="s">
        <v>496</v>
      </c>
      <c r="F260" s="44" t="s">
        <v>2853</v>
      </c>
      <c r="G260" s="40"/>
      <c r="H260" s="40"/>
      <c r="I260" s="40"/>
      <c r="J260" s="40"/>
      <c r="K260" s="40"/>
      <c r="L260" s="40"/>
      <c r="M260" s="40"/>
      <c r="N260" s="40"/>
      <c r="O260" s="40" t="s">
        <v>1842</v>
      </c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54">
        <v>12</v>
      </c>
      <c r="B261" s="40">
        <v>251</v>
      </c>
      <c r="C261" s="40" t="s">
        <v>2502</v>
      </c>
      <c r="D261" s="40" t="s">
        <v>2826</v>
      </c>
      <c r="E261" s="40" t="s">
        <v>496</v>
      </c>
      <c r="F261" s="43" t="s">
        <v>2854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</v>
      </c>
      <c r="Q261" s="40" t="s">
        <v>2895</v>
      </c>
      <c r="R261" s="40">
        <v>5000</v>
      </c>
      <c r="S261" s="40" t="s">
        <v>3056</v>
      </c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54">
        <v>13</v>
      </c>
      <c r="B262" s="40">
        <v>252</v>
      </c>
      <c r="C262" s="40" t="s">
        <v>2789</v>
      </c>
      <c r="D262" s="40" t="s">
        <v>1893</v>
      </c>
      <c r="E262" s="40" t="s">
        <v>496</v>
      </c>
      <c r="F262" s="43" t="s">
        <v>2855</v>
      </c>
      <c r="G262" s="40"/>
      <c r="H262" s="40"/>
      <c r="I262" s="40"/>
      <c r="J262" s="40"/>
      <c r="K262" s="40"/>
      <c r="L262" s="40"/>
      <c r="M262" s="40"/>
      <c r="N262" s="40"/>
      <c r="O262" s="40">
        <v>22000</v>
      </c>
      <c r="P262" s="40">
        <v>1000</v>
      </c>
      <c r="Q262" s="40" t="s">
        <v>2896</v>
      </c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54">
        <v>14</v>
      </c>
      <c r="B263" s="40">
        <v>253</v>
      </c>
      <c r="C263" s="40" t="s">
        <v>2790</v>
      </c>
      <c r="D263" s="40" t="s">
        <v>1934</v>
      </c>
      <c r="E263" s="40" t="s">
        <v>496</v>
      </c>
      <c r="F263" s="43" t="s">
        <v>2190</v>
      </c>
      <c r="G263" s="40"/>
      <c r="H263" s="40"/>
      <c r="I263" s="40"/>
      <c r="J263" s="40"/>
      <c r="K263" s="40"/>
      <c r="L263" s="40"/>
      <c r="M263" s="40"/>
      <c r="N263" s="40"/>
      <c r="O263" s="40">
        <v>20000</v>
      </c>
      <c r="P263" s="40">
        <v>1000</v>
      </c>
      <c r="Q263" s="40" t="s">
        <v>2897</v>
      </c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54">
        <v>15</v>
      </c>
      <c r="B264" s="40">
        <v>254</v>
      </c>
      <c r="C264" s="40" t="s">
        <v>2791</v>
      </c>
      <c r="D264" s="40" t="s">
        <v>2827</v>
      </c>
      <c r="E264" s="40" t="s">
        <v>496</v>
      </c>
      <c r="F264" s="43" t="s">
        <v>2856</v>
      </c>
      <c r="G264" s="40"/>
      <c r="H264" s="40"/>
      <c r="I264" s="40"/>
      <c r="J264" s="40"/>
      <c r="K264" s="40"/>
      <c r="L264" s="40"/>
      <c r="M264" s="40"/>
      <c r="N264" s="40"/>
      <c r="O264" s="40">
        <v>15000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54">
        <v>16</v>
      </c>
      <c r="B265" s="40">
        <v>336</v>
      </c>
      <c r="C265" s="40" t="s">
        <v>2792</v>
      </c>
      <c r="D265" s="40" t="s">
        <v>2165</v>
      </c>
      <c r="E265" s="40" t="s">
        <v>496</v>
      </c>
      <c r="F265" s="43" t="s">
        <v>2857</v>
      </c>
      <c r="G265" s="40"/>
      <c r="H265" s="40"/>
      <c r="I265" s="40"/>
      <c r="J265" s="40"/>
      <c r="K265" s="40"/>
      <c r="L265" s="40"/>
      <c r="M265" s="40"/>
      <c r="N265" s="40"/>
      <c r="O265" s="40">
        <v>17000</v>
      </c>
      <c r="P265" s="40">
        <v>4000</v>
      </c>
      <c r="Q265" s="40" t="s">
        <v>2898</v>
      </c>
      <c r="R265" s="40">
        <v>3000</v>
      </c>
      <c r="S265" s="40" t="s">
        <v>3055</v>
      </c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54">
        <v>17</v>
      </c>
      <c r="B266" s="40">
        <v>255</v>
      </c>
      <c r="C266" s="40" t="s">
        <v>2793</v>
      </c>
      <c r="D266" s="40" t="s">
        <v>2495</v>
      </c>
      <c r="E266" s="40" t="s">
        <v>496</v>
      </c>
      <c r="F266" s="43" t="s">
        <v>2858</v>
      </c>
      <c r="G266" s="40"/>
      <c r="H266" s="40"/>
      <c r="I266" s="40"/>
      <c r="J266" s="40"/>
      <c r="K266" s="40"/>
      <c r="L266" s="40"/>
      <c r="M266" s="40"/>
      <c r="N266" s="40"/>
      <c r="O266" s="40">
        <v>20000</v>
      </c>
      <c r="P266" s="40">
        <v>900</v>
      </c>
      <c r="Q266" s="40" t="s">
        <v>2899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54">
        <v>18</v>
      </c>
      <c r="B267" s="40">
        <v>246</v>
      </c>
      <c r="C267" s="40" t="s">
        <v>2794</v>
      </c>
      <c r="D267" s="40" t="s">
        <v>2165</v>
      </c>
      <c r="E267" s="40" t="s">
        <v>496</v>
      </c>
      <c r="F267" s="43" t="s">
        <v>2859</v>
      </c>
      <c r="G267" s="40"/>
      <c r="H267" s="40"/>
      <c r="I267" s="40"/>
      <c r="J267" s="40"/>
      <c r="K267" s="40"/>
      <c r="L267" s="40"/>
      <c r="M267" s="40"/>
      <c r="N267" s="40"/>
      <c r="O267" s="40">
        <v>20000</v>
      </c>
      <c r="P267" s="40">
        <v>500</v>
      </c>
      <c r="Q267" s="40" t="s">
        <v>2900</v>
      </c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54">
        <v>19</v>
      </c>
      <c r="B268" s="40">
        <v>257</v>
      </c>
      <c r="C268" s="40" t="s">
        <v>2795</v>
      </c>
      <c r="D268" s="40" t="s">
        <v>2662</v>
      </c>
      <c r="E268" s="40" t="s">
        <v>496</v>
      </c>
      <c r="F268" s="43" t="s">
        <v>2860</v>
      </c>
      <c r="G268" s="40"/>
      <c r="H268" s="40"/>
      <c r="I268" s="40"/>
      <c r="J268" s="40"/>
      <c r="K268" s="40"/>
      <c r="L268" s="40"/>
      <c r="M268" s="40"/>
      <c r="N268" s="40"/>
      <c r="O268" s="40">
        <v>10000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54">
        <v>20</v>
      </c>
      <c r="B269" s="40">
        <v>483</v>
      </c>
      <c r="C269" s="40" t="s">
        <v>2796</v>
      </c>
      <c r="D269" s="40" t="s">
        <v>2828</v>
      </c>
      <c r="E269" s="40" t="s">
        <v>496</v>
      </c>
      <c r="F269" s="43" t="s">
        <v>2861</v>
      </c>
      <c r="G269" s="40"/>
      <c r="H269" s="40"/>
      <c r="I269" s="40"/>
      <c r="J269" s="40"/>
      <c r="K269" s="40"/>
      <c r="L269" s="40"/>
      <c r="M269" s="40"/>
      <c r="N269" s="40"/>
      <c r="O269" s="40">
        <v>20000</v>
      </c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54">
        <v>21</v>
      </c>
      <c r="B270" s="40">
        <v>258</v>
      </c>
      <c r="C270" s="40" t="s">
        <v>2797</v>
      </c>
      <c r="D270" s="40" t="s">
        <v>2829</v>
      </c>
      <c r="E270" s="40" t="s">
        <v>496</v>
      </c>
      <c r="F270" s="43" t="s">
        <v>2862</v>
      </c>
      <c r="G270" s="40"/>
      <c r="H270" s="40"/>
      <c r="I270" s="40"/>
      <c r="J270" s="40"/>
      <c r="K270" s="40"/>
      <c r="L270" s="40"/>
      <c r="M270" s="40"/>
      <c r="N270" s="40"/>
      <c r="O270" s="40">
        <v>20000</v>
      </c>
      <c r="P270" s="40">
        <v>1000</v>
      </c>
      <c r="Q270" s="40" t="s">
        <v>2901</v>
      </c>
      <c r="R270" s="40">
        <v>8000</v>
      </c>
      <c r="S270" s="40" t="s">
        <v>3054</v>
      </c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54">
        <v>22</v>
      </c>
      <c r="B271" s="40">
        <v>269</v>
      </c>
      <c r="C271" s="40" t="s">
        <v>2798</v>
      </c>
      <c r="D271" s="40" t="s">
        <v>2298</v>
      </c>
      <c r="E271" s="40" t="s">
        <v>496</v>
      </c>
      <c r="F271" s="43" t="s">
        <v>2863</v>
      </c>
      <c r="G271" s="40"/>
      <c r="H271" s="40"/>
      <c r="I271" s="40"/>
      <c r="J271" s="40"/>
      <c r="K271" s="40"/>
      <c r="L271" s="40"/>
      <c r="M271" s="40"/>
      <c r="N271" s="40"/>
      <c r="O271" s="40">
        <v>15000</v>
      </c>
      <c r="P271" s="40">
        <v>2000</v>
      </c>
      <c r="Q271" s="40" t="s">
        <v>2902</v>
      </c>
      <c r="R271" s="40">
        <v>5000</v>
      </c>
      <c r="S271" s="40" t="s">
        <v>3053</v>
      </c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54">
        <v>23</v>
      </c>
      <c r="B272" s="40">
        <v>378</v>
      </c>
      <c r="C272" s="40" t="s">
        <v>2799</v>
      </c>
      <c r="D272" s="40" t="s">
        <v>2830</v>
      </c>
      <c r="E272" s="40" t="s">
        <v>496</v>
      </c>
      <c r="F272" s="43" t="s">
        <v>2864</v>
      </c>
      <c r="G272" s="40"/>
      <c r="H272" s="40"/>
      <c r="I272" s="40"/>
      <c r="J272" s="40"/>
      <c r="K272" s="40"/>
      <c r="L272" s="40"/>
      <c r="M272" s="40"/>
      <c r="N272" s="40"/>
      <c r="O272" s="40">
        <v>22500</v>
      </c>
      <c r="P272" s="40">
        <v>5000</v>
      </c>
      <c r="Q272" s="40" t="s">
        <v>2903</v>
      </c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spans="1:34" x14ac:dyDescent="0.25">
      <c r="A273" s="54">
        <v>24</v>
      </c>
      <c r="B273" s="40">
        <v>260</v>
      </c>
      <c r="C273" s="40" t="s">
        <v>2800</v>
      </c>
      <c r="D273" s="40" t="s">
        <v>2653</v>
      </c>
      <c r="E273" s="40" t="s">
        <v>496</v>
      </c>
      <c r="F273" s="43" t="s">
        <v>2865</v>
      </c>
      <c r="G273" s="40"/>
      <c r="H273" s="40"/>
      <c r="I273" s="40"/>
      <c r="J273" s="40"/>
      <c r="K273" s="40"/>
      <c r="L273" s="40"/>
      <c r="M273" s="40"/>
      <c r="N273" s="40"/>
      <c r="O273" s="40">
        <v>15000</v>
      </c>
      <c r="P273" s="40">
        <v>1000</v>
      </c>
      <c r="Q273" s="40" t="s">
        <v>2904</v>
      </c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spans="1:34" x14ac:dyDescent="0.25">
      <c r="A274" s="54">
        <v>25</v>
      </c>
      <c r="B274" s="40">
        <v>261</v>
      </c>
      <c r="C274" s="40" t="s">
        <v>2801</v>
      </c>
      <c r="D274" s="40" t="s">
        <v>2831</v>
      </c>
      <c r="E274" s="40" t="s">
        <v>496</v>
      </c>
      <c r="F274" s="43" t="s">
        <v>2866</v>
      </c>
      <c r="G274" s="40"/>
      <c r="H274" s="40"/>
      <c r="I274" s="40"/>
      <c r="J274" s="40"/>
      <c r="K274" s="40"/>
      <c r="L274" s="40"/>
      <c r="M274" s="40"/>
      <c r="N274" s="40"/>
      <c r="O274" s="40">
        <v>23000</v>
      </c>
      <c r="P274" s="40">
        <v>1000</v>
      </c>
      <c r="Q274" s="40" t="s">
        <v>2905</v>
      </c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spans="1:34" x14ac:dyDescent="0.25">
      <c r="A275" s="54">
        <v>26</v>
      </c>
      <c r="B275" s="40">
        <v>262</v>
      </c>
      <c r="C275" s="40" t="s">
        <v>2802</v>
      </c>
      <c r="D275" s="40" t="s">
        <v>2832</v>
      </c>
      <c r="E275" s="40" t="s">
        <v>496</v>
      </c>
      <c r="F275" s="43" t="s">
        <v>2867</v>
      </c>
      <c r="G275" s="40"/>
      <c r="H275" s="40"/>
      <c r="I275" s="40"/>
      <c r="J275" s="40"/>
      <c r="K275" s="40"/>
      <c r="L275" s="40"/>
      <c r="M275" s="40"/>
      <c r="N275" s="40"/>
      <c r="O275" s="40">
        <v>10000</v>
      </c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spans="1:34" x14ac:dyDescent="0.25">
      <c r="A276" s="54">
        <v>27</v>
      </c>
      <c r="B276" s="40">
        <v>263</v>
      </c>
      <c r="C276" s="40" t="s">
        <v>2803</v>
      </c>
      <c r="D276" s="40" t="s">
        <v>2833</v>
      </c>
      <c r="E276" s="40" t="s">
        <v>496</v>
      </c>
      <c r="F276" s="43" t="s">
        <v>2868</v>
      </c>
      <c r="G276" s="40"/>
      <c r="H276" s="40"/>
      <c r="I276" s="40"/>
      <c r="J276" s="40"/>
      <c r="K276" s="40"/>
      <c r="L276" s="40"/>
      <c r="M276" s="40"/>
      <c r="N276" s="40"/>
      <c r="O276" s="40">
        <v>20000</v>
      </c>
      <c r="P276" s="40">
        <v>1000</v>
      </c>
      <c r="Q276" s="40" t="s">
        <v>2906</v>
      </c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spans="1:34" x14ac:dyDescent="0.25">
      <c r="A277" s="54">
        <v>28</v>
      </c>
      <c r="B277" s="40">
        <v>223</v>
      </c>
      <c r="C277" s="40" t="s">
        <v>1860</v>
      </c>
      <c r="D277" s="40" t="s">
        <v>2834</v>
      </c>
      <c r="E277" s="40" t="s">
        <v>496</v>
      </c>
      <c r="F277" s="43" t="s">
        <v>2869</v>
      </c>
      <c r="G277" s="40"/>
      <c r="H277" s="40"/>
      <c r="I277" s="40"/>
      <c r="J277" s="40"/>
      <c r="K277" s="40"/>
      <c r="L277" s="40"/>
      <c r="M277" s="40"/>
      <c r="N277" s="40"/>
      <c r="O277" s="40">
        <v>25000</v>
      </c>
      <c r="P277" s="40">
        <v>1000</v>
      </c>
      <c r="Q277" s="40" t="s">
        <v>2907</v>
      </c>
      <c r="R277" s="40">
        <v>9000</v>
      </c>
      <c r="S277" s="40" t="s">
        <v>3052</v>
      </c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spans="1:34" x14ac:dyDescent="0.25">
      <c r="A278" s="54">
        <v>29</v>
      </c>
      <c r="B278" s="40">
        <v>335</v>
      </c>
      <c r="C278" s="40" t="s">
        <v>2804</v>
      </c>
      <c r="D278" s="40" t="s">
        <v>1943</v>
      </c>
      <c r="E278" s="40" t="s">
        <v>496</v>
      </c>
      <c r="F278" s="43" t="s">
        <v>2870</v>
      </c>
      <c r="G278" s="40"/>
      <c r="H278" s="40"/>
      <c r="I278" s="40"/>
      <c r="J278" s="40"/>
      <c r="K278" s="40"/>
      <c r="L278" s="40"/>
      <c r="M278" s="40"/>
      <c r="N278" s="40"/>
      <c r="O278" s="40">
        <v>22000</v>
      </c>
      <c r="P278" s="40">
        <v>2000</v>
      </c>
      <c r="Q278" s="40" t="s">
        <v>2908</v>
      </c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spans="1:34" x14ac:dyDescent="0.25">
      <c r="A279" s="54">
        <v>30</v>
      </c>
      <c r="B279" s="40">
        <v>264</v>
      </c>
      <c r="C279" s="40" t="s">
        <v>2805</v>
      </c>
      <c r="D279" s="40" t="s">
        <v>2227</v>
      </c>
      <c r="E279" s="40" t="s">
        <v>496</v>
      </c>
      <c r="F279" s="43" t="s">
        <v>2871</v>
      </c>
      <c r="G279" s="40"/>
      <c r="H279" s="40"/>
      <c r="I279" s="40"/>
      <c r="J279" s="40"/>
      <c r="K279" s="40"/>
      <c r="L279" s="40"/>
      <c r="M279" s="40"/>
      <c r="N279" s="40"/>
      <c r="O279" s="40">
        <v>15000</v>
      </c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spans="1:34" x14ac:dyDescent="0.25">
      <c r="A280" s="54">
        <v>31</v>
      </c>
      <c r="B280" s="40">
        <v>265</v>
      </c>
      <c r="C280" s="40" t="s">
        <v>2806</v>
      </c>
      <c r="D280" s="40" t="s">
        <v>2835</v>
      </c>
      <c r="E280" s="40" t="s">
        <v>496</v>
      </c>
      <c r="F280" s="43" t="s">
        <v>2872</v>
      </c>
      <c r="G280" s="40"/>
      <c r="H280" s="40"/>
      <c r="I280" s="40"/>
      <c r="J280" s="40"/>
      <c r="K280" s="40"/>
      <c r="L280" s="40"/>
      <c r="M280" s="40"/>
      <c r="N280" s="40"/>
      <c r="O280" s="40">
        <v>11000</v>
      </c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spans="1:34" x14ac:dyDescent="0.25">
      <c r="A281" s="54">
        <v>32</v>
      </c>
      <c r="B281" s="40">
        <v>379</v>
      </c>
      <c r="C281" s="40" t="s">
        <v>2807</v>
      </c>
      <c r="D281" s="40" t="s">
        <v>1885</v>
      </c>
      <c r="E281" s="40" t="s">
        <v>496</v>
      </c>
      <c r="F281" s="43" t="s">
        <v>2873</v>
      </c>
      <c r="G281" s="40"/>
      <c r="H281" s="40"/>
      <c r="I281" s="40"/>
      <c r="J281" s="40"/>
      <c r="K281" s="40"/>
      <c r="L281" s="40"/>
      <c r="M281" s="40"/>
      <c r="N281" s="40"/>
      <c r="O281" s="40">
        <v>22500</v>
      </c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spans="1:34" x14ac:dyDescent="0.25">
      <c r="A282" s="54">
        <v>33</v>
      </c>
      <c r="B282" s="40">
        <v>266</v>
      </c>
      <c r="C282" s="40" t="s">
        <v>2808</v>
      </c>
      <c r="D282" s="40" t="s">
        <v>2836</v>
      </c>
      <c r="E282" s="40" t="s">
        <v>496</v>
      </c>
      <c r="F282" s="43" t="s">
        <v>2874</v>
      </c>
      <c r="G282" s="40"/>
      <c r="H282" s="40"/>
      <c r="I282" s="40"/>
      <c r="J282" s="40"/>
      <c r="K282" s="40"/>
      <c r="L282" s="40"/>
      <c r="M282" s="40"/>
      <c r="N282" s="40"/>
      <c r="O282" s="40">
        <v>1800</v>
      </c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spans="1:34" x14ac:dyDescent="0.25">
      <c r="A283" s="54">
        <v>34</v>
      </c>
      <c r="B283" s="40">
        <v>268</v>
      </c>
      <c r="C283" s="40" t="s">
        <v>2809</v>
      </c>
      <c r="D283" s="40" t="s">
        <v>2837</v>
      </c>
      <c r="E283" s="40" t="s">
        <v>496</v>
      </c>
      <c r="F283" s="43" t="s">
        <v>2875</v>
      </c>
      <c r="G283" s="40"/>
      <c r="H283" s="40"/>
      <c r="I283" s="40"/>
      <c r="J283" s="40"/>
      <c r="K283" s="40"/>
      <c r="L283" s="40"/>
      <c r="M283" s="40"/>
      <c r="N283" s="40"/>
      <c r="O283" s="40">
        <v>25000</v>
      </c>
      <c r="P283" s="40" t="s">
        <v>2886</v>
      </c>
      <c r="Q283" s="40" t="s">
        <v>2909</v>
      </c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spans="1:34" x14ac:dyDescent="0.25">
      <c r="A284" s="54">
        <v>35</v>
      </c>
      <c r="B284" s="40">
        <v>269</v>
      </c>
      <c r="C284" s="40" t="s">
        <v>2810</v>
      </c>
      <c r="D284" s="40" t="s">
        <v>1885</v>
      </c>
      <c r="E284" s="40" t="s">
        <v>496</v>
      </c>
      <c r="F284" s="44" t="s">
        <v>2876</v>
      </c>
      <c r="G284" s="40"/>
      <c r="H284" s="40"/>
      <c r="I284" s="40"/>
      <c r="J284" s="40"/>
      <c r="K284" s="40"/>
      <c r="L284" s="40"/>
      <c r="M284" s="40"/>
      <c r="N284" s="40"/>
      <c r="O284" s="40">
        <v>16000</v>
      </c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spans="1:34" x14ac:dyDescent="0.25">
      <c r="A285" s="54">
        <v>36</v>
      </c>
      <c r="B285" s="40">
        <v>198</v>
      </c>
      <c r="C285" s="40" t="s">
        <v>2811</v>
      </c>
      <c r="D285" s="40" t="s">
        <v>2179</v>
      </c>
      <c r="E285" s="40" t="s">
        <v>496</v>
      </c>
      <c r="F285" s="43" t="s">
        <v>2877</v>
      </c>
      <c r="G285" s="40"/>
      <c r="H285" s="40"/>
      <c r="I285" s="40"/>
      <c r="J285" s="40"/>
      <c r="K285" s="40"/>
      <c r="L285" s="40"/>
      <c r="M285" s="40"/>
      <c r="N285" s="40"/>
      <c r="O285" s="40">
        <v>15000</v>
      </c>
      <c r="P285" s="40">
        <v>5000</v>
      </c>
      <c r="Q285" s="40" t="s">
        <v>2910</v>
      </c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spans="1:34" x14ac:dyDescent="0.25">
      <c r="A286" s="54">
        <v>37</v>
      </c>
      <c r="B286" s="40">
        <v>376</v>
      </c>
      <c r="C286" s="40" t="s">
        <v>2812</v>
      </c>
      <c r="D286" s="40" t="s">
        <v>2838</v>
      </c>
      <c r="E286" s="40" t="s">
        <v>496</v>
      </c>
      <c r="F286" s="43" t="s">
        <v>2845</v>
      </c>
      <c r="G286" s="40"/>
      <c r="H286" s="40"/>
      <c r="I286" s="40"/>
      <c r="J286" s="40"/>
      <c r="K286" s="40"/>
      <c r="L286" s="40"/>
      <c r="M286" s="40"/>
      <c r="N286" s="40"/>
      <c r="O286" s="40">
        <v>15000</v>
      </c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spans="1:34" x14ac:dyDescent="0.25">
      <c r="A287" s="54">
        <v>38</v>
      </c>
      <c r="B287" s="40">
        <v>191</v>
      </c>
      <c r="C287" s="40" t="s">
        <v>2813</v>
      </c>
      <c r="D287" s="40" t="s">
        <v>1893</v>
      </c>
      <c r="E287" s="40" t="s">
        <v>496</v>
      </c>
      <c r="F287" s="43" t="s">
        <v>2878</v>
      </c>
      <c r="G287" s="40"/>
      <c r="H287" s="40"/>
      <c r="I287" s="40"/>
      <c r="J287" s="40"/>
      <c r="K287" s="40"/>
      <c r="L287" s="40"/>
      <c r="M287" s="40"/>
      <c r="N287" s="40"/>
      <c r="O287" s="40">
        <v>22500</v>
      </c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spans="1:34" x14ac:dyDescent="0.25">
      <c r="A288" s="54">
        <v>39</v>
      </c>
      <c r="B288" s="40">
        <v>245</v>
      </c>
      <c r="C288" s="40" t="s">
        <v>2814</v>
      </c>
      <c r="D288" s="40" t="s">
        <v>2061</v>
      </c>
      <c r="E288" s="40" t="s">
        <v>496</v>
      </c>
      <c r="F288" s="43" t="s">
        <v>2880</v>
      </c>
      <c r="G288" s="40"/>
      <c r="H288" s="40"/>
      <c r="I288" s="40"/>
      <c r="J288" s="40"/>
      <c r="K288" s="40"/>
      <c r="L288" s="40"/>
      <c r="M288" s="40"/>
      <c r="N288" s="40"/>
      <c r="O288" s="40">
        <v>15000</v>
      </c>
      <c r="P288" s="40">
        <v>2000</v>
      </c>
      <c r="Q288" s="40" t="s">
        <v>2911</v>
      </c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spans="1:34" x14ac:dyDescent="0.25">
      <c r="A289" s="54">
        <v>40</v>
      </c>
      <c r="B289" s="40">
        <v>249</v>
      </c>
      <c r="C289" s="40" t="s">
        <v>2815</v>
      </c>
      <c r="D289" s="40" t="s">
        <v>2839</v>
      </c>
      <c r="E289" s="40" t="s">
        <v>496</v>
      </c>
      <c r="F289" s="43" t="s">
        <v>2879</v>
      </c>
      <c r="G289" s="40"/>
      <c r="H289" s="40"/>
      <c r="I289" s="40"/>
      <c r="J289" s="40"/>
      <c r="K289" s="40"/>
      <c r="L289" s="40"/>
      <c r="M289" s="40"/>
      <c r="N289" s="40"/>
      <c r="O289" s="40">
        <v>10000</v>
      </c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spans="1:34" x14ac:dyDescent="0.25">
      <c r="A290" s="54">
        <v>41</v>
      </c>
      <c r="B290" s="40">
        <v>287</v>
      </c>
      <c r="C290" s="40" t="s">
        <v>1967</v>
      </c>
      <c r="D290" s="40" t="s">
        <v>1893</v>
      </c>
      <c r="E290" s="40" t="s">
        <v>496</v>
      </c>
      <c r="F290" s="43" t="s">
        <v>2881</v>
      </c>
      <c r="G290" s="40"/>
      <c r="H290" s="40"/>
      <c r="I290" s="40"/>
      <c r="J290" s="40"/>
      <c r="K290" s="40"/>
      <c r="L290" s="40"/>
      <c r="M290" s="40"/>
      <c r="N290" s="40"/>
      <c r="O290" s="40">
        <v>20000</v>
      </c>
      <c r="P290" s="40">
        <v>5000</v>
      </c>
      <c r="Q290" s="40" t="s">
        <v>2912</v>
      </c>
      <c r="R290" s="40">
        <v>5000</v>
      </c>
      <c r="S290" s="40" t="s">
        <v>3051</v>
      </c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spans="1:34" x14ac:dyDescent="0.25">
      <c r="A291" s="40">
        <v>42</v>
      </c>
      <c r="B291" s="40">
        <v>354</v>
      </c>
      <c r="C291" s="40" t="s">
        <v>2816</v>
      </c>
      <c r="D291" s="40" t="s">
        <v>2002</v>
      </c>
      <c r="E291" s="40" t="s">
        <v>496</v>
      </c>
      <c r="F291" s="43" t="s">
        <v>2882</v>
      </c>
      <c r="G291" s="40"/>
      <c r="H291" s="40"/>
      <c r="I291" s="40"/>
      <c r="J291" s="40"/>
      <c r="K291" s="40"/>
      <c r="L291" s="40"/>
      <c r="M291" s="40"/>
      <c r="N291" s="40"/>
      <c r="O291" s="40">
        <v>20000</v>
      </c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spans="1:34" x14ac:dyDescent="0.25">
      <c r="A292" s="40">
        <v>43</v>
      </c>
      <c r="B292" s="40">
        <v>369</v>
      </c>
      <c r="C292" s="40" t="s">
        <v>2817</v>
      </c>
      <c r="D292" s="40" t="s">
        <v>2840</v>
      </c>
      <c r="E292" s="40" t="s">
        <v>496</v>
      </c>
      <c r="F292" s="43" t="s">
        <v>2883</v>
      </c>
      <c r="G292" s="40"/>
      <c r="H292" s="40"/>
      <c r="I292" s="40"/>
      <c r="J292" s="40"/>
      <c r="K292" s="40"/>
      <c r="L292" s="40"/>
      <c r="M292" s="40"/>
      <c r="N292" s="40"/>
      <c r="O292" s="40">
        <v>20000</v>
      </c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spans="1:34" x14ac:dyDescent="0.25">
      <c r="A293" s="40">
        <v>44</v>
      </c>
      <c r="B293" s="40">
        <v>381</v>
      </c>
      <c r="C293" s="40" t="s">
        <v>2818</v>
      </c>
      <c r="D293" s="40"/>
      <c r="E293" s="40" t="s">
        <v>496</v>
      </c>
      <c r="F293" s="43" t="s">
        <v>2884</v>
      </c>
      <c r="G293" s="40"/>
      <c r="H293" s="40"/>
      <c r="I293" s="40"/>
      <c r="J293" s="40"/>
      <c r="K293" s="40"/>
      <c r="L293" s="40"/>
      <c r="M293" s="40"/>
      <c r="N293" s="40"/>
      <c r="O293" s="40">
        <v>20000</v>
      </c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spans="1:34" x14ac:dyDescent="0.25">
      <c r="A294" s="54">
        <v>45</v>
      </c>
      <c r="B294" s="40" t="s">
        <v>2773</v>
      </c>
      <c r="C294" s="40" t="s">
        <v>2819</v>
      </c>
      <c r="D294" s="40" t="s">
        <v>2841</v>
      </c>
      <c r="E294" s="40" t="s">
        <v>496</v>
      </c>
      <c r="F294" s="43" t="s">
        <v>2885</v>
      </c>
      <c r="G294" s="40"/>
      <c r="H294" s="40"/>
      <c r="I294" s="40"/>
      <c r="J294" s="40"/>
      <c r="K294" s="40"/>
      <c r="L294" s="40"/>
      <c r="M294" s="40"/>
      <c r="N294" s="40"/>
      <c r="O294" s="40">
        <v>15000</v>
      </c>
      <c r="P294" s="40">
        <v>3000</v>
      </c>
      <c r="Q294" s="40" t="s">
        <v>2913</v>
      </c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spans="1:34" x14ac:dyDescent="0.25">
      <c r="A295" s="40">
        <v>46</v>
      </c>
      <c r="B295" s="40"/>
      <c r="C295" s="40" t="s">
        <v>2820</v>
      </c>
      <c r="D295" s="40"/>
      <c r="E295" s="40" t="s">
        <v>496</v>
      </c>
      <c r="F295" s="43"/>
      <c r="G295" s="40"/>
      <c r="H295" s="40"/>
      <c r="I295" s="40"/>
      <c r="J295" s="40"/>
      <c r="K295" s="40"/>
      <c r="L295" s="40"/>
      <c r="M295" s="40"/>
      <c r="N295" s="40"/>
      <c r="O295" s="40"/>
      <c r="P295" s="40">
        <v>7500</v>
      </c>
      <c r="Q295" s="40" t="s">
        <v>2914</v>
      </c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spans="1:34" x14ac:dyDescent="0.25">
      <c r="A296" s="40">
        <v>47</v>
      </c>
      <c r="B296" s="40"/>
      <c r="C296" s="40" t="s">
        <v>2821</v>
      </c>
      <c r="D296" s="40" t="s">
        <v>2842</v>
      </c>
      <c r="E296" s="40" t="s">
        <v>496</v>
      </c>
      <c r="F296" s="43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spans="1:34" x14ac:dyDescent="0.25">
      <c r="A297" s="54">
        <v>1</v>
      </c>
      <c r="B297" s="40">
        <v>270</v>
      </c>
      <c r="C297" s="40" t="s">
        <v>2915</v>
      </c>
      <c r="D297" s="40" t="s">
        <v>2950</v>
      </c>
      <c r="E297" s="40" t="s">
        <v>939</v>
      </c>
      <c r="F297" s="43" t="s">
        <v>2974</v>
      </c>
      <c r="G297" s="40"/>
      <c r="H297" s="40"/>
      <c r="I297" s="40"/>
      <c r="J297" s="40"/>
      <c r="K297" s="40"/>
      <c r="L297" s="40"/>
      <c r="M297" s="40"/>
      <c r="N297" s="40"/>
      <c r="O297" s="40">
        <v>15000</v>
      </c>
      <c r="P297" s="40">
        <v>5000</v>
      </c>
      <c r="Q297" s="40" t="s">
        <v>3018</v>
      </c>
      <c r="R297" s="40">
        <v>5000</v>
      </c>
      <c r="S297" s="40" t="s">
        <v>3060</v>
      </c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spans="1:34" x14ac:dyDescent="0.25">
      <c r="A298" s="54">
        <v>2</v>
      </c>
      <c r="B298" s="40">
        <v>271</v>
      </c>
      <c r="C298" s="40" t="s">
        <v>2227</v>
      </c>
      <c r="D298" s="40" t="s">
        <v>2068</v>
      </c>
      <c r="E298" s="40" t="s">
        <v>939</v>
      </c>
      <c r="F298" s="43" t="s">
        <v>2975</v>
      </c>
      <c r="G298" s="40"/>
      <c r="H298" s="40"/>
      <c r="I298" s="40"/>
      <c r="J298" s="40"/>
      <c r="K298" s="40"/>
      <c r="L298" s="40"/>
      <c r="M298" s="40"/>
      <c r="N298" s="40"/>
      <c r="O298" s="40">
        <v>25000</v>
      </c>
      <c r="P298" s="40">
        <v>1000</v>
      </c>
      <c r="Q298" s="40" t="s">
        <v>3019</v>
      </c>
      <c r="R298" s="40">
        <v>5000</v>
      </c>
      <c r="S298" s="40" t="s">
        <v>3061</v>
      </c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spans="1:34" x14ac:dyDescent="0.25">
      <c r="A299" s="40">
        <v>3</v>
      </c>
      <c r="B299" s="40">
        <v>272</v>
      </c>
      <c r="C299" s="40" t="s">
        <v>2916</v>
      </c>
      <c r="D299" s="40" t="s">
        <v>2951</v>
      </c>
      <c r="E299" s="40" t="s">
        <v>939</v>
      </c>
      <c r="F299" s="43" t="s">
        <v>2976</v>
      </c>
      <c r="G299" s="40"/>
      <c r="H299" s="40"/>
      <c r="I299" s="40"/>
      <c r="J299" s="40"/>
      <c r="K299" s="40"/>
      <c r="L299" s="40"/>
      <c r="M299" s="40"/>
      <c r="N299" s="40"/>
      <c r="O299" s="40">
        <v>15000</v>
      </c>
      <c r="P299" s="40">
        <v>1000</v>
      </c>
      <c r="Q299" s="40" t="s">
        <v>3020</v>
      </c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spans="1:34" x14ac:dyDescent="0.25">
      <c r="A300" s="54">
        <v>4</v>
      </c>
      <c r="B300" s="40">
        <v>273</v>
      </c>
      <c r="C300" s="40" t="s">
        <v>2917</v>
      </c>
      <c r="D300" s="40" t="s">
        <v>2952</v>
      </c>
      <c r="E300" s="40" t="s">
        <v>939</v>
      </c>
      <c r="F300" s="43" t="s">
        <v>2977</v>
      </c>
      <c r="G300" s="40"/>
      <c r="H300" s="40"/>
      <c r="I300" s="40"/>
      <c r="J300" s="40"/>
      <c r="K300" s="40"/>
      <c r="L300" s="40"/>
      <c r="M300" s="40"/>
      <c r="N300" s="40"/>
      <c r="O300" s="40">
        <v>20000</v>
      </c>
      <c r="P300" s="40">
        <v>10000</v>
      </c>
      <c r="Q300" s="40" t="s">
        <v>3021</v>
      </c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spans="1:34" x14ac:dyDescent="0.25">
      <c r="A301" s="54">
        <v>5</v>
      </c>
      <c r="B301" s="40">
        <v>274</v>
      </c>
      <c r="C301" s="40" t="s">
        <v>2918</v>
      </c>
      <c r="D301" s="40" t="s">
        <v>2953</v>
      </c>
      <c r="E301" s="40" t="s">
        <v>939</v>
      </c>
      <c r="F301" s="43" t="s">
        <v>2978</v>
      </c>
      <c r="G301" s="40"/>
      <c r="H301" s="40"/>
      <c r="I301" s="40"/>
      <c r="J301" s="40"/>
      <c r="K301" s="40"/>
      <c r="L301" s="40"/>
      <c r="M301" s="40"/>
      <c r="N301" s="40"/>
      <c r="O301" s="40">
        <v>27500</v>
      </c>
      <c r="P301" s="40">
        <v>1500</v>
      </c>
      <c r="Q301" s="40" t="s">
        <v>3022</v>
      </c>
      <c r="R301" s="40">
        <v>8500</v>
      </c>
      <c r="S301" s="40" t="s">
        <v>3062</v>
      </c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spans="1:34" x14ac:dyDescent="0.25">
      <c r="A302" s="54">
        <v>6</v>
      </c>
      <c r="B302" s="40">
        <v>275</v>
      </c>
      <c r="C302" s="40" t="s">
        <v>2919</v>
      </c>
      <c r="D302" s="40" t="s">
        <v>2954</v>
      </c>
      <c r="E302" s="40" t="s">
        <v>939</v>
      </c>
      <c r="F302" s="43" t="s">
        <v>2979</v>
      </c>
      <c r="G302" s="40"/>
      <c r="H302" s="40"/>
      <c r="I302" s="40"/>
      <c r="J302" s="40"/>
      <c r="K302" s="40"/>
      <c r="L302" s="40"/>
      <c r="M302" s="40"/>
      <c r="N302" s="40"/>
      <c r="O302" s="40">
        <v>20000</v>
      </c>
      <c r="P302" s="40">
        <v>5000</v>
      </c>
      <c r="Q302" s="40" t="s">
        <v>3023</v>
      </c>
      <c r="R302" s="40">
        <v>5000</v>
      </c>
      <c r="S302" s="40" t="s">
        <v>3063</v>
      </c>
      <c r="T302" s="40">
        <v>5000</v>
      </c>
      <c r="U302" s="40" t="s">
        <v>3066</v>
      </c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spans="1:34" x14ac:dyDescent="0.25">
      <c r="A303" s="40">
        <v>7</v>
      </c>
      <c r="B303" s="40">
        <v>276</v>
      </c>
      <c r="C303" s="40" t="s">
        <v>2920</v>
      </c>
      <c r="D303" s="40" t="s">
        <v>2488</v>
      </c>
      <c r="E303" s="40" t="s">
        <v>939</v>
      </c>
      <c r="F303" s="43" t="s">
        <v>2980</v>
      </c>
      <c r="G303" s="40"/>
      <c r="H303" s="40"/>
      <c r="I303" s="40"/>
      <c r="J303" s="40"/>
      <c r="K303" s="40"/>
      <c r="L303" s="40"/>
      <c r="M303" s="40"/>
      <c r="N303" s="40"/>
      <c r="O303" s="40">
        <v>15000</v>
      </c>
      <c r="P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spans="1:34" x14ac:dyDescent="0.25">
      <c r="A304" s="54">
        <v>8</v>
      </c>
      <c r="B304" s="40">
        <v>164</v>
      </c>
      <c r="C304" s="40" t="s">
        <v>2921</v>
      </c>
      <c r="D304" s="40" t="s">
        <v>2493</v>
      </c>
      <c r="E304" s="40" t="s">
        <v>939</v>
      </c>
      <c r="F304" s="43" t="s">
        <v>2981</v>
      </c>
      <c r="G304" s="40"/>
      <c r="H304" s="40"/>
      <c r="I304" s="40"/>
      <c r="J304" s="40"/>
      <c r="K304" s="40"/>
      <c r="L304" s="40"/>
      <c r="M304" s="40"/>
      <c r="N304" s="40"/>
      <c r="O304" s="40">
        <v>18000</v>
      </c>
      <c r="P304" s="40">
        <v>1000</v>
      </c>
      <c r="Q304" s="40" t="s">
        <v>3024</v>
      </c>
      <c r="R304" s="40">
        <v>5600</v>
      </c>
      <c r="S304" s="40" t="s">
        <v>3064</v>
      </c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spans="1:34" x14ac:dyDescent="0.25">
      <c r="A305" s="54">
        <v>9</v>
      </c>
      <c r="B305" s="40">
        <v>277</v>
      </c>
      <c r="C305" s="40" t="s">
        <v>2922</v>
      </c>
      <c r="D305" s="40" t="s">
        <v>2955</v>
      </c>
      <c r="E305" s="40" t="s">
        <v>939</v>
      </c>
      <c r="F305" s="43" t="s">
        <v>2982</v>
      </c>
      <c r="G305" s="40"/>
      <c r="H305" s="40"/>
      <c r="I305" s="40"/>
      <c r="J305" s="40"/>
      <c r="K305" s="40"/>
      <c r="L305" s="40"/>
      <c r="M305" s="40"/>
      <c r="N305" s="40"/>
      <c r="O305" s="40">
        <v>22000</v>
      </c>
      <c r="P305" s="40">
        <v>4000</v>
      </c>
      <c r="Q305" s="40" t="s">
        <v>3025</v>
      </c>
      <c r="R305" s="40">
        <v>6000</v>
      </c>
      <c r="S305" s="40" t="s">
        <v>3065</v>
      </c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spans="1:34" x14ac:dyDescent="0.25">
      <c r="A306" s="54">
        <v>10</v>
      </c>
      <c r="B306" s="40">
        <v>278</v>
      </c>
      <c r="C306" s="40" t="s">
        <v>2923</v>
      </c>
      <c r="D306" s="40" t="s">
        <v>1939</v>
      </c>
      <c r="E306" s="40" t="s">
        <v>939</v>
      </c>
      <c r="F306" s="43" t="s">
        <v>2983</v>
      </c>
      <c r="G306" s="40"/>
      <c r="H306" s="40"/>
      <c r="I306" s="40"/>
      <c r="J306" s="40"/>
      <c r="K306" s="40"/>
      <c r="L306" s="40"/>
      <c r="M306" s="40"/>
      <c r="N306" s="40"/>
      <c r="O306" s="40">
        <v>25000</v>
      </c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spans="1:34" x14ac:dyDescent="0.25">
      <c r="A307" s="54">
        <v>11</v>
      </c>
      <c r="B307" s="40">
        <v>279</v>
      </c>
      <c r="C307" s="40" t="s">
        <v>2924</v>
      </c>
      <c r="D307" s="40" t="s">
        <v>2138</v>
      </c>
      <c r="E307" s="40" t="s">
        <v>939</v>
      </c>
      <c r="F307" s="43" t="s">
        <v>2984</v>
      </c>
      <c r="G307" s="40"/>
      <c r="H307" s="40"/>
      <c r="I307" s="40"/>
      <c r="J307" s="40"/>
      <c r="K307" s="40"/>
      <c r="L307" s="40"/>
      <c r="M307" s="40"/>
      <c r="N307" s="40"/>
      <c r="O307" s="40">
        <v>25000</v>
      </c>
      <c r="P307" s="40">
        <v>12000</v>
      </c>
      <c r="Q307" s="40" t="s">
        <v>3026</v>
      </c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spans="1:34" x14ac:dyDescent="0.25">
      <c r="A308" s="40">
        <v>12</v>
      </c>
      <c r="B308" s="40">
        <v>280</v>
      </c>
      <c r="C308" s="40" t="s">
        <v>2925</v>
      </c>
      <c r="D308" s="40" t="s">
        <v>2956</v>
      </c>
      <c r="E308" s="40" t="s">
        <v>939</v>
      </c>
      <c r="F308" s="43" t="s">
        <v>2985</v>
      </c>
      <c r="G308" s="40"/>
      <c r="H308" s="40"/>
      <c r="I308" s="40"/>
      <c r="J308" s="40"/>
      <c r="K308" s="40"/>
      <c r="L308" s="40"/>
      <c r="M308" s="40"/>
      <c r="N308" s="40"/>
      <c r="O308" s="40">
        <v>20000</v>
      </c>
      <c r="P308" s="40">
        <v>5000</v>
      </c>
      <c r="Q308" s="40" t="s">
        <v>3027</v>
      </c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spans="1:34" x14ac:dyDescent="0.25">
      <c r="A309" s="54">
        <v>13</v>
      </c>
      <c r="B309" s="40">
        <v>205</v>
      </c>
      <c r="C309" s="40" t="s">
        <v>2156</v>
      </c>
      <c r="D309" s="40" t="s">
        <v>2842</v>
      </c>
      <c r="E309" s="40" t="s">
        <v>939</v>
      </c>
      <c r="F309" s="43" t="s">
        <v>2986</v>
      </c>
      <c r="G309" s="40"/>
      <c r="H309" s="40"/>
      <c r="I309" s="40"/>
      <c r="J309" s="40"/>
      <c r="K309" s="40"/>
      <c r="L309" s="40"/>
      <c r="M309" s="40"/>
      <c r="N309" s="40"/>
      <c r="O309" s="40">
        <v>13000</v>
      </c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spans="1:34" x14ac:dyDescent="0.25">
      <c r="A310" s="54">
        <v>14</v>
      </c>
      <c r="B310" s="40">
        <v>203</v>
      </c>
      <c r="C310" s="40" t="s">
        <v>2926</v>
      </c>
      <c r="D310" s="40" t="s">
        <v>2957</v>
      </c>
      <c r="E310" s="40" t="s">
        <v>939</v>
      </c>
      <c r="F310" s="43" t="s">
        <v>2987</v>
      </c>
      <c r="G310" s="40"/>
      <c r="H310" s="40"/>
      <c r="I310" s="40"/>
      <c r="J310" s="40"/>
      <c r="K310" s="40"/>
      <c r="L310" s="40"/>
      <c r="M310" s="40"/>
      <c r="N310" s="40"/>
      <c r="O310" s="40">
        <v>20000</v>
      </c>
      <c r="P310" s="40">
        <v>5000</v>
      </c>
      <c r="Q310" s="40" t="s">
        <v>3028</v>
      </c>
      <c r="R310" s="40">
        <v>5000</v>
      </c>
      <c r="S310" s="40" t="s">
        <v>3067</v>
      </c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spans="1:34" x14ac:dyDescent="0.25">
      <c r="A311" s="54">
        <v>15</v>
      </c>
      <c r="B311" s="40">
        <v>281</v>
      </c>
      <c r="C311" s="40" t="s">
        <v>2927</v>
      </c>
      <c r="D311" s="40" t="s">
        <v>2304</v>
      </c>
      <c r="E311" s="40" t="s">
        <v>939</v>
      </c>
      <c r="F311" s="43" t="s">
        <v>2988</v>
      </c>
      <c r="G311" s="40"/>
      <c r="H311" s="40"/>
      <c r="I311" s="40"/>
      <c r="J311" s="40"/>
      <c r="K311" s="40"/>
      <c r="L311" s="40"/>
      <c r="M311" s="40"/>
      <c r="N311" s="40"/>
      <c r="O311" s="40">
        <v>20000</v>
      </c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spans="1:34" x14ac:dyDescent="0.25">
      <c r="A312" s="54">
        <v>16</v>
      </c>
      <c r="B312" s="40">
        <v>333</v>
      </c>
      <c r="C312" s="40" t="s">
        <v>2928</v>
      </c>
      <c r="D312" s="40" t="s">
        <v>2958</v>
      </c>
      <c r="E312" s="40" t="s">
        <v>939</v>
      </c>
      <c r="F312" s="43" t="s">
        <v>2989</v>
      </c>
      <c r="G312" s="40"/>
      <c r="H312" s="40"/>
      <c r="I312" s="40"/>
      <c r="J312" s="40"/>
      <c r="K312" s="40"/>
      <c r="L312" s="40"/>
      <c r="M312" s="40"/>
      <c r="N312" s="40"/>
      <c r="O312" s="40">
        <v>18000</v>
      </c>
      <c r="P312" s="40">
        <v>1500</v>
      </c>
      <c r="Q312" s="40" t="s">
        <v>3029</v>
      </c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spans="1:34" x14ac:dyDescent="0.25">
      <c r="A313" s="54">
        <v>17</v>
      </c>
      <c r="B313" s="40">
        <v>282</v>
      </c>
      <c r="C313" s="40" t="s">
        <v>2941</v>
      </c>
      <c r="D313" s="40" t="s">
        <v>2959</v>
      </c>
      <c r="E313" s="40" t="s">
        <v>939</v>
      </c>
      <c r="F313" s="43" t="s">
        <v>2990</v>
      </c>
      <c r="G313" s="40"/>
      <c r="H313" s="40"/>
      <c r="I313" s="40"/>
      <c r="J313" s="40"/>
      <c r="K313" s="40"/>
      <c r="L313" s="40"/>
      <c r="M313" s="40"/>
      <c r="N313" s="40"/>
      <c r="O313" s="40">
        <v>5000</v>
      </c>
      <c r="P313" s="40">
        <v>1000</v>
      </c>
      <c r="Q313" s="40" t="s">
        <v>3030</v>
      </c>
      <c r="R313" s="40">
        <v>1000</v>
      </c>
      <c r="S313" s="40" t="s">
        <v>3068</v>
      </c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spans="1:34" x14ac:dyDescent="0.25">
      <c r="A314" s="54">
        <v>18</v>
      </c>
      <c r="B314" s="40">
        <v>283</v>
      </c>
      <c r="C314" s="40" t="s">
        <v>2942</v>
      </c>
      <c r="D314" s="40" t="s">
        <v>2165</v>
      </c>
      <c r="E314" s="40" t="s">
        <v>939</v>
      </c>
      <c r="F314" s="43" t="s">
        <v>2991</v>
      </c>
      <c r="G314" s="40"/>
      <c r="H314" s="40"/>
      <c r="I314" s="40"/>
      <c r="J314" s="40"/>
      <c r="K314" s="40"/>
      <c r="L314" s="40"/>
      <c r="M314" s="40"/>
      <c r="N314" s="40"/>
      <c r="O314" s="40">
        <v>12000</v>
      </c>
      <c r="P314" s="40">
        <v>3000</v>
      </c>
      <c r="Q314" s="40" t="s">
        <v>3031</v>
      </c>
      <c r="R314" s="40">
        <v>3000</v>
      </c>
      <c r="S314" s="40" t="s">
        <v>3069</v>
      </c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spans="1:34" x14ac:dyDescent="0.25">
      <c r="A315" s="54">
        <v>19</v>
      </c>
      <c r="B315" s="40">
        <v>284</v>
      </c>
      <c r="C315" s="40" t="s">
        <v>2943</v>
      </c>
      <c r="D315" s="40" t="s">
        <v>2165</v>
      </c>
      <c r="E315" s="40" t="s">
        <v>939</v>
      </c>
      <c r="F315" s="43" t="s">
        <v>2992</v>
      </c>
      <c r="G315" s="40"/>
      <c r="H315" s="40"/>
      <c r="I315" s="40"/>
      <c r="J315" s="40"/>
      <c r="K315" s="40"/>
      <c r="L315" s="40"/>
      <c r="M315" s="40"/>
      <c r="N315" s="40"/>
      <c r="O315" s="40">
        <v>7000</v>
      </c>
      <c r="P315" s="40">
        <v>1000</v>
      </c>
      <c r="Q315" s="40" t="s">
        <v>3032</v>
      </c>
      <c r="R315" s="40">
        <v>2000</v>
      </c>
      <c r="S315" s="40" t="s">
        <v>3070</v>
      </c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spans="1:34" x14ac:dyDescent="0.25">
      <c r="A316" s="40">
        <v>20</v>
      </c>
      <c r="B316" s="40">
        <v>356</v>
      </c>
      <c r="C316" s="40" t="s">
        <v>2929</v>
      </c>
      <c r="D316" s="40" t="s">
        <v>2960</v>
      </c>
      <c r="E316" s="40" t="s">
        <v>939</v>
      </c>
      <c r="F316" s="43" t="s">
        <v>2993</v>
      </c>
      <c r="G316" s="40"/>
      <c r="H316" s="40"/>
      <c r="I316" s="40"/>
      <c r="J316" s="40"/>
      <c r="K316" s="40"/>
      <c r="L316" s="40"/>
      <c r="M316" s="40"/>
      <c r="N316" s="40"/>
      <c r="O316" s="40">
        <v>20000</v>
      </c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spans="1:34" x14ac:dyDescent="0.25">
      <c r="A317" s="54">
        <v>21</v>
      </c>
      <c r="B317" s="40">
        <v>285</v>
      </c>
      <c r="C317" s="40" t="s">
        <v>2930</v>
      </c>
      <c r="D317" s="40" t="s">
        <v>2012</v>
      </c>
      <c r="E317" s="40" t="s">
        <v>939</v>
      </c>
      <c r="F317" s="43" t="s">
        <v>2994</v>
      </c>
      <c r="G317" s="40"/>
      <c r="H317" s="40"/>
      <c r="I317" s="40"/>
      <c r="J317" s="40"/>
      <c r="K317" s="40"/>
      <c r="L317" s="40"/>
      <c r="M317" s="40"/>
      <c r="N317" s="40"/>
      <c r="O317" s="40">
        <v>3000</v>
      </c>
      <c r="P317" s="40">
        <v>1000</v>
      </c>
      <c r="Q317" s="40" t="s">
        <v>3033</v>
      </c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spans="1:34" x14ac:dyDescent="0.25">
      <c r="A318" s="54">
        <v>22</v>
      </c>
      <c r="B318" s="40">
        <v>286</v>
      </c>
      <c r="C318" s="40" t="s">
        <v>2931</v>
      </c>
      <c r="D318" s="40" t="s">
        <v>2961</v>
      </c>
      <c r="E318" s="40" t="s">
        <v>939</v>
      </c>
      <c r="F318" s="43" t="s">
        <v>2995</v>
      </c>
      <c r="G318" s="40"/>
      <c r="H318" s="40"/>
      <c r="I318" s="40"/>
      <c r="J318" s="40"/>
      <c r="K318" s="40"/>
      <c r="L318" s="40"/>
      <c r="M318" s="40"/>
      <c r="N318" s="40"/>
      <c r="O318" s="40">
        <v>18000</v>
      </c>
      <c r="P318" s="40">
        <v>3000</v>
      </c>
      <c r="Q318" s="40" t="s">
        <v>3034</v>
      </c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spans="1:34" x14ac:dyDescent="0.25">
      <c r="A319" s="54">
        <v>23</v>
      </c>
      <c r="B319" s="40">
        <v>351</v>
      </c>
      <c r="C319" s="40" t="s">
        <v>2932</v>
      </c>
      <c r="D319" s="40" t="s">
        <v>2962</v>
      </c>
      <c r="E319" s="40" t="s">
        <v>939</v>
      </c>
      <c r="F319" s="43" t="s">
        <v>2996</v>
      </c>
      <c r="G319" s="40"/>
      <c r="H319" s="40"/>
      <c r="I319" s="40"/>
      <c r="J319" s="40"/>
      <c r="K319" s="40"/>
      <c r="L319" s="40"/>
      <c r="M319" s="40"/>
      <c r="N319" s="40"/>
      <c r="O319" s="40">
        <v>18000</v>
      </c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spans="1:34" x14ac:dyDescent="0.25">
      <c r="A320" s="54">
        <v>24</v>
      </c>
      <c r="B320" s="40">
        <v>287</v>
      </c>
      <c r="C320" s="40" t="s">
        <v>2933</v>
      </c>
      <c r="D320" s="40" t="s">
        <v>2963</v>
      </c>
      <c r="E320" s="40" t="s">
        <v>939</v>
      </c>
      <c r="F320" s="43" t="s">
        <v>2997</v>
      </c>
      <c r="G320" s="40"/>
      <c r="H320" s="40"/>
      <c r="I320" s="40"/>
      <c r="J320" s="40"/>
      <c r="K320" s="40"/>
      <c r="L320" s="40"/>
      <c r="M320" s="40"/>
      <c r="N320" s="40"/>
      <c r="O320" s="40">
        <v>20000</v>
      </c>
      <c r="P320" s="40">
        <v>5000</v>
      </c>
      <c r="Q320" s="40" t="s">
        <v>3035</v>
      </c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spans="1:34" x14ac:dyDescent="0.25">
      <c r="A321" s="40">
        <v>25</v>
      </c>
      <c r="B321" s="40">
        <v>340</v>
      </c>
      <c r="C321" s="40" t="s">
        <v>2277</v>
      </c>
      <c r="D321" s="40" t="s">
        <v>2964</v>
      </c>
      <c r="E321" s="40" t="s">
        <v>939</v>
      </c>
      <c r="F321" s="43" t="s">
        <v>2998</v>
      </c>
      <c r="G321" s="40"/>
      <c r="H321" s="40"/>
      <c r="I321" s="40"/>
      <c r="J321" s="40"/>
      <c r="K321" s="40"/>
      <c r="L321" s="40"/>
      <c r="M321" s="40"/>
      <c r="N321" s="40"/>
      <c r="O321" s="40">
        <v>20000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spans="1:34" x14ac:dyDescent="0.25">
      <c r="A322" s="54">
        <v>26</v>
      </c>
      <c r="B322" s="40">
        <v>288</v>
      </c>
      <c r="C322" s="40" t="s">
        <v>2934</v>
      </c>
      <c r="D322" s="40" t="s">
        <v>2181</v>
      </c>
      <c r="E322" s="40" t="s">
        <v>939</v>
      </c>
      <c r="F322" s="43" t="s">
        <v>2999</v>
      </c>
      <c r="G322" s="40"/>
      <c r="H322" s="40"/>
      <c r="I322" s="40"/>
      <c r="J322" s="40"/>
      <c r="K322" s="40"/>
      <c r="L322" s="40"/>
      <c r="M322" s="40"/>
      <c r="N322" s="40"/>
      <c r="O322" s="40">
        <v>20000</v>
      </c>
      <c r="P322" s="40">
        <v>5000</v>
      </c>
      <c r="Q322" s="40" t="s">
        <v>3036</v>
      </c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spans="1:34" x14ac:dyDescent="0.25">
      <c r="A323" s="54">
        <v>27</v>
      </c>
      <c r="B323" s="40">
        <v>289</v>
      </c>
      <c r="C323" s="40" t="s">
        <v>2935</v>
      </c>
      <c r="D323" s="40" t="s">
        <v>2965</v>
      </c>
      <c r="E323" s="40" t="s">
        <v>939</v>
      </c>
      <c r="F323" s="43" t="s">
        <v>3000</v>
      </c>
      <c r="G323" s="40"/>
      <c r="H323" s="40"/>
      <c r="I323" s="40"/>
      <c r="J323" s="40"/>
      <c r="K323" s="40"/>
      <c r="L323" s="40"/>
      <c r="M323" s="40"/>
      <c r="N323" s="40"/>
      <c r="O323" s="40" t="s">
        <v>1842</v>
      </c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spans="1:34" x14ac:dyDescent="0.25">
      <c r="A324" s="54">
        <v>28</v>
      </c>
      <c r="B324" s="40">
        <v>290</v>
      </c>
      <c r="C324" s="40" t="s">
        <v>2936</v>
      </c>
      <c r="D324" s="40" t="s">
        <v>2966</v>
      </c>
      <c r="E324" s="40" t="s">
        <v>939</v>
      </c>
      <c r="F324" s="43" t="s">
        <v>3001</v>
      </c>
      <c r="G324" s="40"/>
      <c r="H324" s="40"/>
      <c r="I324" s="40"/>
      <c r="J324" s="40"/>
      <c r="K324" s="40"/>
      <c r="L324" s="40"/>
      <c r="M324" s="40"/>
      <c r="N324" s="40"/>
      <c r="O324" s="40">
        <v>15000</v>
      </c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spans="1:34" x14ac:dyDescent="0.25">
      <c r="A325" s="54">
        <v>29</v>
      </c>
      <c r="B325" s="40">
        <v>292</v>
      </c>
      <c r="C325" s="40" t="s">
        <v>2937</v>
      </c>
      <c r="D325" s="40" t="s">
        <v>2967</v>
      </c>
      <c r="E325" s="40" t="s">
        <v>939</v>
      </c>
      <c r="F325" s="43" t="s">
        <v>3002</v>
      </c>
      <c r="G325" s="40"/>
      <c r="H325" s="40"/>
      <c r="I325" s="40"/>
      <c r="J325" s="40"/>
      <c r="K325" s="40"/>
      <c r="L325" s="40"/>
      <c r="M325" s="40"/>
      <c r="N325" s="40"/>
      <c r="O325" s="40">
        <v>20000</v>
      </c>
      <c r="P325" s="40">
        <v>1000</v>
      </c>
      <c r="Q325" s="40" t="s">
        <v>3037</v>
      </c>
      <c r="R325" s="40">
        <v>2800</v>
      </c>
      <c r="S325" s="40" t="s">
        <v>3071</v>
      </c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spans="1:34" x14ac:dyDescent="0.25">
      <c r="A326" s="40">
        <v>30</v>
      </c>
      <c r="B326" s="40">
        <v>293</v>
      </c>
      <c r="C326" s="40" t="s">
        <v>2006</v>
      </c>
      <c r="D326" s="40" t="s">
        <v>2660</v>
      </c>
      <c r="E326" s="40" t="s">
        <v>939</v>
      </c>
      <c r="F326" s="43" t="s">
        <v>3003</v>
      </c>
      <c r="G326" s="40"/>
      <c r="H326" s="40"/>
      <c r="I326" s="40"/>
      <c r="J326" s="40"/>
      <c r="K326" s="40"/>
      <c r="L326" s="40"/>
      <c r="M326" s="40"/>
      <c r="N326" s="40"/>
      <c r="O326" s="40">
        <v>20000</v>
      </c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spans="1:34" x14ac:dyDescent="0.25">
      <c r="A327" s="54">
        <v>31</v>
      </c>
      <c r="B327" s="40">
        <v>199</v>
      </c>
      <c r="C327" s="40" t="s">
        <v>2938</v>
      </c>
      <c r="D327" s="40" t="s">
        <v>2165</v>
      </c>
      <c r="E327" s="40" t="s">
        <v>939</v>
      </c>
      <c r="F327" s="43" t="s">
        <v>3004</v>
      </c>
      <c r="G327" s="40"/>
      <c r="H327" s="40"/>
      <c r="I327" s="40"/>
      <c r="J327" s="40"/>
      <c r="K327" s="40"/>
      <c r="L327" s="40"/>
      <c r="M327" s="40"/>
      <c r="N327" s="40"/>
      <c r="O327" s="40">
        <v>20000</v>
      </c>
      <c r="P327" s="40">
        <v>1000</v>
      </c>
      <c r="Q327" s="40" t="s">
        <v>3038</v>
      </c>
      <c r="R327" s="40">
        <v>4000</v>
      </c>
      <c r="S327" s="40" t="s">
        <v>3072</v>
      </c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spans="1:34" x14ac:dyDescent="0.25">
      <c r="A328" s="54">
        <v>32</v>
      </c>
      <c r="B328" s="40">
        <v>294</v>
      </c>
      <c r="C328" s="40" t="s">
        <v>2939</v>
      </c>
      <c r="D328" s="40" t="s">
        <v>2165</v>
      </c>
      <c r="E328" s="40" t="s">
        <v>939</v>
      </c>
      <c r="F328" s="43" t="s">
        <v>3005</v>
      </c>
      <c r="G328" s="40"/>
      <c r="H328" s="40"/>
      <c r="I328" s="40"/>
      <c r="J328" s="40"/>
      <c r="K328" s="40"/>
      <c r="L328" s="40"/>
      <c r="M328" s="40"/>
      <c r="N328" s="40"/>
      <c r="O328" s="40">
        <v>20000</v>
      </c>
      <c r="P328" s="40">
        <v>1000</v>
      </c>
      <c r="Q328" s="40" t="s">
        <v>3039</v>
      </c>
      <c r="R328" s="40">
        <v>4000</v>
      </c>
      <c r="S328" s="40" t="s">
        <v>3073</v>
      </c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spans="1:34" x14ac:dyDescent="0.25">
      <c r="A329" s="54">
        <v>33</v>
      </c>
      <c r="B329" s="40">
        <v>295</v>
      </c>
      <c r="C329" s="40" t="s">
        <v>2459</v>
      </c>
      <c r="D329" s="40" t="s">
        <v>1861</v>
      </c>
      <c r="E329" s="40" t="s">
        <v>939</v>
      </c>
      <c r="F329" s="43" t="s">
        <v>3006</v>
      </c>
      <c r="G329" s="40"/>
      <c r="H329" s="40"/>
      <c r="I329" s="40"/>
      <c r="J329" s="40"/>
      <c r="K329" s="40"/>
      <c r="L329" s="40"/>
      <c r="M329" s="40"/>
      <c r="N329" s="40"/>
      <c r="O329" s="40">
        <v>5000</v>
      </c>
      <c r="P329" s="40">
        <v>1000</v>
      </c>
      <c r="Q329" s="40" t="s">
        <v>3040</v>
      </c>
      <c r="R329" s="40">
        <v>1000</v>
      </c>
      <c r="S329" s="40" t="s">
        <v>3074</v>
      </c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spans="1:34" x14ac:dyDescent="0.25">
      <c r="A330" s="54">
        <v>34</v>
      </c>
      <c r="B330" s="40">
        <v>296</v>
      </c>
      <c r="C330" s="40" t="s">
        <v>1893</v>
      </c>
      <c r="D330" s="40" t="s">
        <v>2968</v>
      </c>
      <c r="E330" s="40" t="s">
        <v>939</v>
      </c>
      <c r="F330" s="43" t="s">
        <v>3007</v>
      </c>
      <c r="G330" s="40"/>
      <c r="H330" s="40"/>
      <c r="I330" s="40"/>
      <c r="J330" s="40"/>
      <c r="K330" s="40"/>
      <c r="L330" s="40"/>
      <c r="M330" s="40"/>
      <c r="N330" s="40"/>
      <c r="O330" s="40">
        <v>15000</v>
      </c>
      <c r="P330" s="40">
        <v>1000</v>
      </c>
      <c r="Q330" s="40" t="s">
        <v>3041</v>
      </c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spans="1:34" x14ac:dyDescent="0.25">
      <c r="A331" s="40">
        <v>35</v>
      </c>
      <c r="B331" s="40">
        <v>297</v>
      </c>
      <c r="C331" s="40" t="s">
        <v>2940</v>
      </c>
      <c r="D331" s="40" t="s">
        <v>2008</v>
      </c>
      <c r="E331" s="40" t="s">
        <v>939</v>
      </c>
      <c r="F331" s="43" t="s">
        <v>3008</v>
      </c>
      <c r="G331" s="40"/>
      <c r="H331" s="40"/>
      <c r="I331" s="40"/>
      <c r="J331" s="40"/>
      <c r="K331" s="40"/>
      <c r="L331" s="40"/>
      <c r="M331" s="40"/>
      <c r="N331" s="40"/>
      <c r="O331" s="40">
        <v>23000</v>
      </c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spans="1:34" x14ac:dyDescent="0.25">
      <c r="A332" s="40">
        <v>36</v>
      </c>
      <c r="B332" s="40">
        <v>298</v>
      </c>
      <c r="C332" s="40" t="s">
        <v>2107</v>
      </c>
      <c r="D332" s="40" t="s">
        <v>2969</v>
      </c>
      <c r="E332" s="40" t="s">
        <v>939</v>
      </c>
      <c r="F332" s="43" t="s">
        <v>3009</v>
      </c>
      <c r="G332" s="40"/>
      <c r="H332" s="40"/>
      <c r="I332" s="40"/>
      <c r="J332" s="40"/>
      <c r="K332" s="40"/>
      <c r="L332" s="40"/>
      <c r="M332" s="40"/>
      <c r="N332" s="40"/>
      <c r="O332" s="40">
        <v>14500</v>
      </c>
      <c r="P332" s="40">
        <v>1000</v>
      </c>
      <c r="Q332" s="40" t="s">
        <v>3042</v>
      </c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spans="1:34" x14ac:dyDescent="0.25">
      <c r="A333" s="54">
        <v>37</v>
      </c>
      <c r="B333" s="40">
        <v>299</v>
      </c>
      <c r="C333" s="40" t="s">
        <v>2944</v>
      </c>
      <c r="D333" s="40" t="s">
        <v>2970</v>
      </c>
      <c r="E333" s="40" t="s">
        <v>939</v>
      </c>
      <c r="F333" s="43" t="s">
        <v>3010</v>
      </c>
      <c r="G333" s="40"/>
      <c r="H333" s="40"/>
      <c r="I333" s="40"/>
      <c r="J333" s="40"/>
      <c r="K333" s="40"/>
      <c r="L333" s="40"/>
      <c r="M333" s="40"/>
      <c r="N333" s="40"/>
      <c r="O333" s="40">
        <v>17000</v>
      </c>
      <c r="P333" s="40">
        <v>1000</v>
      </c>
      <c r="Q333" s="40" t="s">
        <v>3043</v>
      </c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spans="1:34" x14ac:dyDescent="0.25">
      <c r="A334" s="54">
        <v>38</v>
      </c>
      <c r="B334" s="40">
        <v>300</v>
      </c>
      <c r="C334" s="40" t="s">
        <v>2265</v>
      </c>
      <c r="D334" s="40" t="s">
        <v>1885</v>
      </c>
      <c r="E334" s="40" t="s">
        <v>939</v>
      </c>
      <c r="F334" s="43" t="s">
        <v>3011</v>
      </c>
      <c r="G334" s="40"/>
      <c r="H334" s="40"/>
      <c r="I334" s="40"/>
      <c r="J334" s="40"/>
      <c r="K334" s="40"/>
      <c r="L334" s="40"/>
      <c r="M334" s="40"/>
      <c r="N334" s="40"/>
      <c r="O334" s="40">
        <v>12000</v>
      </c>
      <c r="P334" s="40">
        <v>3000</v>
      </c>
      <c r="Q334" s="40" t="s">
        <v>3044</v>
      </c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spans="1:34" x14ac:dyDescent="0.25">
      <c r="A335" s="54">
        <v>39</v>
      </c>
      <c r="B335" s="40">
        <v>359</v>
      </c>
      <c r="C335" s="40" t="s">
        <v>2945</v>
      </c>
      <c r="D335" s="40" t="s">
        <v>2043</v>
      </c>
      <c r="E335" s="40" t="s">
        <v>939</v>
      </c>
      <c r="F335" s="43" t="s">
        <v>3012</v>
      </c>
      <c r="G335" s="40"/>
      <c r="H335" s="40"/>
      <c r="I335" s="40"/>
      <c r="J335" s="40"/>
      <c r="K335" s="40"/>
      <c r="L335" s="40"/>
      <c r="M335" s="40"/>
      <c r="N335" s="40"/>
      <c r="O335" s="40">
        <v>25000</v>
      </c>
      <c r="P335" s="40">
        <v>5000</v>
      </c>
      <c r="Q335" s="40" t="s">
        <v>3045</v>
      </c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spans="1:34" x14ac:dyDescent="0.25">
      <c r="A336" s="54">
        <v>40</v>
      </c>
      <c r="B336" s="40">
        <v>192</v>
      </c>
      <c r="C336" s="40" t="s">
        <v>2946</v>
      </c>
      <c r="D336" s="40" t="s">
        <v>2971</v>
      </c>
      <c r="E336" s="40" t="s">
        <v>939</v>
      </c>
      <c r="F336" s="43" t="s">
        <v>3013</v>
      </c>
      <c r="G336" s="40"/>
      <c r="H336" s="40"/>
      <c r="I336" s="40"/>
      <c r="J336" s="40"/>
      <c r="K336" s="40"/>
      <c r="L336" s="40"/>
      <c r="M336" s="40"/>
      <c r="N336" s="40"/>
      <c r="O336" s="40">
        <v>15000</v>
      </c>
      <c r="P336" s="40">
        <v>1000</v>
      </c>
      <c r="Q336" s="40" t="s">
        <v>3046</v>
      </c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spans="1:34" x14ac:dyDescent="0.25">
      <c r="A337" s="54">
        <v>41</v>
      </c>
      <c r="B337" s="40">
        <v>184</v>
      </c>
      <c r="C337" s="40" t="s">
        <v>1860</v>
      </c>
      <c r="D337" s="40" t="s">
        <v>2972</v>
      </c>
      <c r="E337" s="40" t="s">
        <v>939</v>
      </c>
      <c r="F337" s="43" t="s">
        <v>3014</v>
      </c>
      <c r="G337" s="40"/>
      <c r="H337" s="40"/>
      <c r="I337" s="40"/>
      <c r="J337" s="40"/>
      <c r="K337" s="40"/>
      <c r="L337" s="40"/>
      <c r="M337" s="40"/>
      <c r="N337" s="40"/>
      <c r="O337" s="40">
        <v>15000</v>
      </c>
      <c r="P337" s="40">
        <v>1000</v>
      </c>
      <c r="Q337" s="40" t="s">
        <v>3047</v>
      </c>
      <c r="R337" s="40">
        <v>2500</v>
      </c>
      <c r="S337" s="40" t="s">
        <v>3075</v>
      </c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spans="1:34" x14ac:dyDescent="0.25">
      <c r="A338" s="54">
        <v>42</v>
      </c>
      <c r="B338" s="40">
        <v>334</v>
      </c>
      <c r="C338" s="40" t="s">
        <v>2947</v>
      </c>
      <c r="D338" s="40" t="s">
        <v>1942</v>
      </c>
      <c r="E338" s="40" t="s">
        <v>939</v>
      </c>
      <c r="F338" s="43" t="s">
        <v>3015</v>
      </c>
      <c r="G338" s="40"/>
      <c r="H338" s="40"/>
      <c r="I338" s="40"/>
      <c r="J338" s="40"/>
      <c r="K338" s="40"/>
      <c r="L338" s="40"/>
      <c r="M338" s="40"/>
      <c r="N338" s="40"/>
      <c r="O338" s="40">
        <v>20000</v>
      </c>
      <c r="P338" s="40">
        <v>1000</v>
      </c>
      <c r="Q338" s="40" t="s">
        <v>3048</v>
      </c>
      <c r="R338" s="40">
        <v>5000</v>
      </c>
      <c r="S338" s="40" t="s">
        <v>3076</v>
      </c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spans="1:34" x14ac:dyDescent="0.25">
      <c r="A339" s="54">
        <v>43</v>
      </c>
      <c r="B339" s="40">
        <v>345</v>
      </c>
      <c r="C339" s="40" t="s">
        <v>2948</v>
      </c>
      <c r="D339" s="40" t="s">
        <v>2973</v>
      </c>
      <c r="E339" s="40" t="s">
        <v>939</v>
      </c>
      <c r="F339" s="43" t="s">
        <v>3016</v>
      </c>
      <c r="G339" s="40"/>
      <c r="H339" s="40"/>
      <c r="I339" s="40"/>
      <c r="J339" s="40"/>
      <c r="K339" s="40"/>
      <c r="L339" s="40"/>
      <c r="M339" s="40"/>
      <c r="N339" s="40"/>
      <c r="O339" s="40">
        <v>20000</v>
      </c>
      <c r="P339" s="40">
        <v>5000</v>
      </c>
      <c r="Q339" s="40" t="s">
        <v>3049</v>
      </c>
      <c r="R339" s="40">
        <v>5000</v>
      </c>
      <c r="S339" s="40" t="s">
        <v>3077</v>
      </c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spans="1:34" x14ac:dyDescent="0.25">
      <c r="A340" s="54">
        <v>44</v>
      </c>
      <c r="B340" s="40">
        <v>341</v>
      </c>
      <c r="C340" s="40" t="s">
        <v>2949</v>
      </c>
      <c r="D340" s="40"/>
      <c r="E340" s="40" t="s">
        <v>939</v>
      </c>
      <c r="F340" s="43" t="s">
        <v>3017</v>
      </c>
      <c r="G340" s="40"/>
      <c r="H340" s="40"/>
      <c r="I340" s="40"/>
      <c r="J340" s="40"/>
      <c r="K340" s="40"/>
      <c r="L340" s="40"/>
      <c r="M340" s="40"/>
      <c r="N340" s="40"/>
      <c r="O340" s="40">
        <v>20000</v>
      </c>
      <c r="P340" s="40">
        <v>5000</v>
      </c>
      <c r="Q340" s="40" t="s">
        <v>3050</v>
      </c>
      <c r="R340" s="40">
        <v>5000</v>
      </c>
      <c r="S340" s="40" t="s">
        <v>3078</v>
      </c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spans="1:34" x14ac:dyDescent="0.25">
      <c r="A341" s="54">
        <v>1</v>
      </c>
      <c r="B341" s="40">
        <v>182</v>
      </c>
      <c r="C341" s="40" t="s">
        <v>2821</v>
      </c>
      <c r="D341" s="40" t="s">
        <v>2842</v>
      </c>
      <c r="E341" s="40" t="s">
        <v>3079</v>
      </c>
      <c r="F341" s="43" t="s">
        <v>3120</v>
      </c>
      <c r="G341" s="40"/>
      <c r="H341" s="40"/>
      <c r="I341" s="40"/>
      <c r="J341" s="40"/>
      <c r="K341" s="40"/>
      <c r="L341" s="40"/>
      <c r="M341" s="40"/>
      <c r="N341" s="40"/>
      <c r="O341" s="40">
        <v>23000</v>
      </c>
      <c r="P341" s="40">
        <v>5000</v>
      </c>
      <c r="Q341" s="40" t="s">
        <v>3148</v>
      </c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spans="1:34" x14ac:dyDescent="0.25">
      <c r="A342" s="54">
        <v>2</v>
      </c>
      <c r="B342" s="40">
        <v>190</v>
      </c>
      <c r="C342" s="40" t="s">
        <v>1969</v>
      </c>
      <c r="D342" s="40" t="s">
        <v>3104</v>
      </c>
      <c r="E342" s="40" t="s">
        <v>3079</v>
      </c>
      <c r="F342" s="43" t="s">
        <v>3121</v>
      </c>
      <c r="G342" s="40"/>
      <c r="H342" s="40"/>
      <c r="I342" s="40"/>
      <c r="J342" s="40"/>
      <c r="K342" s="40"/>
      <c r="L342" s="40"/>
      <c r="M342" s="40"/>
      <c r="N342" s="40"/>
      <c r="O342" s="40">
        <v>20000</v>
      </c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spans="1:34" x14ac:dyDescent="0.25">
      <c r="A343" s="40">
        <v>3</v>
      </c>
      <c r="B343" s="40">
        <v>302</v>
      </c>
      <c r="C343" s="40" t="s">
        <v>3080</v>
      </c>
      <c r="D343" s="40" t="s">
        <v>2012</v>
      </c>
      <c r="E343" s="40" t="s">
        <v>3079</v>
      </c>
      <c r="F343" s="43" t="s">
        <v>3122</v>
      </c>
      <c r="G343" s="40"/>
      <c r="H343" s="40"/>
      <c r="I343" s="40"/>
      <c r="J343" s="40"/>
      <c r="K343" s="40"/>
      <c r="L343" s="40"/>
      <c r="M343" s="40"/>
      <c r="N343" s="40"/>
      <c r="O343" s="40">
        <v>20000</v>
      </c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spans="1:34" x14ac:dyDescent="0.25">
      <c r="A344" s="54">
        <v>4</v>
      </c>
      <c r="B344" s="40">
        <v>303</v>
      </c>
      <c r="C344" s="40" t="s">
        <v>1919</v>
      </c>
      <c r="D344" s="40" t="s">
        <v>3105</v>
      </c>
      <c r="E344" s="40" t="s">
        <v>3079</v>
      </c>
      <c r="F344" s="43" t="s">
        <v>3123</v>
      </c>
      <c r="G344" s="40"/>
      <c r="H344" s="40"/>
      <c r="I344" s="40"/>
      <c r="J344" s="40"/>
      <c r="K344" s="40"/>
      <c r="L344" s="40"/>
      <c r="M344" s="40"/>
      <c r="N344" s="40"/>
      <c r="O344" s="40">
        <v>25000</v>
      </c>
      <c r="P344" s="40">
        <v>2000</v>
      </c>
      <c r="Q344" s="40" t="s">
        <v>3149</v>
      </c>
      <c r="R344" s="40">
        <v>7500</v>
      </c>
      <c r="S344" s="40" t="s">
        <v>3171</v>
      </c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spans="1:34" x14ac:dyDescent="0.25">
      <c r="A345" s="54">
        <v>5</v>
      </c>
      <c r="B345" s="40">
        <v>304</v>
      </c>
      <c r="C345" s="40" t="s">
        <v>3081</v>
      </c>
      <c r="D345" s="40" t="s">
        <v>3106</v>
      </c>
      <c r="E345" s="40" t="s">
        <v>3079</v>
      </c>
      <c r="F345" s="43" t="s">
        <v>3124</v>
      </c>
      <c r="G345" s="40"/>
      <c r="H345" s="40"/>
      <c r="I345" s="40"/>
      <c r="J345" s="40"/>
      <c r="K345" s="40"/>
      <c r="L345" s="40"/>
      <c r="M345" s="40"/>
      <c r="N345" s="40"/>
      <c r="O345" s="40">
        <v>15000</v>
      </c>
      <c r="P345" s="40">
        <v>1000</v>
      </c>
      <c r="Q345" s="40" t="s">
        <v>3150</v>
      </c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spans="1:34" x14ac:dyDescent="0.25">
      <c r="A346" s="54">
        <v>6</v>
      </c>
      <c r="B346" s="40">
        <v>305</v>
      </c>
      <c r="C346" s="40" t="s">
        <v>3082</v>
      </c>
      <c r="D346" s="40" t="s">
        <v>2495</v>
      </c>
      <c r="E346" s="40" t="s">
        <v>3079</v>
      </c>
      <c r="F346" s="43" t="s">
        <v>3125</v>
      </c>
      <c r="G346" s="40"/>
      <c r="H346" s="40"/>
      <c r="I346" s="40"/>
      <c r="J346" s="40"/>
      <c r="K346" s="40"/>
      <c r="L346" s="40"/>
      <c r="M346" s="40"/>
      <c r="N346" s="40"/>
      <c r="O346" s="40">
        <v>10000</v>
      </c>
      <c r="P346" s="40">
        <v>1000</v>
      </c>
      <c r="Q346" s="40" t="s">
        <v>3151</v>
      </c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spans="1:34" x14ac:dyDescent="0.25">
      <c r="A347" s="54">
        <v>7</v>
      </c>
      <c r="B347" s="40">
        <v>306</v>
      </c>
      <c r="C347" s="40" t="s">
        <v>3083</v>
      </c>
      <c r="D347" s="40" t="s">
        <v>2836</v>
      </c>
      <c r="E347" s="40" t="s">
        <v>3079</v>
      </c>
      <c r="F347" s="43" t="s">
        <v>3126</v>
      </c>
      <c r="G347" s="40"/>
      <c r="H347" s="40"/>
      <c r="I347" s="40"/>
      <c r="J347" s="40"/>
      <c r="K347" s="40"/>
      <c r="L347" s="40"/>
      <c r="M347" s="40"/>
      <c r="N347" s="40"/>
      <c r="O347" s="40">
        <v>18000</v>
      </c>
      <c r="P347" s="40">
        <v>8000</v>
      </c>
      <c r="Q347" s="40" t="s">
        <v>3152</v>
      </c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spans="1:34" x14ac:dyDescent="0.25">
      <c r="A348" s="54">
        <v>8</v>
      </c>
      <c r="B348" s="40">
        <v>307</v>
      </c>
      <c r="C348" s="40" t="s">
        <v>3084</v>
      </c>
      <c r="D348" s="40" t="s">
        <v>3107</v>
      </c>
      <c r="E348" s="40" t="s">
        <v>3079</v>
      </c>
      <c r="F348" s="43" t="s">
        <v>3127</v>
      </c>
      <c r="G348" s="40"/>
      <c r="H348" s="40"/>
      <c r="I348" s="40"/>
      <c r="J348" s="40"/>
      <c r="K348" s="40"/>
      <c r="L348" s="40"/>
      <c r="M348" s="40"/>
      <c r="N348" s="40"/>
      <c r="O348" s="40">
        <v>20000</v>
      </c>
      <c r="P348" s="40">
        <v>1000</v>
      </c>
      <c r="Q348" s="40" t="s">
        <v>3153</v>
      </c>
      <c r="R348" s="40">
        <v>5000</v>
      </c>
      <c r="S348" s="40" t="s">
        <v>3172</v>
      </c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spans="1:34" x14ac:dyDescent="0.25">
      <c r="A349" s="54">
        <v>9</v>
      </c>
      <c r="B349" s="40">
        <v>308</v>
      </c>
      <c r="C349" s="40" t="s">
        <v>3085</v>
      </c>
      <c r="D349" s="40" t="s">
        <v>2173</v>
      </c>
      <c r="E349" s="40" t="s">
        <v>3079</v>
      </c>
      <c r="F349" s="43" t="s">
        <v>3128</v>
      </c>
      <c r="G349" s="40"/>
      <c r="H349" s="40"/>
      <c r="I349" s="40"/>
      <c r="J349" s="40"/>
      <c r="K349" s="40"/>
      <c r="L349" s="40"/>
      <c r="M349" s="40"/>
      <c r="N349" s="40"/>
      <c r="O349" s="40">
        <v>17000</v>
      </c>
      <c r="P349" s="40">
        <v>1000</v>
      </c>
      <c r="Q349" s="40" t="s">
        <v>3154</v>
      </c>
      <c r="R349" s="40">
        <v>5000</v>
      </c>
      <c r="S349" s="40" t="s">
        <v>3173</v>
      </c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spans="1:34" x14ac:dyDescent="0.25">
      <c r="A350" s="54">
        <v>10</v>
      </c>
      <c r="B350" s="40">
        <v>309</v>
      </c>
      <c r="C350" s="40" t="s">
        <v>3086</v>
      </c>
      <c r="D350" s="40" t="s">
        <v>2179</v>
      </c>
      <c r="E350" s="40" t="s">
        <v>3079</v>
      </c>
      <c r="F350" s="43" t="s">
        <v>3129</v>
      </c>
      <c r="G350" s="40"/>
      <c r="H350" s="40"/>
      <c r="I350" s="40"/>
      <c r="J350" s="40"/>
      <c r="K350" s="40"/>
      <c r="L350" s="40"/>
      <c r="M350" s="40"/>
      <c r="N350" s="40"/>
      <c r="O350" s="40">
        <v>20000</v>
      </c>
      <c r="P350" s="40">
        <v>1000</v>
      </c>
      <c r="Q350" s="40" t="s">
        <v>3155</v>
      </c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spans="1:34" x14ac:dyDescent="0.25">
      <c r="A351" s="40">
        <v>11</v>
      </c>
      <c r="B351" s="40">
        <v>310</v>
      </c>
      <c r="C351" s="40" t="s">
        <v>3087</v>
      </c>
      <c r="D351" s="40" t="s">
        <v>2165</v>
      </c>
      <c r="E351" s="40" t="s">
        <v>3079</v>
      </c>
      <c r="F351" s="43" t="s">
        <v>3130</v>
      </c>
      <c r="G351" s="40"/>
      <c r="H351" s="40"/>
      <c r="I351" s="40"/>
      <c r="J351" s="40"/>
      <c r="K351" s="40"/>
      <c r="L351" s="40"/>
      <c r="M351" s="40"/>
      <c r="N351" s="40"/>
      <c r="O351" s="40">
        <v>23000</v>
      </c>
      <c r="P351" s="40">
        <v>1000</v>
      </c>
      <c r="Q351" s="40" t="s">
        <v>3156</v>
      </c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spans="1:34" x14ac:dyDescent="0.25">
      <c r="A352" s="54">
        <v>12</v>
      </c>
      <c r="B352" s="40">
        <v>311</v>
      </c>
      <c r="C352" s="40" t="s">
        <v>3088</v>
      </c>
      <c r="D352" s="40" t="s">
        <v>2832</v>
      </c>
      <c r="E352" s="40" t="s">
        <v>3079</v>
      </c>
      <c r="F352" s="43" t="s">
        <v>3131</v>
      </c>
      <c r="G352" s="40"/>
      <c r="H352" s="40"/>
      <c r="I352" s="40"/>
      <c r="J352" s="40"/>
      <c r="K352" s="40"/>
      <c r="L352" s="40"/>
      <c r="M352" s="40"/>
      <c r="N352" s="40"/>
      <c r="O352" s="40">
        <v>20000</v>
      </c>
      <c r="P352" s="40">
        <v>1000</v>
      </c>
      <c r="Q352" s="40" t="s">
        <v>3157</v>
      </c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spans="1:34" x14ac:dyDescent="0.25">
      <c r="A353" s="40">
        <v>13</v>
      </c>
      <c r="B353" s="40">
        <v>312</v>
      </c>
      <c r="C353" s="40" t="s">
        <v>2007</v>
      </c>
      <c r="D353" s="40" t="s">
        <v>3108</v>
      </c>
      <c r="E353" s="40" t="s">
        <v>3079</v>
      </c>
      <c r="F353" s="43" t="s">
        <v>3132</v>
      </c>
      <c r="G353" s="40"/>
      <c r="H353" s="40"/>
      <c r="I353" s="40"/>
      <c r="J353" s="40"/>
      <c r="K353" s="40"/>
      <c r="L353" s="40"/>
      <c r="M353" s="40"/>
      <c r="N353" s="40"/>
      <c r="O353" s="40">
        <v>10000</v>
      </c>
      <c r="P353" s="40">
        <v>1000</v>
      </c>
      <c r="Q353" s="40" t="s">
        <v>3158</v>
      </c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spans="1:34" x14ac:dyDescent="0.25">
      <c r="A354" s="54">
        <v>14</v>
      </c>
      <c r="B354" s="40">
        <v>313</v>
      </c>
      <c r="C354" s="40" t="s">
        <v>3089</v>
      </c>
      <c r="D354" s="40" t="s">
        <v>3109</v>
      </c>
      <c r="E354" s="40" t="s">
        <v>3079</v>
      </c>
      <c r="F354" s="43" t="s">
        <v>3133</v>
      </c>
      <c r="G354" s="40"/>
      <c r="H354" s="40"/>
      <c r="I354" s="40"/>
      <c r="J354" s="40"/>
      <c r="K354" s="40"/>
      <c r="L354" s="40"/>
      <c r="M354" s="40"/>
      <c r="N354" s="40"/>
      <c r="O354" s="40">
        <v>20000</v>
      </c>
      <c r="P354" s="40">
        <v>3000</v>
      </c>
      <c r="Q354" s="40" t="s">
        <v>3159</v>
      </c>
      <c r="R354" s="40">
        <v>3000</v>
      </c>
      <c r="S354" s="40" t="s">
        <v>3174</v>
      </c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spans="1:34" x14ac:dyDescent="0.25">
      <c r="A355" s="54">
        <v>15</v>
      </c>
      <c r="B355" s="40">
        <v>314</v>
      </c>
      <c r="C355" s="40" t="s">
        <v>3090</v>
      </c>
      <c r="D355" s="40" t="s">
        <v>3109</v>
      </c>
      <c r="E355" s="40" t="s">
        <v>3079</v>
      </c>
      <c r="F355" s="43" t="s">
        <v>3133</v>
      </c>
      <c r="G355" s="40"/>
      <c r="H355" s="40"/>
      <c r="I355" s="40"/>
      <c r="J355" s="40"/>
      <c r="K355" s="40"/>
      <c r="L355" s="40"/>
      <c r="M355" s="40"/>
      <c r="N355" s="40"/>
      <c r="O355" s="40">
        <v>22000</v>
      </c>
      <c r="P355" s="40">
        <v>3000</v>
      </c>
      <c r="Q355" s="40" t="s">
        <v>3160</v>
      </c>
      <c r="R355" s="40">
        <v>3000</v>
      </c>
      <c r="S355" s="40" t="s">
        <v>3175</v>
      </c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spans="1:34" x14ac:dyDescent="0.25">
      <c r="A356" s="40">
        <v>16</v>
      </c>
      <c r="B356" s="40">
        <v>315</v>
      </c>
      <c r="C356" s="40" t="s">
        <v>2634</v>
      </c>
      <c r="D356" s="40" t="s">
        <v>2518</v>
      </c>
      <c r="E356" s="40" t="s">
        <v>3079</v>
      </c>
      <c r="F356" s="43" t="s">
        <v>3134</v>
      </c>
      <c r="G356" s="40"/>
      <c r="H356" s="40"/>
      <c r="I356" s="40"/>
      <c r="J356" s="40"/>
      <c r="K356" s="40"/>
      <c r="L356" s="40"/>
      <c r="M356" s="40"/>
      <c r="N356" s="40"/>
      <c r="O356" s="40">
        <v>7000</v>
      </c>
      <c r="P356" s="40">
        <v>2000</v>
      </c>
      <c r="Q356" s="40" t="s">
        <v>3161</v>
      </c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spans="1:34" x14ac:dyDescent="0.25">
      <c r="A357" s="40">
        <v>17</v>
      </c>
      <c r="B357" s="40">
        <v>316</v>
      </c>
      <c r="C357" s="40" t="s">
        <v>2003</v>
      </c>
      <c r="D357" s="40" t="s">
        <v>2246</v>
      </c>
      <c r="E357" s="40" t="s">
        <v>3079</v>
      </c>
      <c r="F357" s="43" t="s">
        <v>3135</v>
      </c>
      <c r="G357" s="40"/>
      <c r="H357" s="40"/>
      <c r="I357" s="40"/>
      <c r="J357" s="40"/>
      <c r="K357" s="40"/>
      <c r="L357" s="40"/>
      <c r="M357" s="40"/>
      <c r="N357" s="40"/>
      <c r="O357" s="40">
        <v>20000</v>
      </c>
      <c r="P357" s="40">
        <v>1000</v>
      </c>
      <c r="Q357" s="40" t="s">
        <v>3162</v>
      </c>
      <c r="R357" s="40">
        <v>4000</v>
      </c>
      <c r="S357" s="40" t="s">
        <v>3176</v>
      </c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spans="1:34" x14ac:dyDescent="0.25">
      <c r="A358" s="54">
        <v>18</v>
      </c>
      <c r="B358" s="40">
        <v>317</v>
      </c>
      <c r="C358" s="40" t="s">
        <v>3091</v>
      </c>
      <c r="D358" s="40" t="s">
        <v>3110</v>
      </c>
      <c r="E358" s="40" t="s">
        <v>3079</v>
      </c>
      <c r="F358" s="43" t="s">
        <v>3136</v>
      </c>
      <c r="G358" s="40"/>
      <c r="H358" s="40"/>
      <c r="I358" s="40"/>
      <c r="J358" s="40"/>
      <c r="K358" s="40"/>
      <c r="L358" s="40"/>
      <c r="M358" s="40"/>
      <c r="N358" s="40"/>
      <c r="O358" s="40">
        <v>10000</v>
      </c>
      <c r="P358" s="40">
        <v>2000</v>
      </c>
      <c r="Q358" s="40" t="s">
        <v>3163</v>
      </c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spans="1:34" x14ac:dyDescent="0.25">
      <c r="A359" s="54">
        <v>19</v>
      </c>
      <c r="B359" s="40">
        <v>318</v>
      </c>
      <c r="C359" s="40" t="s">
        <v>3092</v>
      </c>
      <c r="D359" s="40" t="s">
        <v>2165</v>
      </c>
      <c r="E359" s="40" t="s">
        <v>3079</v>
      </c>
      <c r="F359" s="43" t="s">
        <v>3137</v>
      </c>
      <c r="G359" s="40"/>
      <c r="H359" s="40"/>
      <c r="I359" s="40"/>
      <c r="J359" s="40"/>
      <c r="K359" s="40"/>
      <c r="L359" s="40"/>
      <c r="M359" s="40"/>
      <c r="N359" s="40"/>
      <c r="O359" s="40">
        <v>10000</v>
      </c>
      <c r="P359" s="40">
        <v>1000</v>
      </c>
      <c r="Q359" s="40" t="s">
        <v>3164</v>
      </c>
      <c r="R359" s="40">
        <v>3000</v>
      </c>
      <c r="S359" s="40" t="s">
        <v>3177</v>
      </c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spans="1:34" x14ac:dyDescent="0.25">
      <c r="A360" s="40">
        <v>20</v>
      </c>
      <c r="B360" s="40">
        <v>319</v>
      </c>
      <c r="C360" s="40" t="s">
        <v>3093</v>
      </c>
      <c r="D360" s="40" t="s">
        <v>3111</v>
      </c>
      <c r="E360" s="40" t="s">
        <v>3079</v>
      </c>
      <c r="F360" s="43" t="s">
        <v>3138</v>
      </c>
      <c r="G360" s="40"/>
      <c r="H360" s="40"/>
      <c r="I360" s="40"/>
      <c r="J360" s="40"/>
      <c r="K360" s="40"/>
      <c r="L360" s="40"/>
      <c r="M360" s="40"/>
      <c r="N360" s="40"/>
      <c r="O360" s="40">
        <v>20000</v>
      </c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spans="1:34" x14ac:dyDescent="0.25">
      <c r="A361" s="54">
        <v>21</v>
      </c>
      <c r="B361" s="40">
        <v>320</v>
      </c>
      <c r="C361" s="40" t="s">
        <v>3094</v>
      </c>
      <c r="D361" s="40" t="s">
        <v>3112</v>
      </c>
      <c r="E361" s="40" t="s">
        <v>3079</v>
      </c>
      <c r="F361" s="43" t="s">
        <v>3139</v>
      </c>
      <c r="G361" s="40"/>
      <c r="H361" s="40"/>
      <c r="I361" s="40"/>
      <c r="J361" s="40"/>
      <c r="K361" s="40"/>
      <c r="L361" s="40"/>
      <c r="M361" s="40"/>
      <c r="N361" s="40"/>
      <c r="O361" s="40">
        <v>17000</v>
      </c>
      <c r="P361" s="40">
        <v>1000</v>
      </c>
      <c r="Q361" s="40" t="s">
        <v>2374</v>
      </c>
      <c r="R361" s="40">
        <v>5000</v>
      </c>
      <c r="S361" s="40" t="s">
        <v>3178</v>
      </c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spans="1:34" x14ac:dyDescent="0.25">
      <c r="A362" s="54">
        <v>22</v>
      </c>
      <c r="B362" s="40">
        <v>321</v>
      </c>
      <c r="C362" s="40" t="s">
        <v>3095</v>
      </c>
      <c r="D362" s="40" t="s">
        <v>3113</v>
      </c>
      <c r="E362" s="40" t="s">
        <v>3079</v>
      </c>
      <c r="F362" s="43" t="s">
        <v>3140</v>
      </c>
      <c r="G362" s="40"/>
      <c r="H362" s="40"/>
      <c r="I362" s="40"/>
      <c r="J362" s="40"/>
      <c r="K362" s="40"/>
      <c r="L362" s="40"/>
      <c r="M362" s="40"/>
      <c r="N362" s="40"/>
      <c r="O362" s="40">
        <v>20000</v>
      </c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spans="1:34" x14ac:dyDescent="0.25">
      <c r="A363" s="54">
        <v>23</v>
      </c>
      <c r="B363" s="40">
        <v>324</v>
      </c>
      <c r="C363" s="40" t="s">
        <v>3096</v>
      </c>
      <c r="D363" s="40" t="s">
        <v>3114</v>
      </c>
      <c r="E363" s="40" t="s">
        <v>3079</v>
      </c>
      <c r="F363" s="43" t="s">
        <v>3141</v>
      </c>
      <c r="G363" s="40"/>
      <c r="H363" s="40"/>
      <c r="I363" s="40"/>
      <c r="J363" s="40"/>
      <c r="K363" s="40"/>
      <c r="L363" s="40"/>
      <c r="M363" s="40"/>
      <c r="N363" s="40"/>
      <c r="O363" s="40">
        <v>20000</v>
      </c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spans="1:34" x14ac:dyDescent="0.25">
      <c r="A364" s="54">
        <v>24</v>
      </c>
      <c r="B364" s="40">
        <v>325</v>
      </c>
      <c r="C364" s="40" t="s">
        <v>3097</v>
      </c>
      <c r="D364" s="40" t="s">
        <v>2660</v>
      </c>
      <c r="E364" s="40" t="s">
        <v>3079</v>
      </c>
      <c r="F364" s="43" t="s">
        <v>3142</v>
      </c>
      <c r="G364" s="40"/>
      <c r="H364" s="40"/>
      <c r="I364" s="40"/>
      <c r="J364" s="40"/>
      <c r="K364" s="40"/>
      <c r="L364" s="40"/>
      <c r="M364" s="40"/>
      <c r="N364" s="40"/>
      <c r="O364" s="40">
        <v>20000</v>
      </c>
      <c r="P364" s="40">
        <v>1000</v>
      </c>
      <c r="Q364" s="40" t="s">
        <v>3165</v>
      </c>
      <c r="R364" s="40">
        <v>5000</v>
      </c>
      <c r="S364" s="40" t="s">
        <v>3179</v>
      </c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spans="1:34" x14ac:dyDescent="0.25">
      <c r="A365" s="54">
        <v>25</v>
      </c>
      <c r="B365" s="40">
        <v>326</v>
      </c>
      <c r="C365" s="40" t="s">
        <v>3098</v>
      </c>
      <c r="D365" s="40" t="s">
        <v>3115</v>
      </c>
      <c r="E365" s="40" t="s">
        <v>3079</v>
      </c>
      <c r="F365" s="43" t="s">
        <v>3142</v>
      </c>
      <c r="G365" s="40"/>
      <c r="H365" s="40"/>
      <c r="I365" s="40"/>
      <c r="J365" s="40"/>
      <c r="K365" s="40"/>
      <c r="L365" s="40"/>
      <c r="M365" s="40"/>
      <c r="N365" s="40"/>
      <c r="O365" s="40">
        <v>20000</v>
      </c>
      <c r="P365" s="40">
        <v>1000</v>
      </c>
      <c r="Q365" s="40" t="s">
        <v>2584</v>
      </c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spans="1:34" x14ac:dyDescent="0.25">
      <c r="A366" s="54">
        <v>26</v>
      </c>
      <c r="B366" s="40">
        <v>327</v>
      </c>
      <c r="C366" s="40" t="s">
        <v>3099</v>
      </c>
      <c r="D366" s="40" t="s">
        <v>3116</v>
      </c>
      <c r="E366" s="40" t="s">
        <v>3079</v>
      </c>
      <c r="F366" s="43" t="s">
        <v>3143</v>
      </c>
      <c r="G366" s="40"/>
      <c r="H366" s="40"/>
      <c r="I366" s="40"/>
      <c r="J366" s="40"/>
      <c r="K366" s="40"/>
      <c r="L366" s="40"/>
      <c r="M366" s="40"/>
      <c r="N366" s="40"/>
      <c r="O366" s="40">
        <v>20000</v>
      </c>
      <c r="P366" s="40">
        <v>1000</v>
      </c>
      <c r="Q366" s="40" t="s">
        <v>3166</v>
      </c>
      <c r="R366" s="40">
        <v>6500</v>
      </c>
      <c r="S366" s="40" t="s">
        <v>3180</v>
      </c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spans="1:34" x14ac:dyDescent="0.25">
      <c r="A367" s="54">
        <v>27</v>
      </c>
      <c r="B367" s="40">
        <v>328</v>
      </c>
      <c r="C367" s="40" t="s">
        <v>3100</v>
      </c>
      <c r="D367" s="40" t="s">
        <v>3117</v>
      </c>
      <c r="E367" s="40" t="s">
        <v>3079</v>
      </c>
      <c r="F367" s="43" t="s">
        <v>3144</v>
      </c>
      <c r="G367" s="40"/>
      <c r="H367" s="40"/>
      <c r="I367" s="40"/>
      <c r="J367" s="40"/>
      <c r="K367" s="40"/>
      <c r="L367" s="40"/>
      <c r="M367" s="40"/>
      <c r="N367" s="40"/>
      <c r="O367" s="40">
        <v>10000</v>
      </c>
      <c r="P367" s="40">
        <v>3000</v>
      </c>
      <c r="Q367" s="40" t="s">
        <v>3167</v>
      </c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spans="1:34" x14ac:dyDescent="0.25">
      <c r="A368" s="54">
        <v>28</v>
      </c>
      <c r="B368" s="40">
        <v>358</v>
      </c>
      <c r="C368" s="40" t="s">
        <v>3101</v>
      </c>
      <c r="D368" s="40" t="s">
        <v>2061</v>
      </c>
      <c r="E368" s="40" t="s">
        <v>3079</v>
      </c>
      <c r="F368" s="43" t="s">
        <v>3145</v>
      </c>
      <c r="G368" s="40"/>
      <c r="H368" s="40"/>
      <c r="I368" s="40"/>
      <c r="J368" s="40"/>
      <c r="K368" s="40"/>
      <c r="L368" s="40"/>
      <c r="M368" s="40"/>
      <c r="N368" s="40"/>
      <c r="O368" s="40">
        <v>10000</v>
      </c>
      <c r="P368" s="40">
        <v>1000</v>
      </c>
      <c r="Q368" s="40" t="s">
        <v>3168</v>
      </c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spans="1:34" x14ac:dyDescent="0.25">
      <c r="A369" s="40">
        <v>29</v>
      </c>
      <c r="B369" s="40">
        <v>365</v>
      </c>
      <c r="C369" s="40" t="s">
        <v>3102</v>
      </c>
      <c r="D369" s="40" t="s">
        <v>3118</v>
      </c>
      <c r="E369" s="40" t="s">
        <v>3079</v>
      </c>
      <c r="F369" s="43" t="s">
        <v>3146</v>
      </c>
      <c r="G369" s="40"/>
      <c r="H369" s="40"/>
      <c r="I369" s="40"/>
      <c r="J369" s="40"/>
      <c r="K369" s="40"/>
      <c r="L369" s="40"/>
      <c r="M369" s="40"/>
      <c r="N369" s="40"/>
      <c r="O369" s="40">
        <v>20000</v>
      </c>
      <c r="P369" s="40">
        <v>2000</v>
      </c>
      <c r="Q369" s="40" t="s">
        <v>3169</v>
      </c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spans="1:34" x14ac:dyDescent="0.25">
      <c r="A370" s="54">
        <v>30</v>
      </c>
      <c r="B370" s="40">
        <v>380</v>
      </c>
      <c r="C370" s="40" t="s">
        <v>3103</v>
      </c>
      <c r="D370" s="40" t="s">
        <v>3119</v>
      </c>
      <c r="E370" s="40" t="s">
        <v>3079</v>
      </c>
      <c r="F370" s="43" t="s">
        <v>3147</v>
      </c>
      <c r="G370" s="40"/>
      <c r="H370" s="40"/>
      <c r="I370" s="40"/>
      <c r="J370" s="40"/>
      <c r="K370" s="40"/>
      <c r="L370" s="40"/>
      <c r="M370" s="40"/>
      <c r="N370" s="40"/>
      <c r="O370" s="40">
        <v>10000</v>
      </c>
      <c r="P370" s="40">
        <v>1000</v>
      </c>
      <c r="Q370" s="40" t="s">
        <v>3170</v>
      </c>
      <c r="R370" s="40">
        <v>4000</v>
      </c>
      <c r="S370" s="40" t="s">
        <v>3181</v>
      </c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spans="1:34" x14ac:dyDescent="0.25">
      <c r="A371" s="40"/>
      <c r="B371" s="40"/>
      <c r="C371" s="40"/>
      <c r="D371" s="40"/>
      <c r="E371" s="40"/>
      <c r="F371" s="43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spans="1:34" x14ac:dyDescent="0.25">
      <c r="A372" s="40"/>
      <c r="B372" s="40"/>
      <c r="C372" s="40"/>
      <c r="D372" s="40"/>
      <c r="E372" s="40"/>
      <c r="F372" s="43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spans="1:34" x14ac:dyDescent="0.25">
      <c r="A373" s="40"/>
      <c r="B373" s="40"/>
      <c r="C373" s="40"/>
      <c r="D373" s="40"/>
      <c r="E373" s="40"/>
      <c r="F373" s="43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spans="1:34" x14ac:dyDescent="0.25">
      <c r="A374" s="40"/>
      <c r="B374" s="40"/>
      <c r="C374" s="40"/>
      <c r="D374" s="40"/>
      <c r="E374" s="40"/>
      <c r="F374" s="43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spans="1:34" x14ac:dyDescent="0.25">
      <c r="A375" s="40"/>
      <c r="B375" s="40"/>
      <c r="C375" s="40"/>
      <c r="D375" s="40"/>
      <c r="E375" s="40"/>
      <c r="F375" s="43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spans="1:34" x14ac:dyDescent="0.25">
      <c r="A376" s="40"/>
      <c r="B376" s="40"/>
      <c r="C376" s="40"/>
      <c r="D376" s="40"/>
      <c r="E376" s="40"/>
      <c r="F376" s="43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spans="1:34" x14ac:dyDescent="0.25">
      <c r="A377" s="40"/>
      <c r="B377" s="40"/>
      <c r="C377" s="40"/>
      <c r="D377" s="40"/>
      <c r="E377" s="40"/>
      <c r="F377" s="43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spans="1:34" x14ac:dyDescent="0.25">
      <c r="A378" s="40"/>
      <c r="B378" s="40"/>
      <c r="C378" s="40"/>
      <c r="D378" s="40"/>
      <c r="E378" s="40"/>
      <c r="F378" s="43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spans="1:34" x14ac:dyDescent="0.25">
      <c r="A379" s="40"/>
      <c r="B379" s="40"/>
      <c r="C379" s="40"/>
      <c r="D379" s="40"/>
      <c r="E379" s="40"/>
      <c r="F379" s="43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spans="1:34" x14ac:dyDescent="0.25">
      <c r="A380" s="40"/>
      <c r="B380" s="40"/>
      <c r="C380" s="40"/>
      <c r="D380" s="40"/>
      <c r="E380" s="40"/>
      <c r="F380" s="43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spans="1:34" x14ac:dyDescent="0.25">
      <c r="A381" s="40"/>
      <c r="B381" s="40"/>
      <c r="C381" s="40"/>
      <c r="D381" s="40"/>
      <c r="E381" s="40"/>
      <c r="F381" s="43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spans="1:34" x14ac:dyDescent="0.25">
      <c r="A382" s="40"/>
      <c r="B382" s="40"/>
      <c r="C382" s="40"/>
      <c r="D382" s="40"/>
      <c r="E382" s="40"/>
      <c r="F382" s="43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spans="1:34" x14ac:dyDescent="0.25">
      <c r="A383" s="40"/>
      <c r="B383" s="40"/>
      <c r="C383" s="40"/>
      <c r="D383" s="40"/>
      <c r="E383" s="40"/>
      <c r="F383" s="43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spans="1:34" x14ac:dyDescent="0.25">
      <c r="A384" s="40"/>
      <c r="B384" s="40"/>
      <c r="C384" s="40"/>
      <c r="D384" s="40"/>
      <c r="E384" s="40"/>
      <c r="F384" s="43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spans="1:34" x14ac:dyDescent="0.25">
      <c r="A385" s="40"/>
      <c r="B385" s="40"/>
      <c r="C385" s="40"/>
      <c r="D385" s="40"/>
      <c r="E385" s="40"/>
      <c r="F385" s="43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spans="1:34" x14ac:dyDescent="0.25">
      <c r="A386" s="40"/>
      <c r="B386" s="40"/>
      <c r="C386" s="40"/>
      <c r="D386" s="40"/>
      <c r="E386" s="40"/>
      <c r="F386" s="43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spans="1:34" x14ac:dyDescent="0.25">
      <c r="A387" s="40"/>
      <c r="B387" s="40"/>
      <c r="C387" s="40"/>
      <c r="D387" s="40"/>
      <c r="E387" s="40"/>
      <c r="F387" s="43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spans="1:34" x14ac:dyDescent="0.25">
      <c r="A388" s="40"/>
      <c r="B388" s="40"/>
      <c r="C388" s="40"/>
      <c r="D388" s="40"/>
      <c r="E388" s="40"/>
      <c r="F388" s="43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spans="1:34" x14ac:dyDescent="0.25">
      <c r="A389" s="40"/>
      <c r="B389" s="40"/>
      <c r="C389" s="40"/>
      <c r="D389" s="40"/>
      <c r="E389" s="40"/>
      <c r="F389" s="43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spans="1:34" x14ac:dyDescent="0.25">
      <c r="A390" s="40"/>
      <c r="B390" s="40"/>
      <c r="C390" s="40"/>
      <c r="D390" s="40"/>
      <c r="E390" s="40"/>
      <c r="F390" s="43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spans="1:34" x14ac:dyDescent="0.25">
      <c r="A391" s="40"/>
      <c r="B391" s="40"/>
      <c r="C391" s="40"/>
      <c r="D391" s="40"/>
      <c r="E391" s="40"/>
      <c r="F391" s="43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spans="1:34" x14ac:dyDescent="0.25">
      <c r="A392" s="40"/>
      <c r="B392" s="40"/>
      <c r="C392" s="40"/>
      <c r="D392" s="40"/>
      <c r="E392" s="40"/>
      <c r="F392" s="43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spans="1:34" x14ac:dyDescent="0.25">
      <c r="A393" s="40"/>
      <c r="B393" s="40"/>
      <c r="C393" s="40"/>
      <c r="D393" s="40"/>
      <c r="E393" s="40"/>
      <c r="F393" s="43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spans="1:34" x14ac:dyDescent="0.25">
      <c r="A394" s="40"/>
      <c r="B394" s="40"/>
      <c r="C394" s="40"/>
      <c r="D394" s="40"/>
      <c r="E394" s="40"/>
      <c r="F394" s="43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spans="1:34" x14ac:dyDescent="0.25">
      <c r="A395" s="40"/>
      <c r="B395" s="40"/>
      <c r="C395" s="40"/>
      <c r="D395" s="40"/>
      <c r="E395" s="40"/>
      <c r="F395" s="43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spans="1:34" x14ac:dyDescent="0.25">
      <c r="A396" s="40"/>
      <c r="B396" s="40"/>
      <c r="C396" s="40"/>
      <c r="D396" s="40"/>
      <c r="E396" s="40"/>
      <c r="F396" s="43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spans="1:34" x14ac:dyDescent="0.25">
      <c r="A397" s="40"/>
      <c r="B397" s="40"/>
      <c r="C397" s="40"/>
      <c r="D397" s="40"/>
      <c r="E397" s="40"/>
      <c r="F397" s="43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spans="1:34" x14ac:dyDescent="0.25">
      <c r="A398" s="40"/>
      <c r="B398" s="40"/>
      <c r="C398" s="40"/>
      <c r="D398" s="40"/>
      <c r="E398" s="40"/>
      <c r="F398" s="43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spans="1:34" x14ac:dyDescent="0.25">
      <c r="A399" s="40"/>
      <c r="B399" s="40"/>
      <c r="C399" s="40"/>
      <c r="D399" s="40"/>
      <c r="E399" s="40"/>
      <c r="F399" s="43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spans="1:34" x14ac:dyDescent="0.25">
      <c r="A400" s="40"/>
      <c r="B400" s="40"/>
      <c r="C400" s="40"/>
      <c r="D400" s="40"/>
      <c r="E400" s="40"/>
      <c r="F400" s="43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spans="1:34" x14ac:dyDescent="0.25">
      <c r="A401" s="40"/>
      <c r="B401" s="40"/>
      <c r="C401" s="40"/>
      <c r="D401" s="40"/>
      <c r="E401" s="40"/>
      <c r="F401" s="43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spans="1:34" x14ac:dyDescent="0.25">
      <c r="A402" s="40"/>
      <c r="B402" s="40"/>
      <c r="C402" s="40"/>
      <c r="D402" s="40"/>
      <c r="E402" s="40"/>
      <c r="F402" s="43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spans="1:34" x14ac:dyDescent="0.25">
      <c r="A403" s="40"/>
      <c r="B403" s="40"/>
      <c r="C403" s="40"/>
      <c r="D403" s="40"/>
      <c r="E403" s="40"/>
      <c r="F403" s="43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spans="1:34" x14ac:dyDescent="0.25">
      <c r="A404" s="40"/>
      <c r="B404" s="40"/>
      <c r="C404" s="40"/>
      <c r="D404" s="40"/>
      <c r="E404" s="40"/>
      <c r="F404" s="43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spans="1:34" x14ac:dyDescent="0.25">
      <c r="A405" s="40"/>
      <c r="B405" s="40"/>
      <c r="C405" s="40"/>
      <c r="D405" s="40"/>
      <c r="E405" s="40"/>
      <c r="F405" s="43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spans="1:34" x14ac:dyDescent="0.25">
      <c r="A406" s="40"/>
      <c r="B406" s="40"/>
      <c r="C406" s="40"/>
      <c r="D406" s="40"/>
      <c r="E406" s="40"/>
      <c r="F406" s="43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spans="1:34" x14ac:dyDescent="0.25">
      <c r="A407" s="40"/>
      <c r="B407" s="40"/>
      <c r="C407" s="40"/>
      <c r="D407" s="40"/>
      <c r="E407" s="40"/>
      <c r="F407" s="43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spans="1:34" x14ac:dyDescent="0.25">
      <c r="A408" s="40"/>
      <c r="B408" s="40"/>
      <c r="C408" s="40"/>
      <c r="D408" s="40"/>
      <c r="E408" s="40"/>
      <c r="F408" s="43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spans="1:34" x14ac:dyDescent="0.25">
      <c r="A409" s="40"/>
      <c r="B409" s="40"/>
      <c r="C409" s="40"/>
      <c r="D409" s="40"/>
      <c r="E409" s="40"/>
      <c r="F409" s="43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spans="1:34" x14ac:dyDescent="0.25">
      <c r="A410" s="40"/>
      <c r="B410" s="40"/>
      <c r="C410" s="40"/>
      <c r="D410" s="40"/>
      <c r="E410" s="40"/>
      <c r="F410" s="43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spans="1:34" x14ac:dyDescent="0.25">
      <c r="A411" s="40"/>
      <c r="B411" s="40"/>
      <c r="C411" s="40"/>
      <c r="D411" s="40"/>
      <c r="E411" s="40"/>
      <c r="F411" s="43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spans="1:34" x14ac:dyDescent="0.25">
      <c r="A412" s="40"/>
      <c r="B412" s="40"/>
      <c r="C412" s="40"/>
      <c r="D412" s="40"/>
      <c r="E412" s="40"/>
      <c r="F412" s="43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spans="1:34" x14ac:dyDescent="0.25">
      <c r="A413" s="40"/>
      <c r="B413" s="40"/>
      <c r="C413" s="40"/>
      <c r="D413" s="40"/>
      <c r="E413" s="40"/>
      <c r="F413" s="43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spans="1:34" x14ac:dyDescent="0.25">
      <c r="A414" s="40"/>
      <c r="B414" s="40"/>
      <c r="C414" s="40"/>
      <c r="D414" s="40"/>
      <c r="E414" s="40"/>
      <c r="F414" s="43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spans="1:34" x14ac:dyDescent="0.25">
      <c r="A415" s="40"/>
      <c r="B415" s="40"/>
      <c r="C415" s="40"/>
      <c r="D415" s="40"/>
      <c r="E415" s="40"/>
      <c r="F415" s="43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spans="1:34" x14ac:dyDescent="0.25">
      <c r="A416" s="40"/>
      <c r="B416" s="40"/>
      <c r="C416" s="40"/>
      <c r="D416" s="40"/>
      <c r="E416" s="40"/>
      <c r="F416" s="43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spans="1:34" x14ac:dyDescent="0.25">
      <c r="A417" s="40"/>
      <c r="B417" s="40"/>
      <c r="C417" s="40"/>
      <c r="D417" s="40"/>
      <c r="E417" s="40"/>
      <c r="F417" s="43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spans="1:34" x14ac:dyDescent="0.25">
      <c r="A418" s="40"/>
      <c r="B418" s="40"/>
      <c r="C418" s="40"/>
      <c r="D418" s="40"/>
      <c r="E418" s="40"/>
      <c r="F418" s="43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spans="1:34" x14ac:dyDescent="0.25">
      <c r="A419" s="40"/>
      <c r="B419" s="40"/>
      <c r="C419" s="40"/>
      <c r="D419" s="40"/>
      <c r="E419" s="40"/>
      <c r="F419" s="43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spans="1:34" x14ac:dyDescent="0.25">
      <c r="A420" s="40"/>
      <c r="B420" s="40"/>
      <c r="C420" s="40"/>
      <c r="D420" s="40"/>
      <c r="E420" s="40"/>
      <c r="F420" s="43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spans="1:34" x14ac:dyDescent="0.25">
      <c r="A421" s="40"/>
      <c r="B421" s="40"/>
      <c r="C421" s="40"/>
      <c r="D421" s="40"/>
      <c r="E421" s="40"/>
      <c r="F421" s="43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spans="1:34" x14ac:dyDescent="0.25">
      <c r="A422" s="40"/>
      <c r="B422" s="40"/>
      <c r="C422" s="40"/>
      <c r="D422" s="40"/>
      <c r="E422" s="40"/>
      <c r="F422" s="43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spans="1:34" x14ac:dyDescent="0.25">
      <c r="A423" s="40"/>
      <c r="B423" s="40"/>
      <c r="C423" s="40"/>
      <c r="D423" s="40"/>
      <c r="E423" s="40"/>
      <c r="F423" s="43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spans="1:34" x14ac:dyDescent="0.25">
      <c r="A424" s="40"/>
      <c r="B424" s="40"/>
      <c r="C424" s="40"/>
      <c r="D424" s="40"/>
      <c r="E424" s="40"/>
      <c r="F424" s="43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spans="1:34" x14ac:dyDescent="0.25">
      <c r="A425" s="40"/>
      <c r="B425" s="40"/>
      <c r="C425" s="40"/>
      <c r="D425" s="40"/>
      <c r="E425" s="40"/>
      <c r="F425" s="43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spans="1:34" x14ac:dyDescent="0.25">
      <c r="A426" s="40"/>
      <c r="B426" s="40"/>
      <c r="C426" s="40"/>
      <c r="D426" s="40"/>
      <c r="E426" s="40"/>
      <c r="F426" s="43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spans="1:34" x14ac:dyDescent="0.25">
      <c r="A427" s="40"/>
      <c r="B427" s="40"/>
      <c r="C427" s="40"/>
      <c r="D427" s="40"/>
      <c r="E427" s="40"/>
      <c r="F427" s="43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spans="1:34" x14ac:dyDescent="0.25">
      <c r="A428" s="40"/>
      <c r="B428" s="40"/>
      <c r="C428" s="40"/>
      <c r="D428" s="40"/>
      <c r="E428" s="40"/>
      <c r="F428" s="43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spans="1:34" x14ac:dyDescent="0.25">
      <c r="A429" s="40"/>
      <c r="B429" s="40"/>
      <c r="C429" s="40"/>
      <c r="D429" s="40"/>
      <c r="E429" s="40"/>
      <c r="F429" s="43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spans="1:34" x14ac:dyDescent="0.25">
      <c r="A430" s="40"/>
      <c r="B430" s="40"/>
      <c r="C430" s="40"/>
      <c r="D430" s="40"/>
      <c r="E430" s="40"/>
      <c r="F430" s="43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spans="1:34" x14ac:dyDescent="0.25">
      <c r="A431" s="40"/>
      <c r="B431" s="40"/>
      <c r="C431" s="40"/>
      <c r="D431" s="40"/>
      <c r="E431" s="40"/>
      <c r="F431" s="43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spans="1:34" x14ac:dyDescent="0.25">
      <c r="A432" s="40"/>
      <c r="B432" s="40"/>
      <c r="C432" s="40"/>
      <c r="D432" s="40"/>
      <c r="E432" s="40"/>
      <c r="F432" s="43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spans="1:34" x14ac:dyDescent="0.25">
      <c r="A433" s="40"/>
      <c r="B433" s="40"/>
      <c r="C433" s="40"/>
      <c r="D433" s="40"/>
      <c r="E433" s="40"/>
      <c r="F433" s="43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spans="1:34" x14ac:dyDescent="0.25">
      <c r="A434" s="40"/>
      <c r="B434" s="40"/>
      <c r="C434" s="40"/>
      <c r="D434" s="40"/>
      <c r="E434" s="40"/>
      <c r="F434" s="43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spans="1:34" x14ac:dyDescent="0.25">
      <c r="A435" s="40"/>
      <c r="B435" s="40"/>
      <c r="C435" s="40"/>
      <c r="D435" s="40"/>
      <c r="E435" s="40"/>
      <c r="F435" s="43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spans="1:34" x14ac:dyDescent="0.25">
      <c r="A436" s="40"/>
      <c r="B436" s="40"/>
      <c r="C436" s="40"/>
      <c r="D436" s="40"/>
      <c r="E436" s="40"/>
      <c r="F436" s="43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spans="1:34" x14ac:dyDescent="0.25">
      <c r="A437" s="40"/>
      <c r="B437" s="40"/>
      <c r="C437" s="40"/>
      <c r="D437" s="40"/>
      <c r="E437" s="40"/>
      <c r="F437" s="43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spans="1:34" x14ac:dyDescent="0.25">
      <c r="A438" s="40"/>
      <c r="B438" s="40"/>
      <c r="C438" s="40"/>
      <c r="D438" s="40"/>
      <c r="E438" s="40"/>
      <c r="F438" s="43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spans="1:34" x14ac:dyDescent="0.25">
      <c r="A439" s="40"/>
      <c r="B439" s="40"/>
      <c r="C439" s="40"/>
      <c r="D439" s="40"/>
      <c r="E439" s="40"/>
      <c r="F439" s="43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spans="1:34" x14ac:dyDescent="0.25">
      <c r="A440" s="40"/>
      <c r="B440" s="40"/>
      <c r="C440" s="40"/>
      <c r="D440" s="40"/>
      <c r="E440" s="40"/>
      <c r="F440" s="43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spans="1:34" x14ac:dyDescent="0.25">
      <c r="A441" s="40"/>
      <c r="B441" s="40"/>
      <c r="C441" s="40"/>
      <c r="D441" s="40"/>
      <c r="E441" s="40"/>
      <c r="F441" s="43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spans="1:34" x14ac:dyDescent="0.25">
      <c r="A442" s="40"/>
      <c r="B442" s="40"/>
      <c r="C442" s="40"/>
      <c r="D442" s="40"/>
      <c r="E442" s="40"/>
      <c r="F442" s="43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spans="1:34" x14ac:dyDescent="0.25">
      <c r="A443" s="40"/>
      <c r="B443" s="40"/>
      <c r="C443" s="40"/>
      <c r="D443" s="40"/>
      <c r="E443" s="40"/>
      <c r="F443" s="43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spans="1:34" x14ac:dyDescent="0.25">
      <c r="A444" s="40"/>
      <c r="B444" s="40"/>
      <c r="C444" s="40"/>
      <c r="D444" s="40"/>
      <c r="E444" s="40"/>
      <c r="F444" s="43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spans="1:34" x14ac:dyDescent="0.25">
      <c r="A445" s="40"/>
      <c r="B445" s="40"/>
      <c r="C445" s="40"/>
      <c r="D445" s="40"/>
      <c r="E445" s="40"/>
      <c r="F445" s="43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spans="1:34" x14ac:dyDescent="0.25">
      <c r="A446" s="40"/>
      <c r="B446" s="40"/>
      <c r="C446" s="40"/>
      <c r="D446" s="40"/>
      <c r="E446" s="40"/>
      <c r="F446" s="43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spans="1:34" x14ac:dyDescent="0.25">
      <c r="A447" s="40"/>
      <c r="B447" s="40"/>
      <c r="C447" s="40"/>
      <c r="D447" s="40"/>
      <c r="E447" s="40"/>
      <c r="F447" s="43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spans="1:34" x14ac:dyDescent="0.25">
      <c r="A448" s="40"/>
      <c r="B448" s="40"/>
      <c r="C448" s="40"/>
      <c r="D448" s="40"/>
      <c r="E448" s="40"/>
      <c r="F448" s="43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spans="1:34" x14ac:dyDescent="0.25">
      <c r="A449" s="40"/>
      <c r="B449" s="40"/>
      <c r="C449" s="40"/>
      <c r="D449" s="40"/>
      <c r="E449" s="40"/>
      <c r="F449" s="43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spans="1:34" x14ac:dyDescent="0.25">
      <c r="A450" s="40"/>
      <c r="B450" s="40"/>
      <c r="C450" s="40"/>
      <c r="D450" s="40"/>
      <c r="E450" s="40"/>
      <c r="F450" s="43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spans="1:34" x14ac:dyDescent="0.25">
      <c r="A451" s="40"/>
      <c r="B451" s="40"/>
      <c r="C451" s="40"/>
      <c r="D451" s="40"/>
      <c r="E451" s="40"/>
      <c r="F451" s="43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spans="1:34" x14ac:dyDescent="0.25">
      <c r="A452" s="40"/>
      <c r="B452" s="40"/>
      <c r="C452" s="40"/>
      <c r="D452" s="40"/>
      <c r="E452" s="40"/>
      <c r="F452" s="43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spans="1:34" x14ac:dyDescent="0.25">
      <c r="A453" s="40"/>
      <c r="B453" s="40"/>
      <c r="C453" s="40"/>
      <c r="D453" s="40"/>
      <c r="E453" s="40"/>
      <c r="F453" s="43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spans="1:34" x14ac:dyDescent="0.25">
      <c r="A454" s="40"/>
      <c r="B454" s="40"/>
      <c r="C454" s="40"/>
      <c r="D454" s="40"/>
      <c r="E454" s="40"/>
      <c r="F454" s="43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spans="1:34" x14ac:dyDescent="0.25">
      <c r="A455" s="40"/>
      <c r="B455" s="40"/>
      <c r="C455" s="40"/>
      <c r="D455" s="40"/>
      <c r="E455" s="40"/>
      <c r="F455" s="43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spans="1:34" x14ac:dyDescent="0.25">
      <c r="A456" s="40"/>
      <c r="B456" s="40"/>
      <c r="C456" s="40"/>
      <c r="D456" s="40"/>
      <c r="E456" s="40"/>
      <c r="F456" s="43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spans="1:34" x14ac:dyDescent="0.25">
      <c r="A457" s="40"/>
      <c r="B457" s="40"/>
      <c r="C457" s="40"/>
      <c r="D457" s="40"/>
      <c r="E457" s="40"/>
      <c r="F457" s="43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spans="1:34" x14ac:dyDescent="0.25">
      <c r="A458" s="40"/>
      <c r="B458" s="40"/>
      <c r="C458" s="40"/>
      <c r="D458" s="40"/>
      <c r="E458" s="40"/>
      <c r="F458" s="43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spans="1:34" x14ac:dyDescent="0.25">
      <c r="A459" s="40"/>
      <c r="B459" s="40"/>
      <c r="C459" s="40"/>
      <c r="D459" s="40"/>
      <c r="E459" s="40"/>
      <c r="F459" s="43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spans="1:34" x14ac:dyDescent="0.25">
      <c r="A460" s="40"/>
      <c r="B460" s="40"/>
      <c r="C460" s="40"/>
      <c r="D460" s="40"/>
      <c r="E460" s="40"/>
      <c r="F460" s="43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spans="1:34" x14ac:dyDescent="0.25">
      <c r="A461" s="40"/>
      <c r="B461" s="40"/>
      <c r="C461" s="40"/>
      <c r="D461" s="40"/>
      <c r="E461" s="40"/>
      <c r="F461" s="43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spans="1:34" x14ac:dyDescent="0.25">
      <c r="A462" s="40"/>
      <c r="B462" s="40"/>
      <c r="C462" s="40"/>
      <c r="D462" s="40"/>
      <c r="E462" s="40"/>
      <c r="F462" s="43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spans="1:34" x14ac:dyDescent="0.25">
      <c r="A463" s="40"/>
      <c r="B463" s="40"/>
      <c r="C463" s="40"/>
      <c r="D463" s="40"/>
      <c r="E463" s="40"/>
      <c r="F463" s="43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spans="1:34" x14ac:dyDescent="0.25">
      <c r="A464" s="40"/>
      <c r="B464" s="40"/>
      <c r="C464" s="40"/>
      <c r="D464" s="40"/>
      <c r="E464" s="40"/>
      <c r="F464" s="43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spans="1:34" x14ac:dyDescent="0.25">
      <c r="A465" s="40"/>
      <c r="B465" s="40"/>
      <c r="C465" s="40"/>
      <c r="D465" s="40"/>
      <c r="E465" s="40"/>
      <c r="F465" s="43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spans="1:34" x14ac:dyDescent="0.25">
      <c r="A466" s="40"/>
      <c r="B466" s="40"/>
      <c r="C466" s="40"/>
      <c r="D466" s="40"/>
      <c r="E466" s="40"/>
      <c r="F466" s="43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spans="1:34" x14ac:dyDescent="0.25">
      <c r="A467" s="40"/>
      <c r="B467" s="40"/>
      <c r="C467" s="40"/>
      <c r="D467" s="40"/>
      <c r="E467" s="40"/>
      <c r="F467" s="43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spans="1:34" x14ac:dyDescent="0.25">
      <c r="A468" s="40"/>
      <c r="B468" s="40"/>
      <c r="C468" s="40"/>
      <c r="D468" s="40"/>
      <c r="E468" s="40"/>
      <c r="F468" s="43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spans="1:34" x14ac:dyDescent="0.25">
      <c r="A469" s="40"/>
      <c r="B469" s="40"/>
      <c r="C469" s="40"/>
      <c r="D469" s="40"/>
      <c r="E469" s="40"/>
      <c r="F469" s="43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spans="1:34" x14ac:dyDescent="0.25">
      <c r="A470" s="40"/>
      <c r="B470" s="40"/>
      <c r="C470" s="40"/>
      <c r="D470" s="40"/>
      <c r="E470" s="40"/>
      <c r="F470" s="43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spans="1:34" x14ac:dyDescent="0.25">
      <c r="A471" s="40"/>
      <c r="B471" s="40"/>
      <c r="C471" s="40"/>
      <c r="D471" s="40"/>
      <c r="E471" s="40"/>
      <c r="F471" s="43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spans="1:34" x14ac:dyDescent="0.25">
      <c r="A472" s="40"/>
      <c r="B472" s="40"/>
      <c r="C472" s="40"/>
      <c r="D472" s="40"/>
      <c r="E472" s="40"/>
      <c r="F472" s="43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spans="1:34" x14ac:dyDescent="0.25">
      <c r="A473" s="40"/>
      <c r="B473" s="40"/>
      <c r="C473" s="40"/>
      <c r="D473" s="40"/>
      <c r="E473" s="40"/>
      <c r="F473" s="43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spans="1:34" x14ac:dyDescent="0.25">
      <c r="A474" s="40"/>
      <c r="B474" s="40"/>
      <c r="C474" s="40"/>
      <c r="D474" s="40"/>
      <c r="E474" s="40"/>
      <c r="F474" s="43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spans="1:34" x14ac:dyDescent="0.25">
      <c r="A475" s="40"/>
      <c r="B475" s="40"/>
      <c r="C475" s="40"/>
      <c r="D475" s="40"/>
      <c r="E475" s="40"/>
      <c r="F475" s="43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spans="1:34" x14ac:dyDescent="0.25">
      <c r="A476" s="40"/>
      <c r="B476" s="40"/>
      <c r="C476" s="40"/>
      <c r="D476" s="40"/>
      <c r="E476" s="40"/>
      <c r="F476" s="43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spans="1:34" x14ac:dyDescent="0.25">
      <c r="A477" s="40"/>
      <c r="B477" s="40"/>
      <c r="C477" s="40"/>
      <c r="D477" s="40"/>
      <c r="E477" s="40"/>
      <c r="F477" s="43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spans="1:34" x14ac:dyDescent="0.25">
      <c r="A478" s="40"/>
      <c r="B478" s="40"/>
      <c r="C478" s="40"/>
      <c r="D478" s="40"/>
      <c r="E478" s="40"/>
      <c r="F478" s="43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spans="1:34" x14ac:dyDescent="0.25">
      <c r="A479" s="40"/>
      <c r="B479" s="40"/>
      <c r="C479" s="40"/>
      <c r="D479" s="40"/>
      <c r="E479" s="40"/>
      <c r="F479" s="43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spans="1:34" x14ac:dyDescent="0.25">
      <c r="A480" s="40"/>
      <c r="B480" s="40"/>
      <c r="C480" s="40"/>
      <c r="D480" s="40"/>
      <c r="E480" s="40"/>
      <c r="F480" s="43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spans="1:34" x14ac:dyDescent="0.25">
      <c r="A481" s="40"/>
      <c r="B481" s="40"/>
      <c r="C481" s="40"/>
      <c r="D481" s="40"/>
      <c r="E481" s="40"/>
      <c r="F481" s="43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spans="1:34" x14ac:dyDescent="0.25">
      <c r="A482" s="40"/>
      <c r="B482" s="40"/>
      <c r="C482" s="40"/>
      <c r="D482" s="40"/>
      <c r="E482" s="40"/>
      <c r="F482" s="43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spans="1:34" x14ac:dyDescent="0.25">
      <c r="A483" s="40"/>
      <c r="B483" s="40"/>
      <c r="C483" s="40"/>
      <c r="D483" s="40"/>
      <c r="E483" s="40"/>
      <c r="F483" s="43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spans="1:34" x14ac:dyDescent="0.25">
      <c r="A484" s="40"/>
      <c r="B484" s="40"/>
      <c r="C484" s="40"/>
      <c r="D484" s="40"/>
      <c r="E484" s="40"/>
      <c r="F484" s="43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spans="1:34" x14ac:dyDescent="0.25">
      <c r="A485" s="40"/>
      <c r="B485" s="40"/>
      <c r="C485" s="40"/>
      <c r="D485" s="40"/>
      <c r="E485" s="40"/>
      <c r="F485" s="43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spans="1:34" x14ac:dyDescent="0.25">
      <c r="A486" s="40"/>
      <c r="B486" s="40"/>
      <c r="C486" s="40"/>
      <c r="D486" s="40"/>
      <c r="E486" s="40"/>
      <c r="F486" s="43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spans="1:34" x14ac:dyDescent="0.25">
      <c r="A487" s="40"/>
      <c r="B487" s="40"/>
      <c r="C487" s="40"/>
      <c r="D487" s="40"/>
      <c r="E487" s="40"/>
      <c r="F487" s="43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spans="1:34" x14ac:dyDescent="0.25">
      <c r="A488" s="40"/>
      <c r="B488" s="40"/>
      <c r="C488" s="40"/>
      <c r="D488" s="40"/>
      <c r="E488" s="40"/>
      <c r="F488" s="43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spans="1:34" x14ac:dyDescent="0.25">
      <c r="A489" s="40"/>
      <c r="B489" s="40"/>
      <c r="C489" s="40"/>
      <c r="D489" s="40"/>
      <c r="E489" s="40"/>
      <c r="F489" s="43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spans="1:34" x14ac:dyDescent="0.25">
      <c r="A490" s="40"/>
      <c r="B490" s="40"/>
      <c r="C490" s="40"/>
      <c r="D490" s="40"/>
      <c r="E490" s="40"/>
      <c r="F490" s="43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spans="1:34" x14ac:dyDescent="0.25">
      <c r="A491" s="40"/>
      <c r="B491" s="40"/>
      <c r="C491" s="40"/>
      <c r="D491" s="40"/>
      <c r="E491" s="40"/>
      <c r="F491" s="43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spans="1:34" x14ac:dyDescent="0.25">
      <c r="A492" s="40"/>
      <c r="B492" s="40"/>
      <c r="C492" s="40"/>
      <c r="D492" s="40"/>
      <c r="E492" s="40"/>
      <c r="F492" s="43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spans="1:34" x14ac:dyDescent="0.25">
      <c r="A493" s="40"/>
      <c r="B493" s="40"/>
      <c r="C493" s="40"/>
      <c r="D493" s="40"/>
      <c r="E493" s="40"/>
      <c r="F493" s="43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spans="1:34" x14ac:dyDescent="0.25">
      <c r="A494" s="40"/>
      <c r="B494" s="40"/>
      <c r="C494" s="40"/>
      <c r="D494" s="40"/>
      <c r="E494" s="40"/>
      <c r="F494" s="43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spans="1:34" x14ac:dyDescent="0.25">
      <c r="A495" s="40"/>
      <c r="B495" s="40"/>
      <c r="C495" s="40"/>
      <c r="D495" s="40"/>
      <c r="E495" s="40"/>
      <c r="F495" s="43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spans="1:34" x14ac:dyDescent="0.25">
      <c r="A496" s="40"/>
      <c r="B496" s="40"/>
      <c r="C496" s="40"/>
      <c r="D496" s="40"/>
      <c r="E496" s="40"/>
      <c r="F496" s="43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spans="1:34" x14ac:dyDescent="0.25">
      <c r="A497" s="40"/>
      <c r="B497" s="40"/>
      <c r="C497" s="40"/>
      <c r="D497" s="40"/>
      <c r="E497" s="40"/>
      <c r="F497" s="43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spans="1:34" x14ac:dyDescent="0.25">
      <c r="A498" s="40"/>
      <c r="B498" s="40"/>
      <c r="C498" s="40"/>
      <c r="D498" s="40"/>
      <c r="E498" s="40"/>
      <c r="F498" s="43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spans="1:34" x14ac:dyDescent="0.25">
      <c r="A499" s="40"/>
      <c r="B499" s="40"/>
      <c r="C499" s="40"/>
      <c r="D499" s="40"/>
      <c r="E499" s="40"/>
      <c r="F499" s="43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spans="1:34" x14ac:dyDescent="0.25">
      <c r="A500" s="40"/>
      <c r="B500" s="40"/>
      <c r="C500" s="40"/>
      <c r="D500" s="40"/>
      <c r="E500" s="40"/>
      <c r="F500" s="43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spans="1:34" x14ac:dyDescent="0.25">
      <c r="A501" s="40"/>
      <c r="B501" s="40"/>
      <c r="C501" s="40"/>
      <c r="D501" s="40"/>
      <c r="E501" s="40"/>
      <c r="F501" s="43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spans="1:34" x14ac:dyDescent="0.25">
      <c r="A502" s="40"/>
      <c r="B502" s="40"/>
      <c r="C502" s="40"/>
      <c r="D502" s="40"/>
      <c r="E502" s="40"/>
      <c r="F502" s="43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spans="1:34" x14ac:dyDescent="0.25">
      <c r="A503" s="40"/>
      <c r="B503" s="40"/>
      <c r="C503" s="40"/>
      <c r="D503" s="40"/>
      <c r="E503" s="40"/>
      <c r="F503" s="43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spans="1:34" x14ac:dyDescent="0.25">
      <c r="A504" s="40"/>
      <c r="B504" s="40"/>
      <c r="C504" s="40"/>
      <c r="D504" s="40"/>
      <c r="E504" s="40"/>
      <c r="F504" s="43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spans="1:34" x14ac:dyDescent="0.25">
      <c r="A505" s="40"/>
      <c r="B505" s="40"/>
      <c r="C505" s="40"/>
      <c r="D505" s="40"/>
      <c r="E505" s="40"/>
      <c r="F505" s="43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spans="1:34" x14ac:dyDescent="0.25">
      <c r="A506" s="40"/>
      <c r="B506" s="40"/>
      <c r="C506" s="40"/>
      <c r="D506" s="40"/>
      <c r="E506" s="40"/>
      <c r="F506" s="43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spans="1:34" x14ac:dyDescent="0.25">
      <c r="A507" s="40"/>
      <c r="B507" s="40"/>
      <c r="C507" s="40"/>
      <c r="D507" s="40"/>
      <c r="E507" s="40"/>
      <c r="F507" s="43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spans="1:34" x14ac:dyDescent="0.25">
      <c r="A508" s="40"/>
      <c r="B508" s="40"/>
      <c r="C508" s="40"/>
      <c r="D508" s="40"/>
      <c r="E508" s="40"/>
      <c r="F508" s="43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spans="1:34" x14ac:dyDescent="0.25">
      <c r="A509" s="40"/>
      <c r="B509" s="40"/>
      <c r="C509" s="40"/>
      <c r="D509" s="40"/>
      <c r="E509" s="40"/>
      <c r="F509" s="43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spans="1:34" x14ac:dyDescent="0.25">
      <c r="A510" s="40"/>
      <c r="B510" s="40"/>
      <c r="C510" s="40"/>
      <c r="D510" s="40"/>
      <c r="E510" s="40"/>
      <c r="F510" s="43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spans="1:34" x14ac:dyDescent="0.25">
      <c r="A511" s="40"/>
      <c r="B511" s="40"/>
      <c r="C511" s="40"/>
      <c r="D511" s="40"/>
      <c r="E511" s="40"/>
      <c r="F511" s="43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spans="1:34" x14ac:dyDescent="0.25">
      <c r="A512" s="40"/>
      <c r="B512" s="40"/>
      <c r="C512" s="40"/>
      <c r="D512" s="40"/>
      <c r="E512" s="40"/>
      <c r="F512" s="43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spans="1:34" x14ac:dyDescent="0.25">
      <c r="A513" s="40"/>
      <c r="B513" s="40"/>
      <c r="C513" s="40"/>
      <c r="D513" s="40"/>
      <c r="E513" s="40"/>
      <c r="F513" s="43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spans="1:34" x14ac:dyDescent="0.25">
      <c r="A514" s="40"/>
      <c r="B514" s="40"/>
      <c r="C514" s="40"/>
      <c r="D514" s="40"/>
      <c r="E514" s="40"/>
      <c r="F514" s="43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spans="1:34" x14ac:dyDescent="0.25">
      <c r="A515" s="40"/>
      <c r="B515" s="40"/>
      <c r="C515" s="40"/>
      <c r="D515" s="40"/>
      <c r="E515" s="40"/>
      <c r="F515" s="43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spans="1:34" x14ac:dyDescent="0.25">
      <c r="A516" s="40"/>
      <c r="B516" s="40"/>
      <c r="C516" s="40"/>
      <c r="D516" s="40"/>
      <c r="E516" s="40"/>
      <c r="F516" s="43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spans="1:34" x14ac:dyDescent="0.25">
      <c r="A517" s="40"/>
      <c r="B517" s="40"/>
      <c r="C517" s="40"/>
      <c r="D517" s="40"/>
      <c r="E517" s="40"/>
      <c r="F517" s="43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spans="1:34" x14ac:dyDescent="0.25">
      <c r="A518" s="40"/>
      <c r="B518" s="40"/>
      <c r="C518" s="40"/>
      <c r="D518" s="40"/>
      <c r="E518" s="40"/>
      <c r="F518" s="43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spans="1:34" x14ac:dyDescent="0.25">
      <c r="A519" s="40"/>
      <c r="B519" s="40"/>
      <c r="C519" s="40"/>
      <c r="D519" s="40"/>
      <c r="E519" s="40"/>
      <c r="F519" s="43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spans="1:34" x14ac:dyDescent="0.25">
      <c r="A520" s="40"/>
      <c r="B520" s="40"/>
      <c r="C520" s="40"/>
      <c r="D520" s="40"/>
      <c r="E520" s="40"/>
      <c r="F520" s="43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spans="1:34" x14ac:dyDescent="0.25">
      <c r="A521" s="40"/>
      <c r="B521" s="40"/>
      <c r="C521" s="40"/>
      <c r="D521" s="40"/>
      <c r="E521" s="40"/>
      <c r="F521" s="43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spans="1:34" x14ac:dyDescent="0.25">
      <c r="A522" s="40"/>
      <c r="B522" s="40"/>
      <c r="C522" s="40"/>
      <c r="D522" s="40"/>
      <c r="E522" s="40"/>
      <c r="F522" s="43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spans="1:34" x14ac:dyDescent="0.25">
      <c r="A523" s="40"/>
      <c r="B523" s="40"/>
      <c r="C523" s="40"/>
      <c r="D523" s="40"/>
      <c r="E523" s="40"/>
      <c r="F523" s="43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spans="1:34" x14ac:dyDescent="0.25">
      <c r="A524" s="40"/>
      <c r="B524" s="40"/>
      <c r="C524" s="40"/>
      <c r="D524" s="40"/>
      <c r="E524" s="40"/>
      <c r="F524" s="43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spans="1:34" x14ac:dyDescent="0.25">
      <c r="A525" s="40"/>
      <c r="B525" s="40"/>
      <c r="C525" s="40"/>
      <c r="D525" s="40"/>
      <c r="E525" s="40"/>
      <c r="F525" s="43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spans="1:34" x14ac:dyDescent="0.25">
      <c r="A526" s="40"/>
      <c r="B526" s="40"/>
      <c r="C526" s="40"/>
      <c r="D526" s="40"/>
      <c r="E526" s="40"/>
      <c r="F526" s="43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spans="1:34" x14ac:dyDescent="0.25">
      <c r="A527" s="40"/>
      <c r="B527" s="40"/>
      <c r="C527" s="40"/>
      <c r="D527" s="40"/>
      <c r="E527" s="40"/>
      <c r="F527" s="43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spans="1:34" x14ac:dyDescent="0.25">
      <c r="A528" s="40"/>
      <c r="B528" s="40"/>
      <c r="C528" s="40"/>
      <c r="D528" s="40"/>
      <c r="E528" s="40"/>
      <c r="F528" s="43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spans="1:34" x14ac:dyDescent="0.25">
      <c r="A529" s="40"/>
      <c r="B529" s="40"/>
      <c r="C529" s="40"/>
      <c r="D529" s="40"/>
      <c r="E529" s="40"/>
      <c r="F529" s="43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spans="1:34" x14ac:dyDescent="0.25">
      <c r="A530" s="40"/>
      <c r="B530" s="40"/>
      <c r="C530" s="40"/>
      <c r="D530" s="40"/>
      <c r="E530" s="40"/>
      <c r="F530" s="43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spans="1:34" x14ac:dyDescent="0.25">
      <c r="A531" s="40"/>
      <c r="B531" s="40"/>
      <c r="C531" s="40"/>
      <c r="D531" s="40"/>
      <c r="E531" s="40"/>
      <c r="F531" s="43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spans="1:34" x14ac:dyDescent="0.25">
      <c r="A532" s="40"/>
      <c r="B532" s="40"/>
      <c r="C532" s="40"/>
      <c r="D532" s="40"/>
      <c r="E532" s="40"/>
      <c r="F532" s="43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spans="1:34" x14ac:dyDescent="0.25">
      <c r="A533" s="40"/>
      <c r="B533" s="40"/>
      <c r="C533" s="40"/>
      <c r="D533" s="40"/>
      <c r="E533" s="40"/>
      <c r="F533" s="43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spans="1:34" x14ac:dyDescent="0.25">
      <c r="A534" s="40"/>
      <c r="B534" s="40"/>
      <c r="C534" s="40"/>
      <c r="D534" s="40"/>
      <c r="E534" s="40"/>
      <c r="F534" s="43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spans="1:34" x14ac:dyDescent="0.25">
      <c r="A535" s="40"/>
      <c r="B535" s="40"/>
      <c r="C535" s="40"/>
      <c r="D535" s="40"/>
      <c r="E535" s="40"/>
      <c r="F535" s="43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spans="1:34" x14ac:dyDescent="0.25">
      <c r="A536" s="40"/>
      <c r="B536" s="40"/>
      <c r="C536" s="40"/>
      <c r="D536" s="40"/>
      <c r="E536" s="40"/>
      <c r="F536" s="43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spans="1:34" x14ac:dyDescent="0.25">
      <c r="A537" s="40"/>
      <c r="B537" s="40"/>
      <c r="C537" s="40"/>
      <c r="D537" s="40"/>
      <c r="E537" s="40"/>
      <c r="F537" s="43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spans="1:34" x14ac:dyDescent="0.25">
      <c r="A538" s="40"/>
      <c r="B538" s="40"/>
      <c r="C538" s="40"/>
      <c r="D538" s="40"/>
      <c r="E538" s="40"/>
      <c r="F538" s="43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spans="1:34" x14ac:dyDescent="0.25">
      <c r="A539" s="40"/>
      <c r="B539" s="40"/>
      <c r="C539" s="40"/>
      <c r="D539" s="40"/>
      <c r="E539" s="40"/>
      <c r="F539" s="43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spans="1:34" x14ac:dyDescent="0.25">
      <c r="A540" s="40"/>
      <c r="B540" s="40"/>
      <c r="C540" s="40"/>
      <c r="D540" s="40"/>
      <c r="E540" s="40"/>
      <c r="F540" s="43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spans="1:34" x14ac:dyDescent="0.25">
      <c r="A541" s="40"/>
      <c r="B541" s="40"/>
      <c r="C541" s="40"/>
      <c r="D541" s="40"/>
      <c r="E541" s="40"/>
      <c r="F541" s="43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spans="1:34" x14ac:dyDescent="0.25">
      <c r="A542" s="40"/>
      <c r="B542" s="40"/>
      <c r="C542" s="40"/>
      <c r="D542" s="40"/>
      <c r="E542" s="40"/>
      <c r="F542" s="43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spans="1:34" x14ac:dyDescent="0.25">
      <c r="A543" s="40"/>
      <c r="B543" s="40"/>
      <c r="C543" s="40"/>
      <c r="D543" s="40"/>
      <c r="E543" s="40"/>
      <c r="F543" s="43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spans="1:34" x14ac:dyDescent="0.25">
      <c r="A544" s="40"/>
      <c r="B544" s="40"/>
      <c r="C544" s="40"/>
      <c r="D544" s="40"/>
      <c r="E544" s="40"/>
      <c r="F544" s="43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spans="1:34" x14ac:dyDescent="0.25">
      <c r="A545" s="40"/>
      <c r="B545" s="40"/>
      <c r="C545" s="40"/>
      <c r="D545" s="40"/>
      <c r="E545" s="40"/>
      <c r="F545" s="43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spans="1:34" x14ac:dyDescent="0.25">
      <c r="A546" s="40"/>
      <c r="B546" s="40"/>
      <c r="C546" s="40"/>
      <c r="D546" s="40"/>
      <c r="E546" s="40"/>
      <c r="F546" s="43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spans="1:34" x14ac:dyDescent="0.25">
      <c r="A547" s="40"/>
      <c r="B547" s="40"/>
      <c r="C547" s="40"/>
      <c r="D547" s="40"/>
      <c r="E547" s="40"/>
      <c r="F547" s="43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spans="1:34" x14ac:dyDescent="0.25">
      <c r="A548" s="40"/>
      <c r="B548" s="40"/>
      <c r="C548" s="40"/>
      <c r="D548" s="40"/>
      <c r="E548" s="40"/>
      <c r="F548" s="43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spans="1:34" x14ac:dyDescent="0.25">
      <c r="A549" s="40"/>
      <c r="B549" s="40"/>
      <c r="C549" s="40"/>
      <c r="D549" s="40"/>
      <c r="E549" s="40"/>
      <c r="F549" s="43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spans="1:34" x14ac:dyDescent="0.25">
      <c r="A550" s="40"/>
      <c r="B550" s="40"/>
      <c r="C550" s="40"/>
      <c r="D550" s="40"/>
      <c r="E550" s="40"/>
      <c r="F550" s="43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spans="1:34" x14ac:dyDescent="0.25">
      <c r="A551" s="40"/>
      <c r="B551" s="40"/>
      <c r="C551" s="40"/>
      <c r="D551" s="40"/>
      <c r="E551" s="40"/>
      <c r="F551" s="43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spans="1:34" x14ac:dyDescent="0.25">
      <c r="A552" s="40"/>
      <c r="B552" s="40"/>
      <c r="C552" s="40"/>
      <c r="D552" s="40"/>
      <c r="E552" s="40"/>
      <c r="F552" s="43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spans="1:34" x14ac:dyDescent="0.25">
      <c r="A553" s="40"/>
      <c r="B553" s="40"/>
      <c r="C553" s="40"/>
      <c r="D553" s="40"/>
      <c r="E553" s="40"/>
      <c r="F553" s="43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spans="1:34" x14ac:dyDescent="0.25">
      <c r="A554" s="40"/>
      <c r="B554" s="40"/>
      <c r="C554" s="40"/>
      <c r="D554" s="40"/>
      <c r="E554" s="40"/>
      <c r="F554" s="43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spans="1:34" x14ac:dyDescent="0.25">
      <c r="A555" s="40"/>
      <c r="B555" s="40"/>
      <c r="C555" s="40"/>
      <c r="D555" s="40"/>
      <c r="E555" s="40"/>
      <c r="F555" s="43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spans="1:34" x14ac:dyDescent="0.25">
      <c r="A556" s="40"/>
      <c r="B556" s="40"/>
      <c r="C556" s="40"/>
      <c r="D556" s="40"/>
      <c r="E556" s="40"/>
      <c r="F556" s="43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spans="1:34" x14ac:dyDescent="0.25">
      <c r="A557" s="40"/>
      <c r="B557" s="40"/>
      <c r="C557" s="40"/>
      <c r="D557" s="40"/>
      <c r="E557" s="40"/>
      <c r="F557" s="43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spans="1:34" x14ac:dyDescent="0.25">
      <c r="A558" s="40"/>
      <c r="B558" s="40"/>
      <c r="C558" s="40"/>
      <c r="D558" s="40"/>
      <c r="E558" s="40"/>
      <c r="F558" s="43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spans="1:34" x14ac:dyDescent="0.25">
      <c r="A559" s="40"/>
      <c r="B559" s="40"/>
      <c r="C559" s="40"/>
      <c r="D559" s="40"/>
      <c r="E559" s="40"/>
      <c r="F559" s="43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spans="1:34" x14ac:dyDescent="0.25">
      <c r="A560" s="40"/>
      <c r="B560" s="40"/>
      <c r="C560" s="40"/>
      <c r="D560" s="40"/>
      <c r="E560" s="40"/>
      <c r="F560" s="43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spans="1:34" x14ac:dyDescent="0.25">
      <c r="A561" s="40"/>
      <c r="B561" s="40"/>
      <c r="C561" s="40"/>
      <c r="D561" s="40"/>
      <c r="E561" s="40"/>
      <c r="F561" s="43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spans="1:34" x14ac:dyDescent="0.25">
      <c r="A562" s="40"/>
      <c r="B562" s="40"/>
      <c r="C562" s="40"/>
      <c r="D562" s="40"/>
      <c r="E562" s="40"/>
      <c r="F562" s="43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spans="1:34" x14ac:dyDescent="0.25">
      <c r="A563" s="40"/>
      <c r="B563" s="40"/>
      <c r="C563" s="40"/>
      <c r="D563" s="40"/>
      <c r="E563" s="40"/>
      <c r="F563" s="43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spans="1:34" x14ac:dyDescent="0.25">
      <c r="A564" s="40"/>
      <c r="B564" s="40"/>
      <c r="C564" s="40"/>
      <c r="D564" s="40"/>
      <c r="E564" s="40"/>
      <c r="F564" s="43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spans="1:34" x14ac:dyDescent="0.25">
      <c r="A565" s="40"/>
      <c r="B565" s="40"/>
      <c r="C565" s="40"/>
      <c r="D565" s="40"/>
      <c r="E565" s="40"/>
      <c r="F565" s="43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spans="1:34" x14ac:dyDescent="0.25">
      <c r="A566" s="40"/>
      <c r="B566" s="40"/>
      <c r="C566" s="40"/>
      <c r="D566" s="40"/>
      <c r="E566" s="40"/>
      <c r="F566" s="43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spans="1:34" x14ac:dyDescent="0.25">
      <c r="A567" s="40"/>
      <c r="B567" s="40"/>
      <c r="C567" s="40"/>
      <c r="D567" s="40"/>
      <c r="E567" s="40"/>
      <c r="F567" s="43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spans="1:34" x14ac:dyDescent="0.25">
      <c r="A568" s="40"/>
      <c r="B568" s="40"/>
      <c r="C568" s="40"/>
      <c r="D568" s="40"/>
      <c r="E568" s="40"/>
      <c r="F568" s="43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spans="1:34" x14ac:dyDescent="0.25">
      <c r="A569" s="40"/>
      <c r="B569" s="40"/>
      <c r="C569" s="40"/>
      <c r="D569" s="40"/>
      <c r="E569" s="40"/>
      <c r="F569" s="43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spans="1:34" x14ac:dyDescent="0.25">
      <c r="A570" s="40"/>
      <c r="B570" s="40"/>
      <c r="C570" s="40"/>
      <c r="D570" s="40"/>
      <c r="E570" s="40"/>
      <c r="F570" s="43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spans="1:34" x14ac:dyDescent="0.25">
      <c r="A571" s="40"/>
      <c r="B571" s="40"/>
      <c r="C571" s="40"/>
      <c r="D571" s="40"/>
      <c r="E571" s="40"/>
      <c r="F571" s="43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spans="1:34" x14ac:dyDescent="0.25">
      <c r="A572" s="40"/>
      <c r="B572" s="40"/>
      <c r="C572" s="40"/>
      <c r="D572" s="40"/>
      <c r="E572" s="40"/>
      <c r="F572" s="43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spans="1:34" x14ac:dyDescent="0.25">
      <c r="A573" s="40"/>
      <c r="B573" s="40"/>
      <c r="C573" s="40"/>
      <c r="D573" s="40"/>
      <c r="E573" s="40"/>
      <c r="F573" s="43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spans="1:34" x14ac:dyDescent="0.25">
      <c r="A574" s="40"/>
      <c r="B574" s="40"/>
      <c r="C574" s="40"/>
      <c r="D574" s="40"/>
      <c r="E574" s="40"/>
      <c r="F574" s="43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spans="1:34" x14ac:dyDescent="0.25">
      <c r="A575" s="40"/>
      <c r="B575" s="40"/>
      <c r="C575" s="40"/>
      <c r="D575" s="40"/>
      <c r="E575" s="40"/>
      <c r="F575" s="43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spans="1:34" x14ac:dyDescent="0.25">
      <c r="A576" s="40"/>
      <c r="B576" s="40"/>
      <c r="C576" s="40"/>
      <c r="D576" s="40"/>
      <c r="E576" s="40"/>
      <c r="F576" s="43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spans="1:34" x14ac:dyDescent="0.25">
      <c r="A577" s="40"/>
      <c r="B577" s="40"/>
      <c r="C577" s="40"/>
      <c r="D577" s="40"/>
      <c r="E577" s="40"/>
      <c r="F577" s="43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spans="1:34" x14ac:dyDescent="0.25">
      <c r="A578" s="40"/>
      <c r="B578" s="40"/>
      <c r="C578" s="40"/>
      <c r="D578" s="40"/>
      <c r="E578" s="40"/>
      <c r="F578" s="43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spans="1:34" x14ac:dyDescent="0.25">
      <c r="A579" s="40"/>
      <c r="B579" s="40"/>
      <c r="C579" s="40"/>
      <c r="D579" s="40"/>
      <c r="E579" s="40"/>
      <c r="F579" s="43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spans="1:34" x14ac:dyDescent="0.25">
      <c r="A580" s="40"/>
      <c r="B580" s="40"/>
      <c r="C580" s="40"/>
      <c r="D580" s="40"/>
      <c r="E580" s="40"/>
      <c r="F580" s="43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spans="1:34" x14ac:dyDescent="0.25">
      <c r="A581" s="40"/>
      <c r="B581" s="40"/>
      <c r="C581" s="40"/>
      <c r="D581" s="40"/>
      <c r="E581" s="40"/>
      <c r="F581" s="43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spans="1:34" x14ac:dyDescent="0.25">
      <c r="A582" s="40"/>
      <c r="B582" s="40"/>
      <c r="C582" s="40"/>
      <c r="D582" s="40"/>
      <c r="E582" s="40"/>
      <c r="F582" s="43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spans="1:34" x14ac:dyDescent="0.25">
      <c r="A583" s="40"/>
      <c r="B583" s="40"/>
      <c r="C583" s="40"/>
      <c r="D583" s="40"/>
      <c r="E583" s="40"/>
      <c r="F583" s="43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spans="1:34" x14ac:dyDescent="0.25">
      <c r="A584" s="40"/>
      <c r="B584" s="40"/>
      <c r="C584" s="40"/>
      <c r="D584" s="40"/>
      <c r="E584" s="40"/>
      <c r="F584" s="43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spans="1:34" x14ac:dyDescent="0.25">
      <c r="A585" s="40"/>
      <c r="B585" s="40"/>
      <c r="C585" s="40"/>
      <c r="D585" s="40"/>
      <c r="E585" s="40"/>
      <c r="F585" s="43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spans="1:34" x14ac:dyDescent="0.25">
      <c r="A586" s="40"/>
      <c r="B586" s="40"/>
      <c r="C586" s="40"/>
      <c r="D586" s="40"/>
      <c r="E586" s="40"/>
      <c r="F586" s="43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spans="1:34" x14ac:dyDescent="0.25">
      <c r="A587" s="40"/>
      <c r="B587" s="40"/>
      <c r="C587" s="40"/>
      <c r="D587" s="40"/>
      <c r="E587" s="40"/>
      <c r="F587" s="43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spans="1:34" x14ac:dyDescent="0.25">
      <c r="A588" s="40"/>
      <c r="B588" s="40"/>
      <c r="C588" s="40"/>
      <c r="D588" s="40"/>
      <c r="E588" s="40"/>
      <c r="F588" s="43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spans="1:34" x14ac:dyDescent="0.25">
      <c r="A589" s="40"/>
      <c r="B589" s="40"/>
      <c r="C589" s="40"/>
      <c r="D589" s="40"/>
      <c r="E589" s="40"/>
      <c r="F589" s="43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spans="1:34" x14ac:dyDescent="0.25">
      <c r="A590" s="40"/>
      <c r="B590" s="40"/>
      <c r="C590" s="40"/>
      <c r="D590" s="40"/>
      <c r="E590" s="40"/>
      <c r="F590" s="43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spans="1:34" x14ac:dyDescent="0.25">
      <c r="A591" s="40"/>
      <c r="B591" s="40"/>
      <c r="C591" s="40"/>
      <c r="D591" s="40"/>
      <c r="E591" s="40"/>
      <c r="F591" s="43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spans="1:34" x14ac:dyDescent="0.25">
      <c r="A592" s="40"/>
      <c r="B592" s="40"/>
      <c r="C592" s="40"/>
      <c r="D592" s="40"/>
      <c r="E592" s="40"/>
      <c r="F592" s="43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spans="1:34" x14ac:dyDescent="0.25">
      <c r="A593" s="40"/>
      <c r="B593" s="40"/>
      <c r="C593" s="40"/>
      <c r="D593" s="40"/>
      <c r="E593" s="40"/>
      <c r="F593" s="43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spans="1:34" x14ac:dyDescent="0.25">
      <c r="A594" s="40"/>
      <c r="B594" s="40"/>
      <c r="C594" s="40"/>
      <c r="D594" s="40"/>
      <c r="E594" s="40"/>
      <c r="F594" s="43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spans="1:34" x14ac:dyDescent="0.25">
      <c r="A595" s="40"/>
      <c r="B595" s="40"/>
      <c r="C595" s="40"/>
      <c r="D595" s="40"/>
      <c r="E595" s="40"/>
      <c r="F595" s="43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spans="1:34" x14ac:dyDescent="0.25">
      <c r="A596" s="40"/>
      <c r="B596" s="40"/>
      <c r="C596" s="40"/>
      <c r="D596" s="40"/>
      <c r="E596" s="40"/>
      <c r="F596" s="43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spans="1:34" x14ac:dyDescent="0.25">
      <c r="A597" s="40"/>
      <c r="B597" s="40"/>
      <c r="C597" s="40"/>
      <c r="D597" s="40"/>
      <c r="E597" s="40"/>
      <c r="F597" s="43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spans="1:34" x14ac:dyDescent="0.25">
      <c r="A598" s="40"/>
      <c r="B598" s="40"/>
      <c r="C598" s="40"/>
      <c r="D598" s="40"/>
      <c r="E598" s="40"/>
      <c r="F598" s="43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spans="1:34" x14ac:dyDescent="0.25">
      <c r="A599" s="40"/>
      <c r="B599" s="40"/>
      <c r="C599" s="40"/>
      <c r="D599" s="40"/>
      <c r="E599" s="40"/>
      <c r="F599" s="43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spans="1:34" x14ac:dyDescent="0.25">
      <c r="A600" s="40"/>
      <c r="B600" s="40"/>
      <c r="C600" s="40"/>
      <c r="D600" s="40"/>
      <c r="E600" s="40"/>
      <c r="F600" s="43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spans="1:34" x14ac:dyDescent="0.25">
      <c r="A601" s="40"/>
      <c r="B601" s="40"/>
      <c r="C601" s="40"/>
      <c r="D601" s="40"/>
      <c r="E601" s="40"/>
      <c r="F601" s="43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spans="1:34" x14ac:dyDescent="0.25">
      <c r="A602" s="40"/>
      <c r="B602" s="40"/>
      <c r="C602" s="40"/>
      <c r="D602" s="40"/>
      <c r="E602" s="40"/>
      <c r="F602" s="43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spans="1:34" x14ac:dyDescent="0.25">
      <c r="A603" s="40"/>
      <c r="B603" s="40"/>
      <c r="C603" s="40"/>
      <c r="D603" s="40"/>
      <c r="E603" s="40"/>
      <c r="F603" s="43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spans="1:34" x14ac:dyDescent="0.25">
      <c r="A604" s="40"/>
      <c r="B604" s="40"/>
      <c r="C604" s="40"/>
      <c r="D604" s="40"/>
      <c r="E604" s="40"/>
      <c r="F604" s="43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spans="1:34" x14ac:dyDescent="0.25">
      <c r="A605" s="40"/>
      <c r="B605" s="40"/>
      <c r="C605" s="40"/>
      <c r="D605" s="40"/>
      <c r="E605" s="40"/>
      <c r="F605" s="43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spans="1:34" x14ac:dyDescent="0.25">
      <c r="A606" s="40"/>
      <c r="B606" s="40"/>
      <c r="C606" s="40"/>
      <c r="D606" s="40"/>
      <c r="E606" s="40"/>
      <c r="F606" s="43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spans="1:34" x14ac:dyDescent="0.25">
      <c r="A607" s="40"/>
      <c r="B607" s="40"/>
      <c r="C607" s="40"/>
      <c r="D607" s="40"/>
      <c r="E607" s="40"/>
      <c r="F607" s="43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spans="1:34" x14ac:dyDescent="0.25">
      <c r="A608" s="40"/>
      <c r="B608" s="40"/>
      <c r="C608" s="40"/>
      <c r="D608" s="40"/>
      <c r="E608" s="40"/>
      <c r="F608" s="43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spans="1:34" x14ac:dyDescent="0.25">
      <c r="A609" s="40"/>
      <c r="B609" s="40"/>
      <c r="C609" s="40"/>
      <c r="D609" s="40"/>
      <c r="E609" s="40"/>
      <c r="F609" s="43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spans="1:34" x14ac:dyDescent="0.25">
      <c r="A610" s="40"/>
      <c r="B610" s="40"/>
      <c r="C610" s="40"/>
      <c r="D610" s="40"/>
      <c r="E610" s="40"/>
      <c r="F610" s="43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spans="1:34" x14ac:dyDescent="0.25">
      <c r="A611" s="40"/>
      <c r="B611" s="40"/>
      <c r="C611" s="40"/>
      <c r="D611" s="40"/>
      <c r="E611" s="40"/>
      <c r="F611" s="43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spans="1:34" x14ac:dyDescent="0.25">
      <c r="A612" s="40"/>
      <c r="B612" s="40"/>
      <c r="C612" s="40"/>
      <c r="D612" s="40"/>
      <c r="E612" s="40"/>
      <c r="F612" s="43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spans="1:34" x14ac:dyDescent="0.25">
      <c r="A613" s="40"/>
      <c r="B613" s="40"/>
      <c r="C613" s="40"/>
      <c r="D613" s="40"/>
      <c r="E613" s="40"/>
      <c r="F613" s="43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spans="1:34" x14ac:dyDescent="0.25">
      <c r="A614" s="40"/>
      <c r="B614" s="40"/>
      <c r="C614" s="40"/>
      <c r="D614" s="40"/>
      <c r="E614" s="40"/>
      <c r="F614" s="43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spans="1:34" x14ac:dyDescent="0.25">
      <c r="A615" s="40"/>
      <c r="B615" s="40"/>
      <c r="C615" s="40"/>
      <c r="D615" s="40"/>
      <c r="E615" s="40"/>
      <c r="F615" s="43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spans="1:34" x14ac:dyDescent="0.25">
      <c r="A616" s="40"/>
      <c r="B616" s="40"/>
      <c r="C616" s="40"/>
      <c r="D616" s="40"/>
      <c r="E616" s="40"/>
      <c r="F616" s="43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spans="1:34" x14ac:dyDescent="0.25">
      <c r="A617" s="40"/>
      <c r="B617" s="40"/>
      <c r="C617" s="40"/>
      <c r="D617" s="40"/>
      <c r="E617" s="40"/>
      <c r="F617" s="43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spans="1:34" x14ac:dyDescent="0.25">
      <c r="A618" s="40"/>
      <c r="B618" s="40"/>
      <c r="C618" s="40"/>
      <c r="D618" s="40"/>
      <c r="E618" s="40"/>
      <c r="F618" s="43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spans="1:34" x14ac:dyDescent="0.25">
      <c r="A619" s="40"/>
      <c r="B619" s="40"/>
      <c r="C619" s="40"/>
      <c r="D619" s="40"/>
      <c r="E619" s="40"/>
      <c r="F619" s="43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spans="1:34" x14ac:dyDescent="0.25">
      <c r="A620" s="40"/>
      <c r="B620" s="40"/>
      <c r="C620" s="40"/>
      <c r="D620" s="40"/>
      <c r="E620" s="40"/>
      <c r="F620" s="43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spans="1:34" x14ac:dyDescent="0.25">
      <c r="A621" s="40"/>
      <c r="B621" s="40"/>
      <c r="C621" s="40"/>
      <c r="D621" s="40"/>
      <c r="E621" s="40"/>
      <c r="F621" s="43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spans="1:34" x14ac:dyDescent="0.25">
      <c r="A622" s="40"/>
      <c r="B622" s="40"/>
      <c r="C622" s="40"/>
      <c r="D622" s="40"/>
      <c r="E622" s="40"/>
      <c r="F622" s="43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spans="1:34" x14ac:dyDescent="0.25">
      <c r="A623" s="40"/>
      <c r="B623" s="40"/>
      <c r="C623" s="40"/>
      <c r="D623" s="40"/>
      <c r="E623" s="40"/>
      <c r="F623" s="43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spans="1:34" x14ac:dyDescent="0.25">
      <c r="A624" s="40"/>
      <c r="B624" s="40"/>
      <c r="C624" s="40"/>
      <c r="D624" s="40"/>
      <c r="E624" s="40"/>
      <c r="F624" s="43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spans="1:34" x14ac:dyDescent="0.25">
      <c r="A625" s="40"/>
      <c r="B625" s="40"/>
      <c r="C625" s="40"/>
      <c r="D625" s="40"/>
      <c r="E625" s="40"/>
      <c r="F625" s="43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spans="1:34" x14ac:dyDescent="0.25">
      <c r="A626" s="40"/>
      <c r="B626" s="40"/>
      <c r="C626" s="40"/>
      <c r="D626" s="40"/>
      <c r="E626" s="40"/>
      <c r="F626" s="43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spans="1:34" x14ac:dyDescent="0.25">
      <c r="A627" s="40"/>
      <c r="B627" s="40"/>
      <c r="C627" s="40"/>
      <c r="D627" s="40"/>
      <c r="E627" s="40"/>
      <c r="F627" s="43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spans="1:34" x14ac:dyDescent="0.25">
      <c r="A628" s="40"/>
      <c r="B628" s="40"/>
      <c r="C628" s="40"/>
      <c r="D628" s="40"/>
      <c r="E628" s="40"/>
      <c r="F628" s="43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spans="1:34" x14ac:dyDescent="0.25">
      <c r="A629" s="40"/>
      <c r="B629" s="40"/>
      <c r="C629" s="40"/>
      <c r="D629" s="40"/>
      <c r="E629" s="40"/>
      <c r="F629" s="43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spans="1:34" x14ac:dyDescent="0.25">
      <c r="A630" s="40"/>
      <c r="B630" s="40"/>
      <c r="C630" s="40"/>
      <c r="D630" s="40"/>
      <c r="E630" s="40"/>
      <c r="F630" s="43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spans="1:34" x14ac:dyDescent="0.25">
      <c r="A631" s="40"/>
      <c r="B631" s="40"/>
      <c r="C631" s="40"/>
      <c r="D631" s="40"/>
      <c r="E631" s="40"/>
      <c r="F631" s="43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spans="1:34" x14ac:dyDescent="0.25">
      <c r="A632" s="40"/>
      <c r="B632" s="40"/>
      <c r="C632" s="40"/>
      <c r="D632" s="40"/>
      <c r="E632" s="40"/>
      <c r="F632" s="43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spans="1:34" x14ac:dyDescent="0.25">
      <c r="A633" s="40"/>
      <c r="B633" s="40"/>
      <c r="C633" s="40"/>
      <c r="D633" s="40"/>
      <c r="E633" s="40"/>
      <c r="F633" s="43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spans="1:34" x14ac:dyDescent="0.25">
      <c r="A634" s="40"/>
      <c r="B634" s="40"/>
      <c r="C634" s="40"/>
      <c r="D634" s="40"/>
      <c r="E634" s="40"/>
      <c r="F634" s="43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spans="1:34" x14ac:dyDescent="0.25">
      <c r="A635" s="40"/>
      <c r="B635" s="40"/>
      <c r="C635" s="40"/>
      <c r="D635" s="40"/>
      <c r="E635" s="40"/>
      <c r="F635" s="43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spans="1:34" x14ac:dyDescent="0.25">
      <c r="A636" s="40"/>
      <c r="B636" s="40"/>
      <c r="C636" s="40"/>
      <c r="D636" s="40"/>
      <c r="E636" s="40"/>
      <c r="F636" s="43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spans="1:34" x14ac:dyDescent="0.25">
      <c r="A637" s="40"/>
      <c r="B637" s="40"/>
      <c r="C637" s="40"/>
      <c r="D637" s="40"/>
      <c r="E637" s="40"/>
      <c r="F637" s="43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spans="1:34" x14ac:dyDescent="0.25">
      <c r="A638" s="40"/>
      <c r="B638" s="40"/>
      <c r="C638" s="40"/>
      <c r="D638" s="40"/>
      <c r="E638" s="40"/>
      <c r="F638" s="43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spans="1:34" x14ac:dyDescent="0.25">
      <c r="A639" s="40"/>
      <c r="B639" s="40"/>
      <c r="C639" s="40"/>
      <c r="D639" s="40"/>
      <c r="E639" s="40"/>
      <c r="F639" s="43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spans="1:34" x14ac:dyDescent="0.25">
      <c r="A640" s="40"/>
      <c r="B640" s="40"/>
      <c r="C640" s="40"/>
      <c r="D640" s="40"/>
      <c r="E640" s="40"/>
      <c r="F640" s="43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spans="1:34" x14ac:dyDescent="0.25">
      <c r="A641" s="40"/>
      <c r="B641" s="40"/>
      <c r="C641" s="40"/>
      <c r="D641" s="40"/>
      <c r="E641" s="40"/>
      <c r="F641" s="43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spans="1:34" x14ac:dyDescent="0.25">
      <c r="A642" s="40"/>
      <c r="B642" s="40"/>
      <c r="C642" s="40"/>
      <c r="D642" s="40"/>
      <c r="E642" s="40"/>
      <c r="F642" s="43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spans="1:34" x14ac:dyDescent="0.25">
      <c r="A643" s="40"/>
      <c r="B643" s="40"/>
      <c r="C643" s="40"/>
      <c r="D643" s="40"/>
      <c r="E643" s="40"/>
      <c r="F643" s="43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spans="1:34" x14ac:dyDescent="0.25">
      <c r="A644" s="40"/>
      <c r="B644" s="40"/>
      <c r="C644" s="40"/>
      <c r="D644" s="40"/>
      <c r="E644" s="40"/>
      <c r="F644" s="43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spans="1:34" x14ac:dyDescent="0.25">
      <c r="A645" s="40"/>
      <c r="B645" s="40"/>
      <c r="C645" s="40"/>
      <c r="D645" s="40"/>
      <c r="E645" s="40"/>
      <c r="F645" s="43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spans="1:34" x14ac:dyDescent="0.25">
      <c r="A646" s="40"/>
      <c r="B646" s="40"/>
      <c r="C646" s="40"/>
      <c r="D646" s="40"/>
      <c r="E646" s="40"/>
      <c r="F646" s="43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spans="1:34" x14ac:dyDescent="0.25">
      <c r="A647" s="40"/>
      <c r="B647" s="40"/>
      <c r="C647" s="40"/>
      <c r="D647" s="40"/>
      <c r="E647" s="40"/>
      <c r="F647" s="43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spans="1:34" x14ac:dyDescent="0.25">
      <c r="A648" s="40"/>
      <c r="B648" s="40"/>
      <c r="C648" s="40"/>
      <c r="D648" s="40"/>
      <c r="E648" s="40"/>
      <c r="F648" s="43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spans="1:34" x14ac:dyDescent="0.25">
      <c r="A649" s="40"/>
      <c r="B649" s="40"/>
      <c r="C649" s="40"/>
      <c r="D649" s="40"/>
      <c r="E649" s="40"/>
      <c r="F649" s="43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spans="1:34" x14ac:dyDescent="0.25">
      <c r="A650" s="40"/>
      <c r="B650" s="40"/>
      <c r="C650" s="40"/>
      <c r="D650" s="40"/>
      <c r="E650" s="40"/>
      <c r="F650" s="43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spans="1:34" x14ac:dyDescent="0.25">
      <c r="A651" s="40"/>
      <c r="B651" s="40"/>
      <c r="C651" s="40"/>
      <c r="D651" s="40"/>
      <c r="E651" s="40"/>
      <c r="F651" s="43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spans="1:34" x14ac:dyDescent="0.25">
      <c r="A652" s="40"/>
      <c r="B652" s="40"/>
      <c r="C652" s="40"/>
      <c r="D652" s="40"/>
      <c r="E652" s="40"/>
      <c r="F652" s="43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spans="1:34" x14ac:dyDescent="0.25">
      <c r="A653" s="40"/>
      <c r="B653" s="40"/>
      <c r="C653" s="40"/>
      <c r="D653" s="40"/>
      <c r="E653" s="40"/>
      <c r="F653" s="43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spans="1:34" x14ac:dyDescent="0.25">
      <c r="A654" s="40"/>
      <c r="B654" s="40"/>
      <c r="C654" s="40"/>
      <c r="D654" s="40"/>
      <c r="E654" s="40"/>
      <c r="F654" s="43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spans="1:34" x14ac:dyDescent="0.25">
      <c r="A655" s="40"/>
      <c r="B655" s="40"/>
      <c r="C655" s="40"/>
      <c r="D655" s="40"/>
      <c r="E655" s="40"/>
      <c r="F655" s="43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spans="1:34" x14ac:dyDescent="0.25">
      <c r="A656" s="40"/>
      <c r="B656" s="40"/>
      <c r="C656" s="40"/>
      <c r="D656" s="40"/>
      <c r="E656" s="40"/>
      <c r="F656" s="43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spans="1:34" x14ac:dyDescent="0.25">
      <c r="A657" s="40"/>
      <c r="B657" s="40"/>
      <c r="C657" s="40"/>
      <c r="D657" s="40"/>
      <c r="E657" s="40"/>
      <c r="F657" s="43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spans="1:34" x14ac:dyDescent="0.25">
      <c r="A658" s="40"/>
      <c r="B658" s="40"/>
      <c r="C658" s="40"/>
      <c r="D658" s="40"/>
      <c r="E658" s="40"/>
      <c r="F658" s="43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spans="1:34" x14ac:dyDescent="0.25">
      <c r="A659" s="40"/>
      <c r="B659" s="40"/>
      <c r="C659" s="40"/>
      <c r="D659" s="40"/>
      <c r="E659" s="40"/>
      <c r="F659" s="43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spans="1:34" x14ac:dyDescent="0.25">
      <c r="A660" s="40"/>
      <c r="B660" s="40"/>
      <c r="C660" s="40"/>
      <c r="D660" s="40"/>
      <c r="E660" s="40"/>
      <c r="F660" s="43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spans="1:34" x14ac:dyDescent="0.25">
      <c r="A661" s="40"/>
      <c r="B661" s="40"/>
      <c r="C661" s="40"/>
      <c r="D661" s="40"/>
      <c r="E661" s="40"/>
      <c r="F661" s="43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spans="1:34" x14ac:dyDescent="0.25">
      <c r="A662" s="40"/>
      <c r="B662" s="40"/>
      <c r="C662" s="40"/>
      <c r="D662" s="40"/>
      <c r="E662" s="40"/>
      <c r="F662" s="43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spans="1:34" x14ac:dyDescent="0.25">
      <c r="A663" s="40"/>
      <c r="B663" s="40"/>
      <c r="C663" s="40"/>
      <c r="D663" s="40"/>
      <c r="E663" s="40"/>
      <c r="F663" s="43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spans="1:34" x14ac:dyDescent="0.25">
      <c r="A664" s="40"/>
      <c r="B664" s="40"/>
      <c r="C664" s="40"/>
      <c r="D664" s="40"/>
      <c r="E664" s="40"/>
      <c r="F664" s="43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spans="1:34" x14ac:dyDescent="0.25">
      <c r="A665" s="40"/>
      <c r="B665" s="40"/>
      <c r="C665" s="40"/>
      <c r="D665" s="40"/>
      <c r="E665" s="40"/>
      <c r="F665" s="43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spans="1:34" x14ac:dyDescent="0.25">
      <c r="A666" s="40"/>
      <c r="B666" s="40"/>
      <c r="C666" s="40"/>
      <c r="D666" s="40"/>
      <c r="E666" s="40"/>
      <c r="F666" s="43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spans="1:34" x14ac:dyDescent="0.25">
      <c r="A667" s="40"/>
      <c r="B667" s="40"/>
      <c r="C667" s="40"/>
      <c r="D667" s="40"/>
      <c r="E667" s="40"/>
      <c r="F667" s="43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spans="1:34" x14ac:dyDescent="0.25">
      <c r="A668" s="40"/>
      <c r="B668" s="40"/>
      <c r="C668" s="40"/>
      <c r="D668" s="40"/>
      <c r="E668" s="40"/>
      <c r="F668" s="43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spans="1:34" x14ac:dyDescent="0.25">
      <c r="A669" s="40"/>
      <c r="B669" s="40"/>
      <c r="C669" s="40"/>
      <c r="D669" s="40"/>
      <c r="E669" s="40"/>
      <c r="F669" s="43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spans="1:34" x14ac:dyDescent="0.25">
      <c r="A670" s="40"/>
      <c r="B670" s="40"/>
      <c r="C670" s="40"/>
      <c r="D670" s="40"/>
      <c r="E670" s="40"/>
      <c r="F670" s="43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spans="1:34" x14ac:dyDescent="0.25">
      <c r="A671" s="40"/>
      <c r="B671" s="40"/>
      <c r="C671" s="40"/>
      <c r="D671" s="40"/>
      <c r="E671" s="40"/>
      <c r="F671" s="43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spans="1:34" x14ac:dyDescent="0.25">
      <c r="A672" s="40"/>
      <c r="B672" s="40"/>
      <c r="C672" s="40"/>
      <c r="D672" s="40"/>
      <c r="E672" s="40"/>
      <c r="F672" s="43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spans="1:34" x14ac:dyDescent="0.25">
      <c r="A673" s="40"/>
      <c r="B673" s="40"/>
      <c r="C673" s="40"/>
      <c r="D673" s="40"/>
      <c r="E673" s="40"/>
      <c r="F673" s="43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spans="1:34" x14ac:dyDescent="0.25">
      <c r="A674" s="40"/>
      <c r="B674" s="40"/>
      <c r="C674" s="40"/>
      <c r="D674" s="40"/>
      <c r="E674" s="40"/>
      <c r="F674" s="43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spans="1:34" x14ac:dyDescent="0.25">
      <c r="A675" s="40"/>
      <c r="B675" s="40"/>
      <c r="C675" s="40"/>
      <c r="D675" s="40"/>
      <c r="E675" s="40"/>
      <c r="F675" s="43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spans="1:34" x14ac:dyDescent="0.25">
      <c r="A676" s="40"/>
      <c r="B676" s="40"/>
      <c r="C676" s="40"/>
      <c r="D676" s="40"/>
      <c r="E676" s="40"/>
      <c r="F676" s="43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spans="1:34" x14ac:dyDescent="0.25">
      <c r="A677" s="40"/>
      <c r="B677" s="40"/>
      <c r="C677" s="40"/>
      <c r="D677" s="40"/>
      <c r="E677" s="40"/>
      <c r="F677" s="43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spans="1:34" x14ac:dyDescent="0.25">
      <c r="A678" s="40"/>
      <c r="B678" s="40"/>
      <c r="C678" s="40"/>
      <c r="D678" s="40"/>
      <c r="E678" s="40"/>
      <c r="F678" s="43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spans="1:34" x14ac:dyDescent="0.25">
      <c r="A679" s="40"/>
      <c r="B679" s="40"/>
      <c r="C679" s="40"/>
      <c r="D679" s="40"/>
      <c r="E679" s="40"/>
      <c r="F679" s="43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spans="1:34" x14ac:dyDescent="0.25">
      <c r="A680" s="40"/>
      <c r="B680" s="40"/>
      <c r="C680" s="40"/>
      <c r="D680" s="40"/>
      <c r="E680" s="40"/>
      <c r="F680" s="43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spans="1:34" x14ac:dyDescent="0.25">
      <c r="A681" s="40"/>
      <c r="B681" s="40"/>
      <c r="C681" s="40"/>
      <c r="D681" s="40"/>
      <c r="E681" s="40"/>
      <c r="F681" s="43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spans="1:34" x14ac:dyDescent="0.25">
      <c r="A682" s="40"/>
      <c r="B682" s="40"/>
      <c r="C682" s="40"/>
      <c r="D682" s="40"/>
      <c r="E682" s="40"/>
      <c r="F682" s="43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spans="1:34" x14ac:dyDescent="0.25">
      <c r="A683" s="40"/>
      <c r="B683" s="40"/>
      <c r="C683" s="40"/>
      <c r="D683" s="40"/>
      <c r="E683" s="40"/>
      <c r="F683" s="43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spans="1:34" x14ac:dyDescent="0.25">
      <c r="A684" s="40"/>
      <c r="B684" s="40"/>
      <c r="C684" s="40"/>
      <c r="D684" s="40"/>
      <c r="E684" s="40"/>
      <c r="F684" s="43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spans="1:34" x14ac:dyDescent="0.25">
      <c r="A685" s="40"/>
      <c r="B685" s="40"/>
      <c r="C685" s="40"/>
      <c r="D685" s="40"/>
      <c r="E685" s="40"/>
      <c r="F685" s="43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spans="1:34" x14ac:dyDescent="0.25">
      <c r="A686" s="40"/>
      <c r="B686" s="40"/>
      <c r="C686" s="40"/>
      <c r="D686" s="40"/>
      <c r="E686" s="40"/>
      <c r="F686" s="43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spans="1:34" x14ac:dyDescent="0.25">
      <c r="A687" s="40"/>
      <c r="B687" s="40"/>
      <c r="C687" s="40"/>
      <c r="D687" s="40"/>
      <c r="E687" s="40"/>
      <c r="F687" s="43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spans="1:34" x14ac:dyDescent="0.25">
      <c r="A688" s="40"/>
      <c r="B688" s="40"/>
      <c r="C688" s="40"/>
      <c r="D688" s="40"/>
      <c r="E688" s="40"/>
      <c r="F688" s="43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spans="1:34" x14ac:dyDescent="0.25">
      <c r="A689" s="40"/>
      <c r="B689" s="40"/>
      <c r="C689" s="40"/>
      <c r="D689" s="40"/>
      <c r="E689" s="40"/>
      <c r="F689" s="43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spans="1:34" x14ac:dyDescent="0.25">
      <c r="A690" s="40"/>
      <c r="B690" s="40"/>
      <c r="C690" s="40"/>
      <c r="D690" s="40"/>
      <c r="E690" s="40"/>
      <c r="F690" s="43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spans="1:34" x14ac:dyDescent="0.25">
      <c r="A691" s="40"/>
      <c r="B691" s="40"/>
      <c r="C691" s="40"/>
      <c r="D691" s="40"/>
      <c r="E691" s="40"/>
      <c r="F691" s="43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spans="1:34" x14ac:dyDescent="0.25">
      <c r="A692" s="40"/>
      <c r="B692" s="40"/>
      <c r="C692" s="40"/>
      <c r="D692" s="40"/>
      <c r="E692" s="40"/>
      <c r="F692" s="43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spans="1:34" x14ac:dyDescent="0.25">
      <c r="A693" s="40"/>
      <c r="B693" s="40"/>
      <c r="C693" s="40"/>
      <c r="D693" s="40"/>
      <c r="E693" s="40"/>
      <c r="F693" s="43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spans="1:34" x14ac:dyDescent="0.25">
      <c r="A694" s="40"/>
      <c r="B694" s="40"/>
      <c r="C694" s="40"/>
      <c r="D694" s="40"/>
      <c r="E694" s="40"/>
      <c r="F694" s="43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spans="1:34" x14ac:dyDescent="0.25">
      <c r="A695" s="40"/>
      <c r="B695" s="40"/>
      <c r="C695" s="40"/>
      <c r="D695" s="40"/>
      <c r="E695" s="40"/>
      <c r="F695" s="43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spans="1:34" x14ac:dyDescent="0.25">
      <c r="A696" s="40"/>
      <c r="B696" s="40"/>
      <c r="C696" s="40"/>
      <c r="D696" s="40"/>
      <c r="E696" s="40"/>
      <c r="F696" s="43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spans="1:34" x14ac:dyDescent="0.25">
      <c r="A697" s="40"/>
      <c r="B697" s="40"/>
      <c r="C697" s="40"/>
      <c r="D697" s="40"/>
      <c r="E697" s="40"/>
      <c r="F697" s="43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spans="1:34" x14ac:dyDescent="0.25">
      <c r="A698" s="40"/>
      <c r="B698" s="40"/>
      <c r="C698" s="40"/>
      <c r="D698" s="40"/>
      <c r="E698" s="40"/>
      <c r="F698" s="43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spans="1:34" x14ac:dyDescent="0.25">
      <c r="A699" s="40"/>
      <c r="B699" s="40"/>
      <c r="C699" s="40"/>
      <c r="D699" s="40"/>
      <c r="E699" s="40"/>
      <c r="F699" s="43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spans="1:34" x14ac:dyDescent="0.25">
      <c r="A700" s="40"/>
      <c r="B700" s="40"/>
      <c r="C700" s="40"/>
      <c r="D700" s="40"/>
      <c r="E700" s="40"/>
      <c r="F700" s="43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spans="1:34" x14ac:dyDescent="0.25">
      <c r="A701" s="40"/>
      <c r="B701" s="40"/>
      <c r="C701" s="40"/>
      <c r="D701" s="40"/>
      <c r="E701" s="40"/>
      <c r="F701" s="43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spans="1:34" x14ac:dyDescent="0.25">
      <c r="A702" s="40"/>
      <c r="B702" s="40"/>
      <c r="C702" s="40"/>
      <c r="D702" s="40"/>
      <c r="E702" s="40"/>
      <c r="F702" s="43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spans="1:34" x14ac:dyDescent="0.25">
      <c r="A703" s="40"/>
      <c r="B703" s="40"/>
      <c r="C703" s="40"/>
      <c r="D703" s="40"/>
      <c r="E703" s="40"/>
      <c r="F703" s="43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spans="1:34" x14ac:dyDescent="0.25">
      <c r="A704" s="40"/>
      <c r="B704" s="40"/>
      <c r="C704" s="40"/>
      <c r="D704" s="40"/>
      <c r="E704" s="40"/>
      <c r="F704" s="43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spans="1:34" x14ac:dyDescent="0.25">
      <c r="A705" s="40"/>
      <c r="B705" s="40"/>
      <c r="C705" s="40"/>
      <c r="D705" s="40"/>
      <c r="E705" s="40"/>
      <c r="F705" s="43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spans="1:34" x14ac:dyDescent="0.25">
      <c r="A706" s="40"/>
      <c r="B706" s="40"/>
      <c r="C706" s="40"/>
      <c r="D706" s="40"/>
      <c r="E706" s="40"/>
      <c r="F706" s="43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spans="1:34" x14ac:dyDescent="0.25">
      <c r="A707" s="40"/>
      <c r="B707" s="40"/>
      <c r="C707" s="40"/>
      <c r="D707" s="40"/>
      <c r="E707" s="40"/>
      <c r="F707" s="43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spans="1:34" x14ac:dyDescent="0.25">
      <c r="A708" s="40"/>
      <c r="B708" s="40"/>
      <c r="C708" s="40"/>
      <c r="D708" s="40"/>
      <c r="E708" s="40"/>
      <c r="F708" s="43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spans="1:34" x14ac:dyDescent="0.25">
      <c r="A709" s="40"/>
      <c r="B709" s="40"/>
      <c r="C709" s="40"/>
      <c r="D709" s="40"/>
      <c r="E709" s="40"/>
      <c r="F709" s="43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spans="1:34" x14ac:dyDescent="0.25">
      <c r="A710" s="40"/>
      <c r="B710" s="40"/>
      <c r="C710" s="40"/>
      <c r="D710" s="40"/>
      <c r="E710" s="40"/>
      <c r="F710" s="43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spans="1:34" x14ac:dyDescent="0.25">
      <c r="A711" s="40"/>
      <c r="B711" s="40"/>
      <c r="C711" s="40"/>
      <c r="D711" s="40"/>
      <c r="E711" s="40"/>
      <c r="F711" s="43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spans="1:34" x14ac:dyDescent="0.25">
      <c r="A712" s="40"/>
      <c r="B712" s="40"/>
      <c r="C712" s="40"/>
      <c r="D712" s="40"/>
      <c r="E712" s="40"/>
      <c r="F712" s="43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spans="1:34" x14ac:dyDescent="0.25">
      <c r="A713" s="40"/>
      <c r="B713" s="40"/>
      <c r="C713" s="40"/>
      <c r="D713" s="40"/>
      <c r="E713" s="40"/>
      <c r="F713" s="43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spans="1:34" x14ac:dyDescent="0.25">
      <c r="A714" s="40"/>
      <c r="B714" s="40"/>
      <c r="C714" s="40"/>
      <c r="D714" s="40"/>
      <c r="E714" s="40"/>
      <c r="F714" s="43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spans="1:34" x14ac:dyDescent="0.25">
      <c r="A715" s="40"/>
      <c r="B715" s="40"/>
      <c r="C715" s="40"/>
      <c r="D715" s="40"/>
      <c r="E715" s="40"/>
      <c r="F715" s="43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spans="1:34" x14ac:dyDescent="0.25">
      <c r="A716" s="40"/>
      <c r="B716" s="40"/>
      <c r="C716" s="40"/>
      <c r="D716" s="40"/>
      <c r="E716" s="40"/>
      <c r="F716" s="43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spans="1:34" x14ac:dyDescent="0.25">
      <c r="A717" s="40"/>
      <c r="B717" s="40"/>
      <c r="C717" s="40"/>
      <c r="D717" s="40"/>
      <c r="E717" s="40"/>
      <c r="F717" s="43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spans="1:34" x14ac:dyDescent="0.25">
      <c r="A718" s="40"/>
      <c r="B718" s="40"/>
      <c r="C718" s="40"/>
      <c r="D718" s="40"/>
      <c r="E718" s="40"/>
      <c r="F718" s="43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spans="1:34" x14ac:dyDescent="0.25">
      <c r="A719" s="40"/>
      <c r="B719" s="40"/>
      <c r="C719" s="40"/>
      <c r="D719" s="40"/>
      <c r="E719" s="40"/>
      <c r="F719" s="43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spans="1:34" x14ac:dyDescent="0.25">
      <c r="A720" s="40"/>
      <c r="B720" s="40"/>
      <c r="C720" s="40"/>
      <c r="D720" s="40"/>
      <c r="E720" s="40"/>
      <c r="F720" s="43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spans="1:34" x14ac:dyDescent="0.25">
      <c r="A721" s="40"/>
      <c r="B721" s="40"/>
      <c r="C721" s="40"/>
      <c r="D721" s="40"/>
      <c r="E721" s="40"/>
      <c r="F721" s="43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spans="1:34" x14ac:dyDescent="0.25">
      <c r="A722" s="40"/>
      <c r="B722" s="40"/>
      <c r="C722" s="40"/>
      <c r="D722" s="40"/>
      <c r="E722" s="40"/>
      <c r="F722" s="43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spans="1:34" x14ac:dyDescent="0.25">
      <c r="A723" s="40"/>
      <c r="B723" s="40"/>
      <c r="C723" s="40"/>
      <c r="D723" s="40"/>
      <c r="E723" s="40"/>
      <c r="F723" s="43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spans="1:34" x14ac:dyDescent="0.25">
      <c r="A724" s="40"/>
      <c r="B724" s="40"/>
      <c r="C724" s="40"/>
      <c r="D724" s="40"/>
      <c r="E724" s="40"/>
      <c r="F724" s="43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spans="1:34" x14ac:dyDescent="0.25">
      <c r="A725" s="40"/>
      <c r="B725" s="40"/>
      <c r="C725" s="40"/>
      <c r="D725" s="40"/>
      <c r="E725" s="40"/>
      <c r="F725" s="43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spans="1:34" x14ac:dyDescent="0.25">
      <c r="A726" s="40"/>
      <c r="B726" s="40"/>
      <c r="C726" s="40"/>
      <c r="D726" s="40"/>
      <c r="E726" s="40"/>
      <c r="F726" s="43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spans="1:34" x14ac:dyDescent="0.25">
      <c r="A727" s="40"/>
      <c r="B727" s="40"/>
      <c r="C727" s="40"/>
      <c r="D727" s="40"/>
      <c r="E727" s="40"/>
      <c r="F727" s="43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spans="1:34" x14ac:dyDescent="0.25">
      <c r="A728" s="40"/>
      <c r="B728" s="40"/>
      <c r="C728" s="40"/>
      <c r="D728" s="40"/>
      <c r="E728" s="40"/>
      <c r="F728" s="43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spans="1:34" x14ac:dyDescent="0.25">
      <c r="A729" s="40"/>
      <c r="B729" s="40"/>
      <c r="C729" s="40"/>
      <c r="D729" s="40"/>
      <c r="E729" s="40"/>
      <c r="F729" s="43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spans="1:34" x14ac:dyDescent="0.25">
      <c r="A730" s="40"/>
      <c r="B730" s="40"/>
      <c r="C730" s="40"/>
      <c r="D730" s="40"/>
      <c r="E730" s="40"/>
      <c r="F730" s="43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spans="1:34" x14ac:dyDescent="0.25">
      <c r="A731" s="40"/>
      <c r="B731" s="40"/>
      <c r="C731" s="40"/>
      <c r="D731" s="40"/>
      <c r="E731" s="40"/>
      <c r="F731" s="43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spans="1:34" x14ac:dyDescent="0.25">
      <c r="A732" s="40"/>
      <c r="B732" s="40"/>
      <c r="C732" s="40"/>
      <c r="D732" s="40"/>
      <c r="E732" s="40"/>
      <c r="F732" s="43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spans="1:34" x14ac:dyDescent="0.25">
      <c r="A733" s="40"/>
      <c r="B733" s="40"/>
      <c r="C733" s="40"/>
      <c r="D733" s="40"/>
      <c r="E733" s="40"/>
      <c r="F733" s="43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spans="1:34" x14ac:dyDescent="0.25">
      <c r="A734" s="40"/>
      <c r="B734" s="40"/>
      <c r="C734" s="40"/>
      <c r="D734" s="40"/>
      <c r="E734" s="40"/>
      <c r="F734" s="43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spans="1:34" x14ac:dyDescent="0.25">
      <c r="A735" s="40"/>
      <c r="B735" s="40"/>
      <c r="C735" s="40"/>
      <c r="D735" s="40"/>
      <c r="E735" s="40"/>
      <c r="F735" s="43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spans="1:34" x14ac:dyDescent="0.25">
      <c r="A736" s="40"/>
      <c r="B736" s="40"/>
      <c r="C736" s="40"/>
      <c r="D736" s="40"/>
      <c r="E736" s="40"/>
      <c r="F736" s="43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spans="1:34" x14ac:dyDescent="0.25">
      <c r="A737" s="40"/>
      <c r="B737" s="40"/>
      <c r="C737" s="40"/>
      <c r="D737" s="40"/>
      <c r="E737" s="40"/>
      <c r="F737" s="43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spans="1:34" x14ac:dyDescent="0.25">
      <c r="A738" s="40"/>
      <c r="B738" s="40"/>
      <c r="C738" s="40"/>
      <c r="D738" s="40"/>
      <c r="E738" s="40"/>
      <c r="F738" s="43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spans="1:34" x14ac:dyDescent="0.25">
      <c r="A739" s="40"/>
      <c r="B739" s="40"/>
      <c r="C739" s="40"/>
      <c r="D739" s="40"/>
      <c r="E739" s="40"/>
      <c r="F739" s="43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spans="1:34" x14ac:dyDescent="0.25">
      <c r="A740" s="40"/>
      <c r="B740" s="40"/>
      <c r="C740" s="40"/>
      <c r="D740" s="40"/>
      <c r="E740" s="40"/>
      <c r="F740" s="43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spans="1:34" x14ac:dyDescent="0.25">
      <c r="A741" s="40"/>
      <c r="B741" s="40"/>
      <c r="C741" s="40"/>
      <c r="D741" s="40"/>
      <c r="E741" s="40"/>
      <c r="F741" s="43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spans="1:34" x14ac:dyDescent="0.25">
      <c r="A742" s="40"/>
      <c r="B742" s="40"/>
      <c r="C742" s="40"/>
      <c r="D742" s="40"/>
      <c r="E742" s="40"/>
      <c r="F742" s="43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spans="1:34" x14ac:dyDescent="0.25">
      <c r="A743" s="40"/>
      <c r="B743" s="40"/>
      <c r="C743" s="40"/>
      <c r="D743" s="40"/>
      <c r="E743" s="40"/>
      <c r="F743" s="43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spans="1:34" x14ac:dyDescent="0.25">
      <c r="A744" s="40"/>
      <c r="B744" s="40"/>
      <c r="C744" s="40"/>
      <c r="D744" s="40"/>
      <c r="E744" s="40"/>
      <c r="F744" s="43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spans="1:34" x14ac:dyDescent="0.25">
      <c r="A745" s="40"/>
      <c r="B745" s="40"/>
      <c r="C745" s="40"/>
      <c r="D745" s="40"/>
      <c r="E745" s="40"/>
      <c r="F745" s="43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spans="1:34" x14ac:dyDescent="0.25">
      <c r="A746" s="40"/>
      <c r="B746" s="40"/>
      <c r="C746" s="40"/>
      <c r="D746" s="40"/>
      <c r="E746" s="40"/>
      <c r="F746" s="43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spans="1:34" x14ac:dyDescent="0.25">
      <c r="A747" s="40"/>
      <c r="B747" s="40"/>
      <c r="C747" s="40"/>
      <c r="D747" s="40"/>
      <c r="E747" s="40"/>
      <c r="F747" s="43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spans="1:34" x14ac:dyDescent="0.25">
      <c r="A748" s="40"/>
      <c r="B748" s="40"/>
      <c r="C748" s="40"/>
      <c r="D748" s="40"/>
      <c r="E748" s="40"/>
      <c r="F748" s="43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spans="1:34" x14ac:dyDescent="0.25">
      <c r="A749" s="40"/>
      <c r="B749" s="40"/>
      <c r="C749" s="40"/>
      <c r="D749" s="40"/>
      <c r="E749" s="40"/>
      <c r="F749" s="43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spans="1:34" x14ac:dyDescent="0.25">
      <c r="A750" s="40"/>
      <c r="B750" s="40"/>
      <c r="C750" s="40"/>
      <c r="D750" s="40"/>
      <c r="E750" s="40"/>
      <c r="F750" s="43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spans="1:34" x14ac:dyDescent="0.25">
      <c r="A751" s="40"/>
      <c r="B751" s="40"/>
      <c r="C751" s="40"/>
      <c r="D751" s="40"/>
      <c r="E751" s="40"/>
      <c r="F751" s="43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spans="1:34" x14ac:dyDescent="0.25">
      <c r="A752" s="40"/>
      <c r="B752" s="40"/>
      <c r="C752" s="40"/>
      <c r="D752" s="40"/>
      <c r="E752" s="40"/>
      <c r="F752" s="43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spans="1:34" x14ac:dyDescent="0.25">
      <c r="A753" s="40"/>
      <c r="B753" s="40"/>
      <c r="C753" s="40"/>
      <c r="D753" s="40"/>
      <c r="E753" s="40"/>
      <c r="F753" s="43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spans="1:34" x14ac:dyDescent="0.25">
      <c r="A754" s="40"/>
      <c r="B754" s="40"/>
      <c r="C754" s="40"/>
      <c r="D754" s="40"/>
      <c r="E754" s="40"/>
      <c r="F754" s="43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spans="1:34" x14ac:dyDescent="0.25">
      <c r="A755" s="40"/>
      <c r="B755" s="40"/>
      <c r="C755" s="40"/>
      <c r="D755" s="40"/>
      <c r="E755" s="40"/>
      <c r="F755" s="43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spans="1:34" x14ac:dyDescent="0.25">
      <c r="A756" s="40"/>
      <c r="B756" s="40"/>
      <c r="C756" s="40"/>
      <c r="D756" s="40"/>
      <c r="E756" s="40"/>
      <c r="F756" s="43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spans="1:34" x14ac:dyDescent="0.25">
      <c r="A757" s="40"/>
      <c r="B757" s="40"/>
      <c r="C757" s="40"/>
      <c r="D757" s="40"/>
      <c r="E757" s="40"/>
      <c r="F757" s="43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spans="1:34" x14ac:dyDescent="0.25">
      <c r="A758" s="40"/>
      <c r="B758" s="40"/>
      <c r="C758" s="40"/>
      <c r="D758" s="40"/>
      <c r="E758" s="40"/>
      <c r="F758" s="43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spans="1:34" x14ac:dyDescent="0.25">
      <c r="A759" s="40"/>
      <c r="B759" s="40"/>
      <c r="C759" s="40"/>
      <c r="D759" s="40"/>
      <c r="E759" s="40"/>
      <c r="F759" s="43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spans="1:34" x14ac:dyDescent="0.25">
      <c r="A760" s="40"/>
      <c r="B760" s="40"/>
      <c r="C760" s="40"/>
      <c r="D760" s="40"/>
      <c r="E760" s="40"/>
      <c r="F760" s="43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spans="1:34" x14ac:dyDescent="0.25">
      <c r="A761" s="40"/>
      <c r="B761" s="40"/>
      <c r="C761" s="40"/>
      <c r="D761" s="40"/>
      <c r="E761" s="40"/>
      <c r="F761" s="43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spans="1:34" x14ac:dyDescent="0.25">
      <c r="A762" s="40"/>
      <c r="B762" s="40"/>
      <c r="C762" s="40"/>
      <c r="D762" s="40"/>
      <c r="E762" s="40"/>
      <c r="F762" s="43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spans="1:34" x14ac:dyDescent="0.25">
      <c r="A763" s="40"/>
      <c r="B763" s="40"/>
      <c r="C763" s="40"/>
      <c r="D763" s="40"/>
      <c r="E763" s="40"/>
      <c r="F763" s="43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spans="1:34" x14ac:dyDescent="0.25">
      <c r="A764" s="40"/>
      <c r="B764" s="40"/>
      <c r="C764" s="40"/>
      <c r="D764" s="40"/>
      <c r="E764" s="40"/>
      <c r="F764" s="43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spans="1:34" x14ac:dyDescent="0.25">
      <c r="A765" s="40"/>
      <c r="B765" s="40"/>
      <c r="C765" s="40"/>
      <c r="D765" s="40"/>
      <c r="E765" s="40"/>
      <c r="F765" s="43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spans="1:34" x14ac:dyDescent="0.25">
      <c r="A766" s="40"/>
      <c r="B766" s="40"/>
      <c r="C766" s="40"/>
      <c r="D766" s="40"/>
      <c r="E766" s="40"/>
      <c r="F766" s="43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spans="1:34" x14ac:dyDescent="0.25">
      <c r="A767" s="40"/>
      <c r="B767" s="40"/>
      <c r="C767" s="40"/>
      <c r="D767" s="40"/>
      <c r="E767" s="40"/>
      <c r="F767" s="43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spans="1:34" x14ac:dyDescent="0.25">
      <c r="A768" s="40"/>
      <c r="B768" s="40"/>
      <c r="C768" s="40"/>
      <c r="D768" s="40"/>
      <c r="E768" s="40"/>
      <c r="F768" s="43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spans="1:34" x14ac:dyDescent="0.25">
      <c r="A769" s="40"/>
      <c r="B769" s="40"/>
      <c r="C769" s="40"/>
      <c r="D769" s="40"/>
      <c r="E769" s="40"/>
      <c r="F769" s="43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spans="1:34" x14ac:dyDescent="0.25">
      <c r="A770" s="40"/>
      <c r="B770" s="40"/>
      <c r="C770" s="40"/>
      <c r="D770" s="40"/>
      <c r="E770" s="40"/>
      <c r="F770" s="43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spans="1:34" x14ac:dyDescent="0.25">
      <c r="A771" s="40"/>
      <c r="B771" s="40"/>
      <c r="C771" s="40"/>
      <c r="D771" s="40"/>
      <c r="E771" s="40"/>
      <c r="F771" s="43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spans="1:34" x14ac:dyDescent="0.25">
      <c r="A772" s="40"/>
      <c r="B772" s="40"/>
      <c r="C772" s="40"/>
      <c r="D772" s="40"/>
      <c r="E772" s="40"/>
      <c r="F772" s="43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spans="1:34" x14ac:dyDescent="0.25">
      <c r="A773" s="40"/>
      <c r="B773" s="40"/>
      <c r="C773" s="40"/>
      <c r="D773" s="40"/>
      <c r="E773" s="40"/>
      <c r="F773" s="43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spans="1:34" x14ac:dyDescent="0.25">
      <c r="A774" s="40"/>
      <c r="B774" s="40"/>
      <c r="C774" s="40"/>
      <c r="D774" s="40"/>
      <c r="E774" s="40"/>
      <c r="F774" s="43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spans="1:34" x14ac:dyDescent="0.25">
      <c r="A775" s="40"/>
      <c r="B775" s="40"/>
      <c r="C775" s="40"/>
      <c r="D775" s="40"/>
      <c r="E775" s="40"/>
      <c r="F775" s="43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spans="1:34" x14ac:dyDescent="0.25">
      <c r="A776" s="40"/>
      <c r="B776" s="40"/>
      <c r="C776" s="40"/>
      <c r="D776" s="40"/>
      <c r="E776" s="40"/>
      <c r="F776" s="43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spans="1:34" x14ac:dyDescent="0.25">
      <c r="A777" s="40"/>
      <c r="B777" s="40"/>
      <c r="C777" s="40"/>
      <c r="D777" s="40"/>
      <c r="E777" s="40"/>
      <c r="F777" s="43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spans="1:34" x14ac:dyDescent="0.25">
      <c r="A778" s="40"/>
      <c r="B778" s="40"/>
      <c r="C778" s="40"/>
      <c r="D778" s="40"/>
      <c r="E778" s="40"/>
      <c r="F778" s="43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spans="1:34" x14ac:dyDescent="0.25">
      <c r="A779" s="40"/>
      <c r="B779" s="40"/>
      <c r="C779" s="40"/>
      <c r="D779" s="40"/>
      <c r="E779" s="40"/>
      <c r="F779" s="43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spans="1:34" x14ac:dyDescent="0.25">
      <c r="A780" s="40"/>
      <c r="B780" s="40"/>
      <c r="C780" s="40"/>
      <c r="D780" s="40"/>
      <c r="E780" s="40"/>
      <c r="F780" s="43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spans="1:34" x14ac:dyDescent="0.25">
      <c r="A781" s="40"/>
      <c r="B781" s="40"/>
      <c r="C781" s="40"/>
      <c r="D781" s="40"/>
      <c r="E781" s="40"/>
      <c r="F781" s="43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spans="1:34" x14ac:dyDescent="0.25">
      <c r="A782" s="40"/>
      <c r="B782" s="40"/>
      <c r="C782" s="40"/>
      <c r="D782" s="40"/>
      <c r="E782" s="40"/>
      <c r="F782" s="43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spans="1:34" x14ac:dyDescent="0.25">
      <c r="A783" s="40"/>
      <c r="B783" s="40"/>
      <c r="C783" s="40"/>
      <c r="D783" s="40"/>
      <c r="E783" s="40"/>
      <c r="F783" s="43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spans="1:34" x14ac:dyDescent="0.25">
      <c r="A784" s="40"/>
      <c r="B784" s="40"/>
      <c r="C784" s="40"/>
      <c r="D784" s="40"/>
      <c r="E784" s="40"/>
      <c r="F784" s="43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spans="1:34" x14ac:dyDescent="0.25">
      <c r="A785" s="40"/>
      <c r="B785" s="40"/>
      <c r="C785" s="40"/>
      <c r="D785" s="40"/>
      <c r="E785" s="40"/>
      <c r="F785" s="43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spans="1:34" x14ac:dyDescent="0.25">
      <c r="A786" s="40"/>
      <c r="B786" s="40"/>
      <c r="C786" s="40"/>
      <c r="D786" s="40"/>
      <c r="E786" s="40"/>
      <c r="F786" s="43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spans="1:34" x14ac:dyDescent="0.25">
      <c r="A787" s="40"/>
      <c r="B787" s="40"/>
      <c r="C787" s="40"/>
      <c r="D787" s="40"/>
      <c r="E787" s="40"/>
      <c r="F787" s="43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spans="1:34" x14ac:dyDescent="0.25">
      <c r="A788" s="40"/>
      <c r="B788" s="40"/>
      <c r="C788" s="40"/>
      <c r="D788" s="40"/>
      <c r="E788" s="40"/>
      <c r="F788" s="43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spans="1:34" x14ac:dyDescent="0.25">
      <c r="A789" s="40"/>
      <c r="B789" s="40"/>
      <c r="C789" s="40"/>
      <c r="D789" s="40"/>
      <c r="E789" s="40"/>
      <c r="F789" s="43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spans="1:34" x14ac:dyDescent="0.25">
      <c r="A790" s="40"/>
      <c r="B790" s="40"/>
      <c r="C790" s="40"/>
      <c r="D790" s="40"/>
      <c r="E790" s="40"/>
      <c r="F790" s="43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spans="1:34" x14ac:dyDescent="0.25">
      <c r="A791" s="40"/>
      <c r="B791" s="40"/>
      <c r="C791" s="40"/>
      <c r="D791" s="40"/>
      <c r="E791" s="40"/>
      <c r="F791" s="43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spans="1:34" x14ac:dyDescent="0.25">
      <c r="A792" s="40"/>
      <c r="B792" s="40"/>
      <c r="C792" s="40"/>
      <c r="D792" s="40"/>
      <c r="E792" s="40"/>
      <c r="F792" s="43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spans="1:34" x14ac:dyDescent="0.25">
      <c r="A793" s="40"/>
      <c r="B793" s="40"/>
      <c r="C793" s="40"/>
      <c r="D793" s="40"/>
      <c r="E793" s="40"/>
      <c r="F793" s="43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spans="1:34" x14ac:dyDescent="0.25">
      <c r="A794" s="40"/>
      <c r="B794" s="40"/>
      <c r="C794" s="40"/>
      <c r="D794" s="40"/>
      <c r="E794" s="40"/>
      <c r="F794" s="43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spans="1:34" x14ac:dyDescent="0.25">
      <c r="A795" s="40"/>
      <c r="B795" s="40"/>
      <c r="C795" s="40"/>
      <c r="D795" s="40"/>
      <c r="E795" s="40"/>
      <c r="F795" s="43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spans="1:34" x14ac:dyDescent="0.25">
      <c r="A796" s="40"/>
      <c r="B796" s="40"/>
      <c r="C796" s="40"/>
      <c r="D796" s="40"/>
      <c r="E796" s="40"/>
      <c r="F796" s="43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spans="1:34" x14ac:dyDescent="0.25">
      <c r="A797" s="40"/>
      <c r="B797" s="40"/>
      <c r="C797" s="40"/>
      <c r="D797" s="40"/>
      <c r="E797" s="40"/>
      <c r="F797" s="43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spans="1:34" x14ac:dyDescent="0.25">
      <c r="A798" s="40"/>
      <c r="B798" s="40"/>
      <c r="C798" s="40"/>
      <c r="D798" s="40"/>
      <c r="E798" s="40"/>
      <c r="F798" s="43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spans="1:34" x14ac:dyDescent="0.25">
      <c r="A799" s="40"/>
      <c r="B799" s="40"/>
      <c r="C799" s="40"/>
      <c r="D799" s="40"/>
      <c r="E799" s="40"/>
      <c r="F799" s="43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spans="1:34" x14ac:dyDescent="0.25">
      <c r="A800" s="40"/>
      <c r="B800" s="40"/>
      <c r="C800" s="40"/>
      <c r="D800" s="40"/>
      <c r="E800" s="40"/>
      <c r="F800" s="43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spans="1:34" x14ac:dyDescent="0.25">
      <c r="A801" s="40"/>
      <c r="B801" s="40"/>
      <c r="C801" s="40"/>
      <c r="D801" s="40"/>
      <c r="E801" s="40"/>
      <c r="F801" s="43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spans="1:34" x14ac:dyDescent="0.25">
      <c r="A802" s="40"/>
      <c r="B802" s="40"/>
      <c r="C802" s="40"/>
      <c r="D802" s="40"/>
      <c r="E802" s="40"/>
      <c r="F802" s="43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spans="1:34" x14ac:dyDescent="0.25">
      <c r="A803" s="40"/>
      <c r="B803" s="40"/>
      <c r="C803" s="40"/>
      <c r="D803" s="40"/>
      <c r="E803" s="40"/>
      <c r="F803" s="43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spans="1:34" x14ac:dyDescent="0.25">
      <c r="A804" s="40"/>
      <c r="B804" s="40"/>
      <c r="C804" s="40"/>
      <c r="D804" s="40"/>
      <c r="E804" s="40"/>
      <c r="F804" s="43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spans="1:34" x14ac:dyDescent="0.25">
      <c r="A805" s="40"/>
      <c r="B805" s="40"/>
      <c r="C805" s="40"/>
      <c r="D805" s="40"/>
      <c r="E805" s="40"/>
      <c r="F805" s="43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spans="1:34" x14ac:dyDescent="0.25">
      <c r="A806" s="40"/>
      <c r="B806" s="40"/>
      <c r="C806" s="40"/>
      <c r="D806" s="40"/>
      <c r="E806" s="40"/>
      <c r="F806" s="43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spans="1:34" x14ac:dyDescent="0.25">
      <c r="A807" s="40"/>
      <c r="B807" s="40"/>
      <c r="C807" s="40"/>
      <c r="D807" s="40"/>
      <c r="E807" s="40"/>
      <c r="F807" s="43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spans="1:34" x14ac:dyDescent="0.25">
      <c r="A808" s="40"/>
      <c r="B808" s="40"/>
      <c r="C808" s="40"/>
      <c r="D808" s="40"/>
      <c r="E808" s="40"/>
      <c r="F808" s="43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spans="1:34" x14ac:dyDescent="0.25">
      <c r="A809" s="40"/>
      <c r="B809" s="40"/>
      <c r="C809" s="40"/>
      <c r="D809" s="40"/>
      <c r="E809" s="40"/>
      <c r="F809" s="43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spans="1:34" x14ac:dyDescent="0.25">
      <c r="A810" s="40"/>
      <c r="B810" s="40"/>
      <c r="C810" s="40"/>
      <c r="D810" s="40"/>
      <c r="E810" s="40"/>
      <c r="F810" s="43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spans="1:34" x14ac:dyDescent="0.25">
      <c r="A811" s="40"/>
      <c r="B811" s="40"/>
      <c r="C811" s="40"/>
      <c r="D811" s="40"/>
      <c r="E811" s="40"/>
      <c r="F811" s="43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spans="1:34" x14ac:dyDescent="0.25">
      <c r="A812" s="40"/>
      <c r="B812" s="40"/>
      <c r="C812" s="40"/>
      <c r="D812" s="40"/>
      <c r="E812" s="40"/>
      <c r="F812" s="43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spans="1:34" x14ac:dyDescent="0.25">
      <c r="A813" s="40"/>
      <c r="B813" s="40"/>
      <c r="C813" s="40"/>
      <c r="D813" s="40"/>
      <c r="E813" s="40"/>
      <c r="F813" s="43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spans="1:34" x14ac:dyDescent="0.25">
      <c r="A814" s="40"/>
      <c r="B814" s="40"/>
      <c r="C814" s="40"/>
      <c r="D814" s="40"/>
      <c r="E814" s="40"/>
      <c r="F814" s="43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spans="1:34" x14ac:dyDescent="0.25">
      <c r="A815" s="40"/>
      <c r="B815" s="40"/>
      <c r="C815" s="40"/>
      <c r="D815" s="40"/>
      <c r="E815" s="40"/>
      <c r="F815" s="43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spans="1:34" x14ac:dyDescent="0.25">
      <c r="A816" s="40"/>
      <c r="B816" s="40"/>
      <c r="C816" s="40"/>
      <c r="D816" s="40"/>
      <c r="E816" s="40"/>
      <c r="F816" s="43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spans="1:34" x14ac:dyDescent="0.25">
      <c r="A817" s="40"/>
      <c r="B817" s="40"/>
      <c r="C817" s="40"/>
      <c r="D817" s="40"/>
      <c r="E817" s="40"/>
      <c r="F817" s="43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spans="1:34" x14ac:dyDescent="0.25">
      <c r="A818" s="40"/>
      <c r="B818" s="40"/>
      <c r="C818" s="40"/>
      <c r="D818" s="40"/>
      <c r="E818" s="40"/>
      <c r="F818" s="43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spans="1:34" x14ac:dyDescent="0.25">
      <c r="A819" s="40"/>
      <c r="B819" s="40"/>
      <c r="C819" s="40"/>
      <c r="D819" s="40"/>
      <c r="E819" s="40"/>
      <c r="F819" s="43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spans="1:34" x14ac:dyDescent="0.25">
      <c r="A820" s="40"/>
      <c r="B820" s="40"/>
      <c r="C820" s="40"/>
      <c r="D820" s="40"/>
      <c r="E820" s="40"/>
      <c r="F820" s="43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spans="1:34" x14ac:dyDescent="0.25">
      <c r="A821" s="40"/>
      <c r="B821" s="40"/>
      <c r="C821" s="40"/>
      <c r="D821" s="40"/>
      <c r="E821" s="40"/>
      <c r="F821" s="43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spans="1:34" x14ac:dyDescent="0.25">
      <c r="A822" s="40"/>
      <c r="B822" s="40"/>
      <c r="C822" s="40"/>
      <c r="D822" s="40"/>
      <c r="E822" s="40"/>
      <c r="F822" s="43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spans="1:34" x14ac:dyDescent="0.25">
      <c r="A823" s="40"/>
      <c r="B823" s="40"/>
      <c r="C823" s="40"/>
      <c r="D823" s="40"/>
      <c r="E823" s="40"/>
      <c r="F823" s="43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spans="1:34" x14ac:dyDescent="0.25">
      <c r="A824" s="40"/>
      <c r="B824" s="40"/>
      <c r="C824" s="40"/>
      <c r="D824" s="40"/>
      <c r="E824" s="40"/>
      <c r="F824" s="43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spans="1:34" x14ac:dyDescent="0.25">
      <c r="A825" s="40"/>
      <c r="B825" s="40"/>
      <c r="C825" s="40"/>
      <c r="D825" s="40"/>
      <c r="E825" s="40"/>
      <c r="F825" s="43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spans="1:34" x14ac:dyDescent="0.25">
      <c r="A826" s="40"/>
      <c r="B826" s="40"/>
      <c r="C826" s="40"/>
      <c r="D826" s="40"/>
      <c r="E826" s="40"/>
      <c r="F826" s="43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spans="1:34" x14ac:dyDescent="0.25">
      <c r="A827" s="40"/>
      <c r="B827" s="40"/>
      <c r="C827" s="40"/>
      <c r="D827" s="40"/>
      <c r="E827" s="40"/>
      <c r="F827" s="43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spans="1:34" x14ac:dyDescent="0.25">
      <c r="A828" s="40"/>
      <c r="B828" s="40"/>
      <c r="C828" s="40"/>
      <c r="D828" s="40"/>
      <c r="E828" s="40"/>
      <c r="F828" s="43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spans="1:34" x14ac:dyDescent="0.25">
      <c r="A829" s="40"/>
      <c r="B829" s="40"/>
      <c r="C829" s="40"/>
      <c r="D829" s="40"/>
      <c r="E829" s="40"/>
      <c r="F829" s="43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spans="1:34" x14ac:dyDescent="0.25">
      <c r="A830" s="40"/>
      <c r="B830" s="40"/>
      <c r="C830" s="40"/>
      <c r="D830" s="40"/>
      <c r="E830" s="40"/>
      <c r="F830" s="43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spans="1:34" x14ac:dyDescent="0.25">
      <c r="A831" s="40"/>
      <c r="B831" s="40"/>
      <c r="C831" s="40"/>
      <c r="D831" s="40"/>
      <c r="E831" s="40"/>
      <c r="F831" s="43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spans="1:34" x14ac:dyDescent="0.25">
      <c r="A832" s="40"/>
      <c r="B832" s="40"/>
      <c r="C832" s="40"/>
      <c r="D832" s="40"/>
      <c r="E832" s="40"/>
      <c r="F832" s="43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spans="1:34" x14ac:dyDescent="0.25">
      <c r="A833" s="40"/>
      <c r="B833" s="40"/>
      <c r="C833" s="40"/>
      <c r="D833" s="40"/>
      <c r="E833" s="40"/>
      <c r="F833" s="43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spans="1:34" x14ac:dyDescent="0.25">
      <c r="A834" s="40"/>
      <c r="B834" s="40"/>
      <c r="C834" s="40"/>
      <c r="D834" s="40"/>
      <c r="E834" s="40"/>
      <c r="F834" s="43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spans="1:34" x14ac:dyDescent="0.25">
      <c r="A835" s="40"/>
      <c r="B835" s="40"/>
      <c r="C835" s="40"/>
      <c r="D835" s="40"/>
      <c r="E835" s="40"/>
      <c r="F835" s="43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spans="1:34" x14ac:dyDescent="0.25">
      <c r="A836" s="40"/>
      <c r="B836" s="40"/>
      <c r="C836" s="40"/>
      <c r="D836" s="40"/>
      <c r="E836" s="40"/>
      <c r="F836" s="43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spans="1:34" x14ac:dyDescent="0.25">
      <c r="A837" s="40"/>
      <c r="B837" s="40"/>
      <c r="C837" s="40"/>
      <c r="D837" s="40"/>
      <c r="E837" s="40"/>
      <c r="F837" s="43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spans="1:34" x14ac:dyDescent="0.25">
      <c r="A838" s="40"/>
      <c r="B838" s="40"/>
      <c r="C838" s="40"/>
      <c r="D838" s="40"/>
      <c r="E838" s="40"/>
      <c r="F838" s="43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spans="1:34" x14ac:dyDescent="0.25">
      <c r="A839" s="40"/>
      <c r="B839" s="40"/>
      <c r="C839" s="40"/>
      <c r="D839" s="40"/>
      <c r="E839" s="40"/>
      <c r="F839" s="43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spans="1:34" x14ac:dyDescent="0.25">
      <c r="A840" s="40"/>
      <c r="B840" s="40"/>
      <c r="C840" s="40"/>
      <c r="D840" s="40"/>
      <c r="E840" s="40"/>
      <c r="F840" s="43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spans="1:34" x14ac:dyDescent="0.25">
      <c r="A841" s="40"/>
      <c r="B841" s="40"/>
      <c r="C841" s="40"/>
      <c r="D841" s="40"/>
      <c r="E841" s="40"/>
      <c r="F841" s="43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spans="1:34" x14ac:dyDescent="0.25">
      <c r="A842" s="40"/>
      <c r="B842" s="40"/>
      <c r="C842" s="40"/>
      <c r="D842" s="40"/>
      <c r="E842" s="40"/>
      <c r="F842" s="43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spans="1:34" x14ac:dyDescent="0.25">
      <c r="A843" s="40"/>
      <c r="B843" s="40"/>
      <c r="C843" s="40"/>
      <c r="D843" s="40"/>
      <c r="E843" s="40"/>
      <c r="F843" s="43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spans="1:34" x14ac:dyDescent="0.25">
      <c r="A844" s="40"/>
      <c r="B844" s="40"/>
      <c r="C844" s="40"/>
      <c r="D844" s="40"/>
      <c r="E844" s="40"/>
      <c r="F844" s="43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spans="1:34" x14ac:dyDescent="0.25">
      <c r="A845" s="40"/>
      <c r="B845" s="40"/>
      <c r="C845" s="40"/>
      <c r="D845" s="40"/>
      <c r="E845" s="40"/>
      <c r="F845" s="43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spans="1:34" x14ac:dyDescent="0.25">
      <c r="A846" s="40"/>
      <c r="B846" s="40"/>
      <c r="C846" s="40"/>
      <c r="D846" s="40"/>
      <c r="E846" s="40"/>
      <c r="F846" s="43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spans="1:34" x14ac:dyDescent="0.25">
      <c r="A847" s="40"/>
      <c r="B847" s="40"/>
      <c r="C847" s="40"/>
      <c r="D847" s="40"/>
      <c r="E847" s="40"/>
      <c r="F847" s="43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spans="1:34" x14ac:dyDescent="0.25">
      <c r="A848" s="40"/>
      <c r="B848" s="40"/>
      <c r="C848" s="40"/>
      <c r="D848" s="40"/>
      <c r="E848" s="40"/>
      <c r="F848" s="43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spans="1:34" x14ac:dyDescent="0.25">
      <c r="A849" s="40"/>
      <c r="B849" s="40"/>
      <c r="C849" s="40"/>
      <c r="D849" s="40"/>
      <c r="E849" s="40"/>
      <c r="F849" s="43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spans="1:34" x14ac:dyDescent="0.25">
      <c r="A850" s="40"/>
      <c r="B850" s="40"/>
      <c r="C850" s="40"/>
      <c r="D850" s="40"/>
      <c r="E850" s="40"/>
      <c r="F850" s="43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spans="1:34" x14ac:dyDescent="0.25">
      <c r="A851" s="40"/>
      <c r="B851" s="40"/>
      <c r="C851" s="40"/>
      <c r="D851" s="40"/>
      <c r="E851" s="40"/>
      <c r="F851" s="43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spans="1:34" x14ac:dyDescent="0.25">
      <c r="A852" s="40"/>
      <c r="B852" s="40"/>
      <c r="C852" s="40"/>
      <c r="D852" s="40"/>
      <c r="E852" s="40"/>
      <c r="F852" s="43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spans="1:34" x14ac:dyDescent="0.25">
      <c r="A853" s="40"/>
      <c r="B853" s="40"/>
      <c r="C853" s="40"/>
      <c r="D853" s="40"/>
      <c r="E853" s="40"/>
      <c r="F853" s="43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spans="1:34" x14ac:dyDescent="0.25">
      <c r="A854" s="40"/>
      <c r="B854" s="40"/>
      <c r="C854" s="40"/>
      <c r="D854" s="40"/>
      <c r="E854" s="40"/>
      <c r="F854" s="43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spans="1:34" x14ac:dyDescent="0.25">
      <c r="A855" s="40"/>
      <c r="B855" s="40"/>
      <c r="C855" s="40"/>
      <c r="D855" s="40"/>
      <c r="E855" s="40"/>
      <c r="F855" s="43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spans="1:34" x14ac:dyDescent="0.25">
      <c r="A856" s="40"/>
      <c r="B856" s="40"/>
      <c r="C856" s="40"/>
      <c r="D856" s="40"/>
      <c r="E856" s="40"/>
      <c r="F856" s="43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spans="1:34" x14ac:dyDescent="0.25">
      <c r="A857" s="40"/>
      <c r="B857" s="40"/>
      <c r="C857" s="40"/>
      <c r="D857" s="40"/>
      <c r="E857" s="40"/>
      <c r="F857" s="43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spans="1:34" x14ac:dyDescent="0.25">
      <c r="A858" s="40"/>
      <c r="B858" s="40"/>
      <c r="C858" s="40"/>
      <c r="D858" s="40"/>
      <c r="E858" s="40"/>
      <c r="F858" s="43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spans="1:34" x14ac:dyDescent="0.25">
      <c r="A859" s="40"/>
      <c r="B859" s="40"/>
      <c r="C859" s="40"/>
      <c r="D859" s="40"/>
      <c r="E859" s="40"/>
      <c r="F859" s="43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spans="1:34" x14ac:dyDescent="0.25">
      <c r="A860" s="40"/>
      <c r="B860" s="40"/>
      <c r="C860" s="40"/>
      <c r="D860" s="40"/>
      <c r="E860" s="40"/>
      <c r="F860" s="43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spans="1:34" x14ac:dyDescent="0.25">
      <c r="A861" s="40"/>
      <c r="B861" s="40"/>
      <c r="C861" s="40"/>
      <c r="D861" s="40"/>
      <c r="E861" s="40"/>
      <c r="F861" s="43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spans="1:34" x14ac:dyDescent="0.25">
      <c r="A862" s="40"/>
      <c r="B862" s="40"/>
      <c r="C862" s="40"/>
      <c r="D862" s="40"/>
      <c r="E862" s="40"/>
      <c r="F862" s="43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spans="1:34" x14ac:dyDescent="0.25">
      <c r="A863" s="40"/>
      <c r="B863" s="40"/>
      <c r="C863" s="40"/>
      <c r="D863" s="40"/>
      <c r="E863" s="40"/>
      <c r="F863" s="43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spans="1:34" x14ac:dyDescent="0.25">
      <c r="A864" s="40"/>
      <c r="B864" s="40"/>
      <c r="C864" s="40"/>
      <c r="D864" s="40"/>
      <c r="E864" s="40"/>
      <c r="F864" s="43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spans="1:34" x14ac:dyDescent="0.25">
      <c r="A865" s="40"/>
      <c r="B865" s="40"/>
      <c r="C865" s="40"/>
      <c r="D865" s="40"/>
      <c r="E865" s="40"/>
      <c r="F865" s="43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spans="1:34" x14ac:dyDescent="0.25">
      <c r="A866" s="40"/>
      <c r="B866" s="40"/>
      <c r="C866" s="40"/>
      <c r="D866" s="40"/>
      <c r="E866" s="40"/>
      <c r="F866" s="43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spans="1:34" x14ac:dyDescent="0.25">
      <c r="A867" s="40"/>
      <c r="B867" s="40"/>
      <c r="C867" s="40"/>
      <c r="D867" s="40"/>
      <c r="E867" s="40"/>
      <c r="F867" s="43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spans="1:34" x14ac:dyDescent="0.25">
      <c r="A868" s="40"/>
      <c r="B868" s="40"/>
      <c r="C868" s="40"/>
      <c r="D868" s="40"/>
      <c r="E868" s="40"/>
      <c r="F868" s="43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spans="1:34" x14ac:dyDescent="0.25">
      <c r="A869" s="40"/>
      <c r="B869" s="40"/>
      <c r="C869" s="40"/>
      <c r="D869" s="40"/>
      <c r="E869" s="40"/>
      <c r="F869" s="43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spans="1:34" x14ac:dyDescent="0.25">
      <c r="A870" s="40"/>
      <c r="B870" s="40"/>
      <c r="C870" s="40"/>
      <c r="D870" s="40"/>
      <c r="E870" s="40"/>
      <c r="F870" s="43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spans="1:34" x14ac:dyDescent="0.25">
      <c r="A871" s="40"/>
      <c r="B871" s="40"/>
      <c r="C871" s="40"/>
      <c r="D871" s="40"/>
      <c r="E871" s="40"/>
      <c r="F871" s="43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spans="1:34" x14ac:dyDescent="0.25">
      <c r="A872" s="40"/>
      <c r="B872" s="40"/>
      <c r="C872" s="40"/>
      <c r="D872" s="40"/>
      <c r="E872" s="40"/>
      <c r="F872" s="43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spans="1:34" x14ac:dyDescent="0.25">
      <c r="A873" s="40"/>
      <c r="B873" s="40"/>
      <c r="C873" s="40"/>
      <c r="D873" s="40"/>
      <c r="E873" s="40"/>
      <c r="F873" s="43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spans="1:34" x14ac:dyDescent="0.25">
      <c r="A874" s="40"/>
      <c r="B874" s="40"/>
      <c r="C874" s="40"/>
      <c r="D874" s="40"/>
      <c r="E874" s="40"/>
      <c r="F874" s="43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spans="1:34" x14ac:dyDescent="0.25">
      <c r="A875" s="40"/>
      <c r="B875" s="40"/>
      <c r="C875" s="40"/>
      <c r="D875" s="40"/>
      <c r="E875" s="40"/>
      <c r="F875" s="43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spans="1:34" x14ac:dyDescent="0.25">
      <c r="A876" s="40"/>
      <c r="B876" s="40"/>
      <c r="C876" s="40"/>
      <c r="D876" s="40"/>
      <c r="E876" s="40"/>
      <c r="F876" s="43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spans="1:34" x14ac:dyDescent="0.25">
      <c r="A877" s="40"/>
      <c r="B877" s="40"/>
      <c r="C877" s="40"/>
      <c r="D877" s="40"/>
      <c r="E877" s="40"/>
      <c r="F877" s="43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spans="1:34" x14ac:dyDescent="0.25">
      <c r="A878" s="40"/>
      <c r="B878" s="40"/>
      <c r="C878" s="40"/>
      <c r="D878" s="40"/>
      <c r="E878" s="40"/>
      <c r="F878" s="43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spans="1:34" x14ac:dyDescent="0.25">
      <c r="A879" s="40"/>
      <c r="B879" s="40"/>
      <c r="C879" s="40"/>
      <c r="D879" s="40"/>
      <c r="E879" s="40"/>
      <c r="F879" s="43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spans="1:34" x14ac:dyDescent="0.25">
      <c r="A880" s="40"/>
      <c r="B880" s="40"/>
      <c r="C880" s="40"/>
      <c r="D880" s="40"/>
      <c r="E880" s="40"/>
      <c r="F880" s="43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spans="1:34" x14ac:dyDescent="0.25">
      <c r="A881" s="40"/>
      <c r="B881" s="40"/>
      <c r="C881" s="40"/>
      <c r="D881" s="40"/>
      <c r="E881" s="40"/>
      <c r="F881" s="43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spans="1:34" x14ac:dyDescent="0.25">
      <c r="A882" s="40"/>
      <c r="B882" s="40"/>
      <c r="C882" s="40"/>
      <c r="D882" s="40"/>
      <c r="E882" s="40"/>
      <c r="F882" s="43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spans="1:34" x14ac:dyDescent="0.25">
      <c r="A883" s="40"/>
      <c r="B883" s="40"/>
      <c r="C883" s="40"/>
      <c r="D883" s="40"/>
      <c r="E883" s="40"/>
      <c r="F883" s="43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spans="1:34" x14ac:dyDescent="0.25">
      <c r="A884" s="40"/>
      <c r="B884" s="40"/>
      <c r="C884" s="40"/>
      <c r="D884" s="40"/>
      <c r="E884" s="40"/>
      <c r="F884" s="43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spans="1:34" x14ac:dyDescent="0.25">
      <c r="A885" s="40"/>
      <c r="B885" s="40"/>
      <c r="C885" s="40"/>
      <c r="D885" s="40"/>
      <c r="E885" s="40"/>
      <c r="F885" s="43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spans="1:34" x14ac:dyDescent="0.25">
      <c r="A886" s="40"/>
      <c r="B886" s="40"/>
      <c r="C886" s="40"/>
      <c r="D886" s="40"/>
      <c r="E886" s="40"/>
      <c r="F886" s="43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spans="1:34" x14ac:dyDescent="0.25">
      <c r="A887" s="40"/>
      <c r="B887" s="40"/>
      <c r="C887" s="40"/>
      <c r="D887" s="40"/>
      <c r="E887" s="40"/>
      <c r="F887" s="43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spans="1:34" x14ac:dyDescent="0.25">
      <c r="A888" s="40"/>
      <c r="B888" s="40"/>
      <c r="C888" s="40"/>
      <c r="D888" s="40"/>
      <c r="E888" s="40"/>
      <c r="F888" s="43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spans="1:34" x14ac:dyDescent="0.25">
      <c r="A889" s="40"/>
      <c r="B889" s="40"/>
      <c r="C889" s="40"/>
      <c r="D889" s="40"/>
      <c r="E889" s="40"/>
      <c r="F889" s="43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spans="1:34" x14ac:dyDescent="0.25">
      <c r="A890" s="40"/>
      <c r="B890" s="40"/>
      <c r="C890" s="40"/>
      <c r="D890" s="40"/>
      <c r="E890" s="40"/>
      <c r="F890" s="43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spans="1:34" x14ac:dyDescent="0.25">
      <c r="A891" s="40"/>
      <c r="B891" s="40"/>
      <c r="C891" s="40"/>
      <c r="D891" s="40"/>
      <c r="E891" s="40"/>
      <c r="F891" s="43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spans="1:34" x14ac:dyDescent="0.25">
      <c r="A892" s="40"/>
      <c r="B892" s="40"/>
      <c r="C892" s="40"/>
      <c r="D892" s="40"/>
      <c r="E892" s="40"/>
      <c r="F892" s="43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spans="1:34" x14ac:dyDescent="0.25">
      <c r="A893" s="40"/>
      <c r="B893" s="40"/>
      <c r="C893" s="40"/>
      <c r="D893" s="40"/>
      <c r="E893" s="40"/>
      <c r="F893" s="43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spans="1:34" x14ac:dyDescent="0.25">
      <c r="A894" s="40"/>
      <c r="B894" s="40"/>
      <c r="C894" s="40"/>
      <c r="D894" s="40"/>
      <c r="E894" s="40"/>
      <c r="F894" s="43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spans="1:34" x14ac:dyDescent="0.25">
      <c r="A895" s="40"/>
      <c r="B895" s="40"/>
      <c r="C895" s="40"/>
      <c r="D895" s="40"/>
      <c r="E895" s="40"/>
      <c r="F895" s="43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spans="1:34" x14ac:dyDescent="0.25">
      <c r="A896" s="40"/>
      <c r="B896" s="40"/>
      <c r="C896" s="40"/>
      <c r="D896" s="40"/>
      <c r="E896" s="40"/>
      <c r="F896" s="43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spans="1:34" x14ac:dyDescent="0.25">
      <c r="A897" s="40"/>
      <c r="B897" s="40"/>
      <c r="C897" s="40"/>
      <c r="D897" s="40"/>
      <c r="E897" s="40"/>
      <c r="F897" s="43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spans="1:34" x14ac:dyDescent="0.25">
      <c r="A898" s="40"/>
      <c r="B898" s="40"/>
      <c r="C898" s="40"/>
      <c r="D898" s="40"/>
      <c r="E898" s="40"/>
      <c r="F898" s="43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spans="1:34" x14ac:dyDescent="0.25">
      <c r="A899" s="40"/>
      <c r="B899" s="40"/>
      <c r="C899" s="40"/>
      <c r="D899" s="40"/>
      <c r="E899" s="40"/>
      <c r="F899" s="43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spans="1:34" x14ac:dyDescent="0.25">
      <c r="A900" s="40"/>
      <c r="B900" s="40"/>
      <c r="C900" s="40"/>
      <c r="D900" s="40"/>
      <c r="E900" s="40"/>
      <c r="F900" s="43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spans="1:34" x14ac:dyDescent="0.25">
      <c r="A901" s="40"/>
      <c r="B901" s="40"/>
      <c r="C901" s="40"/>
      <c r="D901" s="40"/>
      <c r="E901" s="40"/>
      <c r="F901" s="43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spans="1:34" x14ac:dyDescent="0.25">
      <c r="A902" s="40"/>
      <c r="B902" s="40"/>
      <c r="C902" s="40"/>
      <c r="D902" s="40"/>
      <c r="E902" s="40"/>
      <c r="F902" s="43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spans="1:34" x14ac:dyDescent="0.25">
      <c r="A903" s="40"/>
      <c r="B903" s="40"/>
      <c r="C903" s="40"/>
      <c r="D903" s="40"/>
      <c r="E903" s="40"/>
      <c r="F903" s="43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spans="1:34" x14ac:dyDescent="0.25">
      <c r="A904" s="40"/>
      <c r="B904" s="40"/>
      <c r="C904" s="40"/>
      <c r="D904" s="40"/>
      <c r="E904" s="40"/>
      <c r="F904" s="43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spans="1:34" x14ac:dyDescent="0.25">
      <c r="A905" s="40"/>
      <c r="B905" s="40"/>
      <c r="C905" s="40"/>
      <c r="D905" s="40"/>
      <c r="E905" s="40"/>
      <c r="F905" s="43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spans="1:34" x14ac:dyDescent="0.25">
      <c r="A906" s="40"/>
      <c r="B906" s="40"/>
      <c r="C906" s="40"/>
      <c r="D906" s="40"/>
      <c r="E906" s="40"/>
      <c r="F906" s="43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spans="1:34" x14ac:dyDescent="0.25">
      <c r="A907" s="40"/>
      <c r="B907" s="40"/>
      <c r="C907" s="40"/>
      <c r="D907" s="40"/>
      <c r="E907" s="40"/>
      <c r="F907" s="43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spans="1:34" x14ac:dyDescent="0.25">
      <c r="A908" s="40"/>
      <c r="B908" s="40"/>
      <c r="C908" s="40"/>
      <c r="D908" s="40"/>
      <c r="E908" s="40"/>
      <c r="F908" s="43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spans="1:34" x14ac:dyDescent="0.25">
      <c r="A909" s="40"/>
      <c r="B909" s="40"/>
      <c r="C909" s="40"/>
      <c r="D909" s="40"/>
      <c r="E909" s="40"/>
      <c r="F909" s="43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spans="1:34" x14ac:dyDescent="0.25">
      <c r="A910" s="40"/>
      <c r="B910" s="40"/>
      <c r="C910" s="40"/>
      <c r="D910" s="40"/>
      <c r="E910" s="40"/>
      <c r="F910" s="43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spans="1:34" x14ac:dyDescent="0.25">
      <c r="A911" s="40"/>
      <c r="B911" s="40"/>
      <c r="C911" s="40"/>
      <c r="D911" s="40"/>
      <c r="E911" s="40"/>
      <c r="F911" s="43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spans="1:34" x14ac:dyDescent="0.25">
      <c r="A912" s="40"/>
      <c r="B912" s="40"/>
      <c r="C912" s="40"/>
      <c r="D912" s="40"/>
      <c r="E912" s="40"/>
      <c r="F912" s="43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spans="1:34" x14ac:dyDescent="0.25">
      <c r="A913" s="40"/>
      <c r="B913" s="40"/>
      <c r="C913" s="40"/>
      <c r="D913" s="40"/>
      <c r="E913" s="40"/>
      <c r="F913" s="43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spans="1:34" x14ac:dyDescent="0.25">
      <c r="A914" s="40"/>
      <c r="B914" s="40"/>
      <c r="C914" s="40"/>
      <c r="D914" s="40"/>
      <c r="E914" s="40"/>
      <c r="F914" s="43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spans="1:34" x14ac:dyDescent="0.25">
      <c r="A915" s="40"/>
      <c r="B915" s="40"/>
      <c r="C915" s="40"/>
      <c r="D915" s="40"/>
      <c r="E915" s="40"/>
      <c r="F915" s="43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spans="1:34" x14ac:dyDescent="0.25">
      <c r="A916" s="40"/>
      <c r="B916" s="40"/>
      <c r="C916" s="40"/>
      <c r="D916" s="40"/>
      <c r="E916" s="40"/>
      <c r="F916" s="43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spans="1:34" x14ac:dyDescent="0.25">
      <c r="A917" s="40"/>
      <c r="B917" s="40"/>
      <c r="C917" s="40"/>
      <c r="D917" s="40"/>
      <c r="E917" s="40"/>
      <c r="F917" s="43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spans="1:34" x14ac:dyDescent="0.25">
      <c r="A918" s="40"/>
      <c r="B918" s="40"/>
      <c r="C918" s="40"/>
      <c r="D918" s="40"/>
      <c r="E918" s="40"/>
      <c r="F918" s="43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spans="1:34" x14ac:dyDescent="0.25">
      <c r="A919" s="40"/>
      <c r="B919" s="40"/>
      <c r="C919" s="40"/>
      <c r="D919" s="40"/>
      <c r="E919" s="40"/>
      <c r="F919" s="43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spans="1:34" x14ac:dyDescent="0.25">
      <c r="A920" s="40"/>
      <c r="B920" s="40"/>
      <c r="C920" s="40"/>
      <c r="D920" s="40"/>
      <c r="E920" s="40"/>
      <c r="F920" s="43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spans="1:34" x14ac:dyDescent="0.25">
      <c r="A921" s="40"/>
      <c r="B921" s="40"/>
      <c r="C921" s="40"/>
      <c r="D921" s="40"/>
      <c r="E921" s="40"/>
      <c r="F921" s="43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spans="1:34" x14ac:dyDescent="0.25">
      <c r="A922" s="40"/>
      <c r="B922" s="40"/>
      <c r="C922" s="40"/>
      <c r="D922" s="40"/>
      <c r="E922" s="40"/>
      <c r="F922" s="43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spans="1:34" x14ac:dyDescent="0.25">
      <c r="A923" s="40"/>
      <c r="B923" s="40"/>
      <c r="C923" s="40"/>
      <c r="D923" s="40"/>
      <c r="E923" s="40"/>
      <c r="F923" s="43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spans="1:34" x14ac:dyDescent="0.25">
      <c r="A924" s="40"/>
      <c r="B924" s="40"/>
      <c r="C924" s="40"/>
      <c r="D924" s="40"/>
      <c r="E924" s="40"/>
      <c r="F924" s="43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spans="1:34" x14ac:dyDescent="0.25">
      <c r="A925" s="40"/>
      <c r="B925" s="40"/>
      <c r="C925" s="40"/>
      <c r="D925" s="40"/>
      <c r="E925" s="40"/>
      <c r="F925" s="43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spans="1:34" x14ac:dyDescent="0.25">
      <c r="A926" s="40"/>
      <c r="B926" s="40"/>
      <c r="C926" s="40"/>
      <c r="D926" s="40"/>
      <c r="E926" s="40"/>
      <c r="F926" s="43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spans="1:34" x14ac:dyDescent="0.25">
      <c r="A927" s="40"/>
      <c r="B927" s="40"/>
      <c r="C927" s="40"/>
      <c r="D927" s="40"/>
      <c r="E927" s="40"/>
      <c r="F927" s="43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spans="1:34" x14ac:dyDescent="0.25">
      <c r="A928" s="40"/>
      <c r="B928" s="40"/>
      <c r="C928" s="40"/>
      <c r="D928" s="40"/>
      <c r="E928" s="40"/>
      <c r="F928" s="43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spans="1:34" x14ac:dyDescent="0.25">
      <c r="A929" s="40"/>
      <c r="B929" s="40"/>
      <c r="C929" s="40"/>
      <c r="D929" s="40"/>
      <c r="E929" s="40"/>
      <c r="F929" s="43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spans="1:34" x14ac:dyDescent="0.25">
      <c r="A930" s="40"/>
      <c r="B930" s="40"/>
      <c r="C930" s="40"/>
      <c r="D930" s="40"/>
      <c r="E930" s="40"/>
      <c r="F930" s="43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spans="1:34" x14ac:dyDescent="0.25">
      <c r="A931" s="40"/>
      <c r="B931" s="40"/>
      <c r="C931" s="40"/>
      <c r="D931" s="40"/>
      <c r="E931" s="40"/>
      <c r="F931" s="43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spans="1:34" x14ac:dyDescent="0.25">
      <c r="A932" s="40"/>
      <c r="B932" s="40"/>
      <c r="C932" s="40"/>
      <c r="D932" s="40"/>
      <c r="E932" s="40"/>
      <c r="F932" s="43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spans="1:34" x14ac:dyDescent="0.25">
      <c r="A933" s="40"/>
      <c r="B933" s="40"/>
      <c r="C933" s="40"/>
      <c r="D933" s="40"/>
      <c r="E933" s="40"/>
      <c r="F933" s="43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spans="1:34" x14ac:dyDescent="0.25">
      <c r="A934" s="40"/>
      <c r="B934" s="40"/>
      <c r="C934" s="40"/>
      <c r="D934" s="40"/>
      <c r="E934" s="40"/>
      <c r="F934" s="43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spans="1:34" x14ac:dyDescent="0.25">
      <c r="A935" s="40"/>
      <c r="B935" s="40"/>
      <c r="C935" s="40"/>
      <c r="D935" s="40"/>
      <c r="E935" s="40"/>
      <c r="F935" s="43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spans="1:34" x14ac:dyDescent="0.25">
      <c r="A936" s="40"/>
      <c r="B936" s="40"/>
      <c r="C936" s="40"/>
      <c r="D936" s="40"/>
      <c r="E936" s="40"/>
      <c r="F936" s="43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spans="1:34" x14ac:dyDescent="0.25">
      <c r="A937" s="40"/>
      <c r="B937" s="40"/>
      <c r="C937" s="40"/>
      <c r="D937" s="40"/>
      <c r="E937" s="40"/>
      <c r="F937" s="43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spans="1:34" x14ac:dyDescent="0.25">
      <c r="A938" s="40"/>
      <c r="B938" s="40"/>
      <c r="C938" s="40"/>
      <c r="D938" s="40"/>
      <c r="E938" s="40"/>
      <c r="F938" s="43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spans="1:34" x14ac:dyDescent="0.25">
      <c r="A939" s="40"/>
      <c r="B939" s="40"/>
      <c r="C939" s="40"/>
      <c r="D939" s="40"/>
      <c r="E939" s="40"/>
      <c r="F939" s="43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spans="1:34" x14ac:dyDescent="0.25">
      <c r="A940" s="40"/>
      <c r="B940" s="40"/>
      <c r="C940" s="40"/>
      <c r="D940" s="40"/>
      <c r="E940" s="40"/>
      <c r="F940" s="43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spans="1:34" x14ac:dyDescent="0.25">
      <c r="A941" s="40"/>
      <c r="B941" s="40"/>
      <c r="C941" s="40"/>
      <c r="D941" s="40"/>
      <c r="E941" s="40"/>
      <c r="F941" s="43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spans="1:34" x14ac:dyDescent="0.25">
      <c r="A942" s="40"/>
      <c r="B942" s="40"/>
      <c r="C942" s="40"/>
      <c r="D942" s="40"/>
      <c r="E942" s="40"/>
      <c r="F942" s="43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spans="1:34" x14ac:dyDescent="0.25">
      <c r="A943" s="40"/>
      <c r="B943" s="40"/>
      <c r="C943" s="40"/>
      <c r="D943" s="40"/>
      <c r="E943" s="40"/>
      <c r="F943" s="43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spans="1:34" x14ac:dyDescent="0.25">
      <c r="A944" s="40"/>
      <c r="B944" s="40"/>
      <c r="C944" s="40"/>
      <c r="D944" s="40"/>
      <c r="E944" s="40"/>
      <c r="F944" s="43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spans="1:34" x14ac:dyDescent="0.25">
      <c r="A945" s="40"/>
      <c r="B945" s="40"/>
      <c r="C945" s="40"/>
      <c r="D945" s="40"/>
      <c r="E945" s="40"/>
      <c r="F945" s="43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spans="1:34" x14ac:dyDescent="0.25">
      <c r="A946" s="40"/>
      <c r="B946" s="40"/>
      <c r="C946" s="40"/>
      <c r="D946" s="40"/>
      <c r="E946" s="40"/>
      <c r="F946" s="43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spans="1:34" x14ac:dyDescent="0.25">
      <c r="A947" s="40"/>
      <c r="B947" s="40"/>
      <c r="C947" s="40"/>
      <c r="D947" s="40"/>
      <c r="E947" s="40"/>
      <c r="F947" s="43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spans="1:34" x14ac:dyDescent="0.25">
      <c r="A948" s="40"/>
      <c r="B948" s="40"/>
      <c r="C948" s="40"/>
      <c r="D948" s="40"/>
      <c r="E948" s="40"/>
      <c r="F948" s="43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spans="1:34" x14ac:dyDescent="0.25">
      <c r="A949" s="40"/>
      <c r="B949" s="40"/>
      <c r="C949" s="40"/>
      <c r="D949" s="40"/>
      <c r="E949" s="40"/>
      <c r="F949" s="43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spans="1:34" x14ac:dyDescent="0.25">
      <c r="A950" s="40"/>
      <c r="B950" s="40"/>
      <c r="C950" s="40"/>
      <c r="D950" s="40"/>
      <c r="E950" s="40"/>
      <c r="F950" s="43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spans="1:34" x14ac:dyDescent="0.25">
      <c r="A951" s="40"/>
      <c r="B951" s="40"/>
      <c r="C951" s="40"/>
      <c r="D951" s="40"/>
      <c r="E951" s="40"/>
      <c r="F951" s="43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spans="1:34" x14ac:dyDescent="0.25">
      <c r="A952" s="40"/>
      <c r="B952" s="40"/>
      <c r="C952" s="40"/>
      <c r="D952" s="40"/>
      <c r="E952" s="40"/>
      <c r="F952" s="43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spans="1:34" x14ac:dyDescent="0.25">
      <c r="A953" s="40"/>
      <c r="B953" s="40"/>
      <c r="C953" s="40"/>
      <c r="D953" s="40"/>
      <c r="E953" s="40"/>
      <c r="F953" s="43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spans="1:34" x14ac:dyDescent="0.25">
      <c r="A954" s="40"/>
      <c r="B954" s="40"/>
      <c r="C954" s="40"/>
      <c r="D954" s="40"/>
      <c r="E954" s="40"/>
      <c r="F954" s="43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spans="1:34" x14ac:dyDescent="0.25">
      <c r="A955" s="40"/>
      <c r="B955" s="40"/>
      <c r="C955" s="40"/>
      <c r="D955" s="40"/>
      <c r="E955" s="40"/>
      <c r="F955" s="43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spans="1:34" x14ac:dyDescent="0.25">
      <c r="A956" s="40"/>
      <c r="B956" s="40"/>
      <c r="C956" s="40"/>
      <c r="D956" s="40"/>
      <c r="E956" s="40"/>
      <c r="F956" s="43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spans="1:34" x14ac:dyDescent="0.25">
      <c r="A957" s="40"/>
      <c r="B957" s="40"/>
      <c r="C957" s="40"/>
      <c r="D957" s="40"/>
      <c r="E957" s="40"/>
      <c r="F957" s="43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spans="1:34" x14ac:dyDescent="0.25">
      <c r="A958" s="40"/>
      <c r="B958" s="40"/>
      <c r="C958" s="40"/>
      <c r="D958" s="40"/>
      <c r="E958" s="40"/>
      <c r="F958" s="43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spans="1:34" x14ac:dyDescent="0.25">
      <c r="A959" s="40"/>
      <c r="B959" s="40"/>
      <c r="C959" s="40"/>
      <c r="D959" s="40"/>
      <c r="E959" s="40"/>
      <c r="F959" s="43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spans="1:34" x14ac:dyDescent="0.25">
      <c r="A960" s="40"/>
      <c r="B960" s="40"/>
      <c r="C960" s="40"/>
      <c r="D960" s="40"/>
      <c r="E960" s="40"/>
      <c r="F960" s="43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spans="1:34" x14ac:dyDescent="0.25">
      <c r="A961" s="40"/>
      <c r="B961" s="40"/>
      <c r="C961" s="40"/>
      <c r="D961" s="40"/>
      <c r="E961" s="40"/>
      <c r="F961" s="43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spans="1:34" x14ac:dyDescent="0.25">
      <c r="A962" s="40"/>
      <c r="B962" s="40"/>
      <c r="C962" s="40"/>
      <c r="D962" s="40"/>
      <c r="E962" s="40"/>
      <c r="F962" s="43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spans="1:34" x14ac:dyDescent="0.25">
      <c r="A963" s="40"/>
      <c r="B963" s="40"/>
      <c r="C963" s="40"/>
      <c r="D963" s="40"/>
      <c r="E963" s="40"/>
      <c r="F963" s="43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spans="1:34" x14ac:dyDescent="0.25">
      <c r="A964" s="40"/>
      <c r="B964" s="40"/>
      <c r="C964" s="40"/>
      <c r="D964" s="40"/>
      <c r="E964" s="40"/>
      <c r="F964" s="43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spans="1:34" x14ac:dyDescent="0.25">
      <c r="A965" s="40"/>
      <c r="B965" s="40"/>
      <c r="C965" s="40"/>
      <c r="D965" s="40"/>
      <c r="E965" s="40"/>
      <c r="F965" s="43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spans="1:34" x14ac:dyDescent="0.25">
      <c r="A966" s="40"/>
      <c r="B966" s="40"/>
      <c r="C966" s="40"/>
      <c r="D966" s="40"/>
      <c r="E966" s="40"/>
      <c r="F966" s="43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spans="1:34" x14ac:dyDescent="0.25">
      <c r="A967" s="40"/>
      <c r="B967" s="40"/>
      <c r="C967" s="40"/>
      <c r="D967" s="40"/>
      <c r="E967" s="40"/>
      <c r="F967" s="43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spans="1:34" x14ac:dyDescent="0.25">
      <c r="A968" s="40"/>
      <c r="B968" s="40"/>
      <c r="C968" s="40"/>
      <c r="D968" s="40"/>
      <c r="E968" s="40"/>
      <c r="F968" s="43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spans="1:34" x14ac:dyDescent="0.25">
      <c r="A969" s="40"/>
      <c r="B969" s="40"/>
      <c r="C969" s="40"/>
      <c r="D969" s="40"/>
      <c r="E969" s="40"/>
      <c r="F969" s="43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spans="1:34" x14ac:dyDescent="0.25">
      <c r="A970" s="40"/>
      <c r="B970" s="40"/>
      <c r="C970" s="40"/>
      <c r="D970" s="40"/>
      <c r="E970" s="40"/>
      <c r="F970" s="43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spans="1:34" x14ac:dyDescent="0.25">
      <c r="A971" s="40"/>
      <c r="B971" s="40"/>
      <c r="C971" s="40"/>
      <c r="D971" s="40"/>
      <c r="E971" s="40"/>
      <c r="F971" s="43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spans="1:34" x14ac:dyDescent="0.25">
      <c r="A972" s="40"/>
      <c r="B972" s="40"/>
      <c r="C972" s="40"/>
      <c r="D972" s="40"/>
      <c r="E972" s="40"/>
      <c r="F972" s="43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spans="1:34" x14ac:dyDescent="0.25">
      <c r="A973" s="40"/>
      <c r="B973" s="40"/>
      <c r="C973" s="40"/>
      <c r="D973" s="40"/>
      <c r="E973" s="40"/>
      <c r="F973" s="43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spans="1:34" x14ac:dyDescent="0.25">
      <c r="A974" s="40"/>
      <c r="B974" s="40"/>
      <c r="C974" s="40"/>
      <c r="D974" s="40"/>
      <c r="E974" s="40"/>
      <c r="F974" s="43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spans="1:34" x14ac:dyDescent="0.25">
      <c r="A975" s="40"/>
      <c r="B975" s="40"/>
      <c r="C975" s="40"/>
      <c r="D975" s="40"/>
      <c r="E975" s="40"/>
      <c r="F975" s="43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spans="1:34" x14ac:dyDescent="0.25">
      <c r="A976" s="40"/>
      <c r="B976" s="40"/>
      <c r="C976" s="40"/>
      <c r="D976" s="40"/>
      <c r="E976" s="40"/>
      <c r="F976" s="43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spans="1:34" x14ac:dyDescent="0.25">
      <c r="A977" s="40"/>
      <c r="B977" s="40"/>
      <c r="C977" s="40"/>
      <c r="D977" s="40"/>
      <c r="E977" s="40"/>
      <c r="F977" s="43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spans="1:34" x14ac:dyDescent="0.25">
      <c r="A978" s="40"/>
      <c r="B978" s="40"/>
      <c r="C978" s="40"/>
      <c r="D978" s="40"/>
      <c r="E978" s="40"/>
      <c r="F978" s="43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spans="1:34" x14ac:dyDescent="0.25">
      <c r="A979" s="40"/>
      <c r="B979" s="40"/>
      <c r="C979" s="40"/>
      <c r="D979" s="40"/>
      <c r="E979" s="40"/>
      <c r="F979" s="43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spans="1:34" x14ac:dyDescent="0.25">
      <c r="A980" s="40"/>
      <c r="B980" s="40"/>
      <c r="C980" s="40"/>
      <c r="D980" s="40"/>
      <c r="E980" s="40"/>
      <c r="F980" s="43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spans="1:34" x14ac:dyDescent="0.25">
      <c r="A981" s="40"/>
      <c r="B981" s="40"/>
      <c r="C981" s="40"/>
      <c r="D981" s="40"/>
      <c r="E981" s="40"/>
      <c r="F981" s="43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spans="1:34" x14ac:dyDescent="0.25">
      <c r="A982" s="40"/>
      <c r="B982" s="40"/>
      <c r="C982" s="40"/>
      <c r="D982" s="40"/>
      <c r="E982" s="40"/>
      <c r="F982" s="43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spans="1:34" x14ac:dyDescent="0.25">
      <c r="A983" s="40"/>
      <c r="B983" s="40"/>
      <c r="C983" s="40"/>
      <c r="D983" s="40"/>
      <c r="E983" s="40"/>
      <c r="F983" s="43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spans="1:34" x14ac:dyDescent="0.25">
      <c r="A984" s="40"/>
      <c r="B984" s="40"/>
      <c r="C984" s="40"/>
      <c r="D984" s="40"/>
      <c r="E984" s="40"/>
      <c r="F984" s="43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spans="1:34" x14ac:dyDescent="0.25">
      <c r="A985" s="40"/>
      <c r="B985" s="40"/>
      <c r="C985" s="40"/>
      <c r="D985" s="40"/>
      <c r="E985" s="40"/>
      <c r="F985" s="43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spans="1:34" x14ac:dyDescent="0.25">
      <c r="A986" s="40"/>
      <c r="B986" s="40"/>
      <c r="C986" s="40"/>
      <c r="D986" s="40"/>
      <c r="E986" s="40"/>
      <c r="F986" s="43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spans="1:34" x14ac:dyDescent="0.25">
      <c r="A987" s="40"/>
      <c r="B987" s="40"/>
      <c r="C987" s="40"/>
      <c r="D987" s="40"/>
      <c r="E987" s="40"/>
      <c r="F987" s="43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spans="1:34" x14ac:dyDescent="0.25">
      <c r="A988" s="40"/>
      <c r="B988" s="40"/>
      <c r="C988" s="40"/>
      <c r="D988" s="40"/>
      <c r="E988" s="40"/>
      <c r="F988" s="43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spans="1:34" x14ac:dyDescent="0.25">
      <c r="A989" s="40"/>
      <c r="B989" s="40"/>
      <c r="C989" s="40"/>
      <c r="D989" s="40"/>
      <c r="E989" s="40"/>
      <c r="F989" s="43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spans="1:34" x14ac:dyDescent="0.25">
      <c r="A990" s="40"/>
      <c r="B990" s="40"/>
      <c r="C990" s="40"/>
      <c r="D990" s="40"/>
      <c r="E990" s="40"/>
      <c r="F990" s="43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spans="1:34" x14ac:dyDescent="0.25">
      <c r="A991" s="40"/>
      <c r="B991" s="40"/>
      <c r="C991" s="40"/>
      <c r="D991" s="40"/>
      <c r="E991" s="40"/>
      <c r="F991" s="43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spans="1:34" x14ac:dyDescent="0.25">
      <c r="A992" s="40"/>
      <c r="B992" s="40"/>
      <c r="C992" s="40"/>
      <c r="D992" s="40"/>
      <c r="E992" s="40"/>
      <c r="F992" s="43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spans="1:34" x14ac:dyDescent="0.25">
      <c r="A993" s="40"/>
      <c r="B993" s="40"/>
      <c r="C993" s="40"/>
      <c r="D993" s="40"/>
      <c r="E993" s="40"/>
      <c r="F993" s="43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spans="1:34" x14ac:dyDescent="0.25">
      <c r="A994" s="40"/>
      <c r="B994" s="40"/>
      <c r="C994" s="40"/>
      <c r="D994" s="40"/>
      <c r="E994" s="40"/>
      <c r="F994" s="43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spans="1:34" x14ac:dyDescent="0.25">
      <c r="A995" s="40"/>
      <c r="B995" s="40"/>
      <c r="C995" s="40"/>
      <c r="D995" s="40"/>
      <c r="E995" s="40"/>
      <c r="F995" s="43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spans="1:34" x14ac:dyDescent="0.25">
      <c r="A996" s="40"/>
      <c r="B996" s="40"/>
      <c r="C996" s="40"/>
      <c r="D996" s="40"/>
      <c r="E996" s="40"/>
      <c r="F996" s="43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spans="1:34" x14ac:dyDescent="0.25">
      <c r="A997" s="40"/>
      <c r="B997" s="40"/>
      <c r="C997" s="40"/>
      <c r="D997" s="40"/>
      <c r="E997" s="40"/>
      <c r="F997" s="43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spans="1:34" x14ac:dyDescent="0.25">
      <c r="A998" s="40"/>
      <c r="B998" s="40"/>
      <c r="C998" s="40"/>
      <c r="D998" s="40"/>
      <c r="E998" s="40"/>
      <c r="F998" s="43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spans="1:34" x14ac:dyDescent="0.25">
      <c r="A999" s="40"/>
      <c r="B999" s="40"/>
      <c r="C999" s="40"/>
      <c r="D999" s="40"/>
      <c r="E999" s="40"/>
      <c r="F999" s="43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spans="1:34" x14ac:dyDescent="0.25">
      <c r="A1000" s="40"/>
      <c r="B1000" s="40"/>
      <c r="C1000" s="40"/>
      <c r="D1000" s="40"/>
      <c r="E1000" s="40"/>
      <c r="F1000" s="43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  <row r="1001" spans="1:34" x14ac:dyDescent="0.25">
      <c r="A1001" s="40"/>
      <c r="B1001" s="40"/>
      <c r="C1001" s="40"/>
      <c r="D1001" s="40"/>
      <c r="E1001" s="40"/>
      <c r="F1001" s="43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</row>
    <row r="1002" spans="1:34" x14ac:dyDescent="0.25">
      <c r="A1002" s="40"/>
      <c r="B1002" s="40"/>
      <c r="C1002" s="40"/>
      <c r="D1002" s="40"/>
      <c r="E1002" s="40"/>
      <c r="F1002" s="43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</row>
    <row r="1003" spans="1:34" x14ac:dyDescent="0.25">
      <c r="A1003" s="40"/>
      <c r="B1003" s="40"/>
      <c r="C1003" s="40"/>
      <c r="D1003" s="40"/>
      <c r="E1003" s="40"/>
      <c r="F1003" s="43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</row>
    <row r="1004" spans="1:34" x14ac:dyDescent="0.25">
      <c r="A1004" s="40"/>
      <c r="B1004" s="40"/>
      <c r="C1004" s="40"/>
      <c r="D1004" s="40"/>
      <c r="E1004" s="40"/>
      <c r="F1004" s="43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</row>
    <row r="1005" spans="1:34" x14ac:dyDescent="0.25">
      <c r="A1005" s="40"/>
      <c r="B1005" s="40"/>
      <c r="C1005" s="40"/>
      <c r="D1005" s="40"/>
      <c r="E1005" s="40"/>
      <c r="F1005" s="43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</row>
    <row r="1006" spans="1:34" x14ac:dyDescent="0.25">
      <c r="A1006" s="40"/>
      <c r="B1006" s="40"/>
      <c r="C1006" s="40"/>
      <c r="D1006" s="40"/>
      <c r="E1006" s="40"/>
      <c r="F1006" s="43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</row>
    <row r="1007" spans="1:34" x14ac:dyDescent="0.25">
      <c r="A1007" s="40"/>
      <c r="B1007" s="40"/>
      <c r="C1007" s="40"/>
      <c r="D1007" s="40"/>
      <c r="E1007" s="40"/>
      <c r="F1007" s="43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</row>
    <row r="1008" spans="1:34" x14ac:dyDescent="0.25">
      <c r="A1008" s="40"/>
      <c r="B1008" s="40"/>
      <c r="C1008" s="40"/>
      <c r="D1008" s="40"/>
      <c r="E1008" s="40"/>
      <c r="F1008" s="43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</row>
    <row r="1009" spans="1:34" x14ac:dyDescent="0.25">
      <c r="A1009" s="40"/>
      <c r="B1009" s="40"/>
      <c r="C1009" s="40"/>
      <c r="D1009" s="40"/>
      <c r="E1009" s="40"/>
      <c r="F1009" s="43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</row>
    <row r="1010" spans="1:34" x14ac:dyDescent="0.25">
      <c r="A1010" s="40"/>
      <c r="B1010" s="40"/>
      <c r="C1010" s="40"/>
      <c r="D1010" s="40"/>
      <c r="E1010" s="40"/>
      <c r="F1010" s="43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</row>
    <row r="1011" spans="1:34" x14ac:dyDescent="0.25">
      <c r="A1011" s="40"/>
      <c r="B1011" s="40"/>
      <c r="C1011" s="40"/>
      <c r="D1011" s="40"/>
      <c r="E1011" s="40"/>
      <c r="F1011" s="43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</row>
    <row r="1012" spans="1:34" x14ac:dyDescent="0.25">
      <c r="A1012" s="40"/>
      <c r="B1012" s="40"/>
      <c r="C1012" s="40"/>
      <c r="D1012" s="40"/>
      <c r="E1012" s="40"/>
      <c r="F1012" s="43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</row>
    <row r="1013" spans="1:34" x14ac:dyDescent="0.25">
      <c r="A1013" s="40"/>
      <c r="B1013" s="40"/>
      <c r="C1013" s="40"/>
      <c r="D1013" s="40"/>
      <c r="E1013" s="40"/>
      <c r="F1013" s="43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</row>
    <row r="1014" spans="1:34" x14ac:dyDescent="0.25">
      <c r="A1014" s="40"/>
      <c r="B1014" s="40"/>
      <c r="C1014" s="40"/>
      <c r="D1014" s="40"/>
      <c r="E1014" s="40"/>
      <c r="F1014" s="43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</row>
    <row r="1015" spans="1:34" x14ac:dyDescent="0.25">
      <c r="A1015" s="40"/>
      <c r="B1015" s="40"/>
      <c r="C1015" s="40"/>
      <c r="D1015" s="40"/>
      <c r="E1015" s="40"/>
      <c r="F1015" s="43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</row>
    <row r="1016" spans="1:34" x14ac:dyDescent="0.25">
      <c r="A1016" s="40"/>
      <c r="B1016" s="40"/>
      <c r="C1016" s="40"/>
      <c r="D1016" s="40"/>
      <c r="E1016" s="40"/>
      <c r="F1016" s="43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</row>
    <row r="1017" spans="1:34" x14ac:dyDescent="0.25">
      <c r="A1017" s="40"/>
      <c r="B1017" s="40"/>
      <c r="C1017" s="40"/>
      <c r="D1017" s="40"/>
      <c r="E1017" s="40"/>
      <c r="F1017" s="43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</row>
    <row r="1018" spans="1:34" x14ac:dyDescent="0.25">
      <c r="A1018" s="40"/>
      <c r="B1018" s="40"/>
      <c r="C1018" s="40"/>
      <c r="D1018" s="40"/>
      <c r="E1018" s="40"/>
      <c r="F1018" s="43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</row>
    <row r="1019" spans="1:34" x14ac:dyDescent="0.25">
      <c r="A1019" s="40"/>
      <c r="B1019" s="40"/>
      <c r="C1019" s="40"/>
      <c r="D1019" s="40"/>
      <c r="E1019" s="40"/>
      <c r="F1019" s="43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</row>
    <row r="1020" spans="1:34" x14ac:dyDescent="0.25">
      <c r="A1020" s="40"/>
      <c r="B1020" s="40"/>
      <c r="C1020" s="40"/>
      <c r="D1020" s="40"/>
      <c r="E1020" s="40"/>
      <c r="F1020" s="43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</row>
    <row r="1021" spans="1:34" x14ac:dyDescent="0.25">
      <c r="A1021" s="40"/>
      <c r="B1021" s="40"/>
      <c r="C1021" s="40"/>
      <c r="D1021" s="40"/>
      <c r="E1021" s="40"/>
      <c r="F1021" s="43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</row>
    <row r="1022" spans="1:34" x14ac:dyDescent="0.25">
      <c r="A1022" s="40"/>
      <c r="B1022" s="40"/>
      <c r="C1022" s="40"/>
      <c r="D1022" s="40"/>
      <c r="E1022" s="40"/>
      <c r="F1022" s="43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</row>
    <row r="1023" spans="1:34" x14ac:dyDescent="0.25">
      <c r="A1023" s="40"/>
      <c r="B1023" s="40"/>
      <c r="C1023" s="40"/>
      <c r="D1023" s="40"/>
      <c r="E1023" s="40"/>
      <c r="F1023" s="43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</row>
    <row r="1024" spans="1:34" x14ac:dyDescent="0.25">
      <c r="A1024" s="40"/>
      <c r="B1024" s="40"/>
      <c r="C1024" s="40"/>
      <c r="D1024" s="40"/>
      <c r="E1024" s="40"/>
      <c r="F1024" s="43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</row>
    <row r="1025" spans="1:34" x14ac:dyDescent="0.25">
      <c r="A1025" s="40"/>
      <c r="B1025" s="40"/>
      <c r="C1025" s="40"/>
      <c r="D1025" s="40"/>
      <c r="E1025" s="40"/>
      <c r="F1025" s="43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</row>
    <row r="1026" spans="1:34" x14ac:dyDescent="0.25">
      <c r="A1026" s="40"/>
      <c r="B1026" s="40"/>
      <c r="C1026" s="40"/>
      <c r="D1026" s="40"/>
      <c r="E1026" s="40"/>
      <c r="F1026" s="43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</row>
    <row r="1027" spans="1:34" x14ac:dyDescent="0.25">
      <c r="A1027" s="40"/>
      <c r="B1027" s="40"/>
      <c r="C1027" s="40"/>
      <c r="D1027" s="40"/>
      <c r="E1027" s="40"/>
      <c r="F1027" s="43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</row>
    <row r="1028" spans="1:34" x14ac:dyDescent="0.25">
      <c r="A1028" s="40"/>
      <c r="B1028" s="40"/>
      <c r="C1028" s="40"/>
      <c r="D1028" s="40"/>
      <c r="E1028" s="40"/>
      <c r="F1028" s="43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</row>
    <row r="1029" spans="1:34" x14ac:dyDescent="0.25">
      <c r="A1029" s="40"/>
      <c r="B1029" s="40"/>
      <c r="C1029" s="40"/>
      <c r="D1029" s="40"/>
      <c r="E1029" s="40"/>
      <c r="F1029" s="43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</row>
    <row r="1030" spans="1:34" x14ac:dyDescent="0.25">
      <c r="A1030" s="40"/>
      <c r="B1030" s="40"/>
      <c r="C1030" s="40"/>
      <c r="D1030" s="40"/>
      <c r="E1030" s="40"/>
      <c r="F1030" s="43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</row>
    <row r="1031" spans="1:34" x14ac:dyDescent="0.25">
      <c r="A1031" s="40"/>
      <c r="B1031" s="40"/>
      <c r="C1031" s="40"/>
      <c r="D1031" s="40"/>
      <c r="E1031" s="40"/>
      <c r="F1031" s="43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</row>
    <row r="1032" spans="1:34" x14ac:dyDescent="0.25">
      <c r="A1032" s="40"/>
      <c r="B1032" s="40"/>
      <c r="C1032" s="40"/>
      <c r="D1032" s="40"/>
      <c r="E1032" s="40"/>
      <c r="F1032" s="43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</row>
    <row r="1033" spans="1:34" x14ac:dyDescent="0.25">
      <c r="A1033" s="40"/>
      <c r="B1033" s="40"/>
      <c r="C1033" s="40"/>
      <c r="D1033" s="40"/>
      <c r="E1033" s="40"/>
      <c r="F1033" s="43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</row>
    <row r="1034" spans="1:34" x14ac:dyDescent="0.25">
      <c r="A1034" s="40"/>
      <c r="B1034" s="40"/>
      <c r="C1034" s="40"/>
      <c r="D1034" s="40"/>
      <c r="E1034" s="40"/>
      <c r="F1034" s="43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</row>
    <row r="1035" spans="1:34" x14ac:dyDescent="0.25">
      <c r="A1035" s="40"/>
      <c r="B1035" s="40"/>
      <c r="C1035" s="40"/>
      <c r="D1035" s="40"/>
      <c r="E1035" s="40"/>
      <c r="F1035" s="43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</row>
    <row r="1036" spans="1:34" x14ac:dyDescent="0.25">
      <c r="A1036" s="40"/>
      <c r="B1036" s="40"/>
      <c r="C1036" s="40"/>
      <c r="D1036" s="40"/>
      <c r="E1036" s="40"/>
      <c r="F1036" s="43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</row>
    <row r="1037" spans="1:34" x14ac:dyDescent="0.25">
      <c r="A1037" s="40"/>
      <c r="B1037" s="40"/>
      <c r="C1037" s="40"/>
      <c r="D1037" s="40"/>
      <c r="E1037" s="40"/>
      <c r="F1037" s="43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</row>
    <row r="1038" spans="1:34" x14ac:dyDescent="0.25">
      <c r="A1038" s="40"/>
      <c r="B1038" s="40"/>
      <c r="C1038" s="40"/>
      <c r="D1038" s="40"/>
      <c r="E1038" s="40"/>
      <c r="F1038" s="43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</row>
    <row r="1039" spans="1:34" x14ac:dyDescent="0.25">
      <c r="A1039" s="40"/>
      <c r="B1039" s="40"/>
      <c r="C1039" s="40"/>
      <c r="D1039" s="40"/>
      <c r="E1039" s="40"/>
      <c r="F1039" s="43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</row>
    <row r="1040" spans="1:34" x14ac:dyDescent="0.25">
      <c r="A1040" s="40"/>
      <c r="B1040" s="40"/>
      <c r="C1040" s="40"/>
      <c r="D1040" s="40"/>
      <c r="E1040" s="40"/>
      <c r="F1040" s="43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</row>
    <row r="1041" spans="1:34" x14ac:dyDescent="0.25">
      <c r="A1041" s="40"/>
      <c r="B1041" s="40"/>
      <c r="C1041" s="40"/>
      <c r="D1041" s="40"/>
      <c r="E1041" s="40"/>
      <c r="F1041" s="43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</row>
    <row r="1042" spans="1:34" x14ac:dyDescent="0.25">
      <c r="A1042" s="40"/>
      <c r="B1042" s="40"/>
      <c r="C1042" s="40"/>
      <c r="D1042" s="40"/>
      <c r="E1042" s="40"/>
      <c r="F1042" s="43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</row>
    <row r="1043" spans="1:34" x14ac:dyDescent="0.25">
      <c r="A1043" s="40"/>
      <c r="B1043" s="40"/>
      <c r="C1043" s="40"/>
      <c r="D1043" s="40"/>
      <c r="E1043" s="40"/>
      <c r="F1043" s="43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</row>
    <row r="1044" spans="1:34" x14ac:dyDescent="0.25">
      <c r="A1044" s="40"/>
      <c r="B1044" s="40"/>
      <c r="C1044" s="40"/>
      <c r="D1044" s="40"/>
      <c r="E1044" s="40"/>
      <c r="F1044" s="43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</row>
    <row r="1045" spans="1:34" x14ac:dyDescent="0.25">
      <c r="A1045" s="40"/>
      <c r="B1045" s="40"/>
      <c r="C1045" s="40"/>
      <c r="D1045" s="40"/>
      <c r="E1045" s="40"/>
      <c r="F1045" s="43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</row>
    <row r="1046" spans="1:34" x14ac:dyDescent="0.25">
      <c r="A1046" s="40"/>
      <c r="B1046" s="40"/>
      <c r="C1046" s="40"/>
      <c r="D1046" s="40"/>
      <c r="E1046" s="40"/>
      <c r="F1046" s="43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</row>
    <row r="1047" spans="1:34" x14ac:dyDescent="0.25">
      <c r="A1047" s="40"/>
      <c r="B1047" s="40"/>
      <c r="C1047" s="40"/>
      <c r="D1047" s="40"/>
      <c r="E1047" s="40"/>
      <c r="F1047" s="43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</row>
    <row r="1048" spans="1:34" x14ac:dyDescent="0.25">
      <c r="A1048" s="40"/>
      <c r="B1048" s="40"/>
      <c r="C1048" s="40"/>
      <c r="D1048" s="40"/>
      <c r="E1048" s="40"/>
      <c r="F1048" s="43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</row>
    <row r="1049" spans="1:34" x14ac:dyDescent="0.25">
      <c r="A1049" s="40"/>
      <c r="B1049" s="40"/>
      <c r="C1049" s="40"/>
      <c r="D1049" s="40"/>
      <c r="E1049" s="40"/>
      <c r="F1049" s="43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</row>
    <row r="1050" spans="1:34" x14ac:dyDescent="0.25">
      <c r="A1050" s="40"/>
      <c r="B1050" s="40"/>
      <c r="C1050" s="40"/>
      <c r="D1050" s="40"/>
      <c r="E1050" s="40"/>
      <c r="F1050" s="43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</row>
    <row r="1051" spans="1:34" x14ac:dyDescent="0.25">
      <c r="A1051" s="40"/>
      <c r="B1051" s="40"/>
      <c r="C1051" s="40"/>
      <c r="D1051" s="40"/>
      <c r="E1051" s="40"/>
      <c r="F1051" s="43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</row>
    <row r="1052" spans="1:34" x14ac:dyDescent="0.25">
      <c r="A1052" s="40"/>
      <c r="B1052" s="40"/>
      <c r="C1052" s="40"/>
      <c r="D1052" s="40"/>
      <c r="E1052" s="40"/>
      <c r="F1052" s="43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</row>
    <row r="1053" spans="1:34" x14ac:dyDescent="0.25">
      <c r="A1053" s="40"/>
      <c r="B1053" s="40"/>
      <c r="C1053" s="40"/>
      <c r="D1053" s="40"/>
      <c r="E1053" s="40"/>
      <c r="F1053" s="43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</row>
    <row r="1054" spans="1:34" x14ac:dyDescent="0.25">
      <c r="A1054" s="40"/>
      <c r="B1054" s="40"/>
      <c r="C1054" s="40"/>
      <c r="D1054" s="40"/>
      <c r="E1054" s="40"/>
      <c r="F1054" s="43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</row>
    <row r="1055" spans="1:34" x14ac:dyDescent="0.25">
      <c r="A1055" s="40"/>
      <c r="B1055" s="40"/>
      <c r="C1055" s="40"/>
      <c r="D1055" s="40"/>
      <c r="E1055" s="40"/>
      <c r="F1055" s="43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</row>
    <row r="1056" spans="1:34" x14ac:dyDescent="0.25">
      <c r="A1056" s="40"/>
      <c r="B1056" s="40"/>
      <c r="C1056" s="40"/>
      <c r="D1056" s="40"/>
      <c r="E1056" s="40"/>
      <c r="F1056" s="43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</row>
    <row r="1057" spans="1:34" x14ac:dyDescent="0.25">
      <c r="A1057" s="40"/>
      <c r="B1057" s="40"/>
      <c r="C1057" s="40"/>
      <c r="D1057" s="40"/>
      <c r="E1057" s="40"/>
      <c r="F1057" s="43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</row>
    <row r="1058" spans="1:34" x14ac:dyDescent="0.25">
      <c r="A1058" s="40"/>
      <c r="B1058" s="40"/>
      <c r="C1058" s="40"/>
      <c r="D1058" s="40"/>
      <c r="E1058" s="40"/>
      <c r="F1058" s="43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</row>
    <row r="1059" spans="1:34" x14ac:dyDescent="0.25">
      <c r="A1059" s="40"/>
      <c r="B1059" s="40"/>
      <c r="C1059" s="40"/>
      <c r="D1059" s="40"/>
      <c r="E1059" s="40"/>
      <c r="F1059" s="43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</row>
    <row r="1060" spans="1:34" x14ac:dyDescent="0.25">
      <c r="A1060" s="40"/>
      <c r="B1060" s="40"/>
      <c r="C1060" s="40"/>
      <c r="D1060" s="40"/>
      <c r="E1060" s="40"/>
      <c r="F1060" s="43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</row>
    <row r="1061" spans="1:34" x14ac:dyDescent="0.25">
      <c r="A1061" s="40"/>
      <c r="B1061" s="40"/>
      <c r="C1061" s="40"/>
      <c r="D1061" s="40"/>
      <c r="E1061" s="40"/>
      <c r="F1061" s="43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</row>
    <row r="1062" spans="1:34" x14ac:dyDescent="0.25">
      <c r="A1062" s="40"/>
      <c r="B1062" s="40"/>
      <c r="C1062" s="40"/>
      <c r="D1062" s="40"/>
      <c r="E1062" s="40"/>
      <c r="F1062" s="43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</row>
    <row r="1063" spans="1:34" x14ac:dyDescent="0.25">
      <c r="A1063" s="40"/>
      <c r="B1063" s="40"/>
      <c r="C1063" s="40"/>
      <c r="D1063" s="40"/>
      <c r="E1063" s="40"/>
      <c r="F1063" s="43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</row>
    <row r="1064" spans="1:34" x14ac:dyDescent="0.25">
      <c r="A1064" s="40"/>
      <c r="B1064" s="40"/>
      <c r="C1064" s="40"/>
      <c r="D1064" s="40"/>
      <c r="E1064" s="40"/>
      <c r="F1064" s="43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</row>
    <row r="1065" spans="1:34" x14ac:dyDescent="0.25">
      <c r="A1065" s="40"/>
      <c r="B1065" s="40"/>
      <c r="C1065" s="40"/>
      <c r="D1065" s="40"/>
      <c r="E1065" s="40"/>
      <c r="F1065" s="43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</row>
    <row r="1066" spans="1:34" x14ac:dyDescent="0.25">
      <c r="A1066" s="40"/>
      <c r="B1066" s="40"/>
      <c r="C1066" s="40"/>
      <c r="D1066" s="40"/>
      <c r="E1066" s="40"/>
      <c r="F1066" s="43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</row>
    <row r="1067" spans="1:34" x14ac:dyDescent="0.25">
      <c r="A1067" s="40"/>
      <c r="B1067" s="40"/>
      <c r="C1067" s="40"/>
      <c r="D1067" s="40"/>
      <c r="E1067" s="40"/>
      <c r="F1067" s="43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</row>
    <row r="1068" spans="1:34" x14ac:dyDescent="0.25">
      <c r="A1068" s="40"/>
      <c r="B1068" s="40"/>
      <c r="C1068" s="40"/>
      <c r="D1068" s="40"/>
      <c r="E1068" s="40"/>
      <c r="F1068" s="43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</row>
    <row r="1069" spans="1:34" x14ac:dyDescent="0.25">
      <c r="A1069" s="40"/>
      <c r="B1069" s="40"/>
      <c r="C1069" s="40"/>
      <c r="D1069" s="40"/>
      <c r="E1069" s="40"/>
      <c r="F1069" s="43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</row>
    <row r="1070" spans="1:34" x14ac:dyDescent="0.25">
      <c r="A1070" s="40"/>
      <c r="B1070" s="40"/>
      <c r="C1070" s="40"/>
      <c r="D1070" s="40"/>
      <c r="E1070" s="40"/>
      <c r="F1070" s="43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</row>
    <row r="1071" spans="1:34" x14ac:dyDescent="0.25">
      <c r="A1071" s="40"/>
      <c r="B1071" s="40"/>
      <c r="C1071" s="40"/>
      <c r="D1071" s="40"/>
      <c r="E1071" s="40"/>
      <c r="F1071" s="43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</row>
    <row r="1072" spans="1:34" x14ac:dyDescent="0.25">
      <c r="A1072" s="40"/>
      <c r="B1072" s="40"/>
      <c r="C1072" s="40"/>
      <c r="D1072" s="40"/>
      <c r="E1072" s="40"/>
      <c r="F1072" s="43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</row>
    <row r="1073" spans="1:34" x14ac:dyDescent="0.25">
      <c r="A1073" s="40"/>
      <c r="B1073" s="40"/>
      <c r="C1073" s="40"/>
      <c r="D1073" s="40"/>
      <c r="E1073" s="40"/>
      <c r="F1073" s="43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</row>
    <row r="1074" spans="1:34" x14ac:dyDescent="0.25">
      <c r="A1074" s="40"/>
      <c r="B1074" s="40"/>
      <c r="C1074" s="40"/>
      <c r="D1074" s="40"/>
      <c r="E1074" s="40"/>
      <c r="F1074" s="43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</row>
    <row r="1075" spans="1:34" x14ac:dyDescent="0.25">
      <c r="A1075" s="40"/>
      <c r="B1075" s="40"/>
      <c r="C1075" s="40"/>
      <c r="D1075" s="40"/>
      <c r="E1075" s="40"/>
      <c r="F1075" s="43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</row>
    <row r="1076" spans="1:34" x14ac:dyDescent="0.25">
      <c r="A1076" s="40"/>
      <c r="B1076" s="40"/>
      <c r="C1076" s="40"/>
      <c r="D1076" s="40"/>
      <c r="E1076" s="40"/>
      <c r="F1076" s="43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</row>
    <row r="1077" spans="1:34" x14ac:dyDescent="0.25">
      <c r="A1077" s="40"/>
      <c r="B1077" s="40"/>
      <c r="C1077" s="40"/>
      <c r="D1077" s="40"/>
      <c r="E1077" s="40"/>
      <c r="F1077" s="43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</row>
    <row r="1078" spans="1:34" x14ac:dyDescent="0.25">
      <c r="A1078" s="40"/>
      <c r="B1078" s="40"/>
      <c r="C1078" s="40"/>
      <c r="D1078" s="40"/>
      <c r="E1078" s="40"/>
      <c r="F1078" s="43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</row>
    <row r="1079" spans="1:34" x14ac:dyDescent="0.25">
      <c r="A1079" s="40"/>
      <c r="B1079" s="40"/>
      <c r="C1079" s="40"/>
      <c r="D1079" s="40"/>
      <c r="E1079" s="40"/>
      <c r="F1079" s="43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</row>
    <row r="1080" spans="1:34" x14ac:dyDescent="0.25">
      <c r="A1080" s="40"/>
      <c r="B1080" s="40"/>
      <c r="C1080" s="40"/>
      <c r="D1080" s="40"/>
      <c r="E1080" s="40"/>
      <c r="F1080" s="43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</row>
    <row r="1081" spans="1:34" x14ac:dyDescent="0.25">
      <c r="A1081" s="40"/>
      <c r="B1081" s="40"/>
      <c r="C1081" s="40"/>
      <c r="D1081" s="40"/>
      <c r="E1081" s="40"/>
      <c r="F1081" s="43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</row>
    <row r="1082" spans="1:34" x14ac:dyDescent="0.25">
      <c r="A1082" s="40"/>
      <c r="B1082" s="40"/>
      <c r="C1082" s="40"/>
      <c r="D1082" s="40"/>
      <c r="E1082" s="40"/>
      <c r="F1082" s="43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</row>
    <row r="1083" spans="1:34" x14ac:dyDescent="0.25">
      <c r="A1083" s="40"/>
      <c r="B1083" s="40"/>
      <c r="C1083" s="40"/>
      <c r="D1083" s="40"/>
      <c r="E1083" s="40"/>
      <c r="F1083" s="43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</row>
    <row r="1084" spans="1:34" x14ac:dyDescent="0.25">
      <c r="A1084" s="40"/>
      <c r="B1084" s="40"/>
      <c r="C1084" s="40"/>
      <c r="D1084" s="40"/>
      <c r="E1084" s="40"/>
      <c r="F1084" s="43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</row>
    <row r="1085" spans="1:34" x14ac:dyDescent="0.25">
      <c r="A1085" s="40"/>
      <c r="B1085" s="40"/>
      <c r="C1085" s="40"/>
      <c r="D1085" s="40"/>
      <c r="E1085" s="40"/>
      <c r="F1085" s="43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</row>
    <row r="1086" spans="1:34" x14ac:dyDescent="0.25">
      <c r="A1086" s="40"/>
      <c r="B1086" s="40"/>
      <c r="C1086" s="40"/>
      <c r="D1086" s="40"/>
      <c r="E1086" s="40"/>
      <c r="F1086" s="43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</row>
    <row r="1087" spans="1:34" x14ac:dyDescent="0.25">
      <c r="A1087" s="40"/>
      <c r="B1087" s="40"/>
      <c r="C1087" s="40"/>
      <c r="D1087" s="40"/>
      <c r="E1087" s="40"/>
      <c r="F1087" s="43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</row>
    <row r="1088" spans="1:34" x14ac:dyDescent="0.25">
      <c r="A1088" s="40"/>
      <c r="B1088" s="40"/>
      <c r="C1088" s="40"/>
      <c r="D1088" s="40"/>
      <c r="E1088" s="40"/>
      <c r="F1088" s="43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</row>
    <row r="1089" spans="1:34" x14ac:dyDescent="0.25">
      <c r="A1089" s="40"/>
      <c r="B1089" s="40"/>
      <c r="C1089" s="40"/>
      <c r="D1089" s="40"/>
      <c r="E1089" s="40"/>
      <c r="F1089" s="43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</row>
    <row r="1090" spans="1:34" x14ac:dyDescent="0.25">
      <c r="A1090" s="40"/>
      <c r="B1090" s="40"/>
      <c r="C1090" s="40"/>
      <c r="D1090" s="40"/>
      <c r="E1090" s="40"/>
      <c r="F1090" s="43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</row>
    <row r="1091" spans="1:34" x14ac:dyDescent="0.25">
      <c r="A1091" s="40"/>
      <c r="B1091" s="40"/>
      <c r="C1091" s="40"/>
      <c r="D1091" s="40"/>
      <c r="E1091" s="40"/>
      <c r="F1091" s="43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</row>
    <row r="1092" spans="1:34" x14ac:dyDescent="0.25">
      <c r="A1092" s="40"/>
      <c r="B1092" s="40"/>
      <c r="C1092" s="40"/>
      <c r="D1092" s="40"/>
      <c r="E1092" s="40"/>
      <c r="F1092" s="43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</row>
    <row r="1093" spans="1:34" x14ac:dyDescent="0.25">
      <c r="A1093" s="40"/>
      <c r="B1093" s="40"/>
      <c r="C1093" s="40"/>
      <c r="D1093" s="40"/>
      <c r="E1093" s="40"/>
      <c r="F1093" s="43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</row>
    <row r="1094" spans="1:34" x14ac:dyDescent="0.25">
      <c r="A1094" s="40"/>
      <c r="B1094" s="40"/>
      <c r="C1094" s="40"/>
      <c r="D1094" s="40"/>
      <c r="E1094" s="40"/>
      <c r="F1094" s="43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</row>
    <row r="1095" spans="1:34" x14ac:dyDescent="0.25">
      <c r="A1095" s="40"/>
      <c r="B1095" s="40"/>
      <c r="C1095" s="40"/>
      <c r="D1095" s="40"/>
      <c r="E1095" s="40"/>
      <c r="F1095" s="43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</row>
    <row r="1096" spans="1:34" x14ac:dyDescent="0.25">
      <c r="A1096" s="40"/>
      <c r="B1096" s="40"/>
      <c r="C1096" s="40"/>
      <c r="D1096" s="40"/>
      <c r="E1096" s="40"/>
      <c r="F1096" s="43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</row>
    <row r="1097" spans="1:34" x14ac:dyDescent="0.25">
      <c r="A1097" s="40"/>
      <c r="B1097" s="40"/>
      <c r="C1097" s="40"/>
      <c r="D1097" s="40"/>
      <c r="E1097" s="40"/>
      <c r="F1097" s="43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</row>
    <row r="1098" spans="1:34" x14ac:dyDescent="0.25">
      <c r="A1098" s="40"/>
      <c r="B1098" s="40"/>
      <c r="C1098" s="40"/>
      <c r="D1098" s="40"/>
      <c r="E1098" s="40"/>
      <c r="F1098" s="43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</row>
    <row r="1099" spans="1:34" x14ac:dyDescent="0.25">
      <c r="A1099" s="40"/>
      <c r="B1099" s="40"/>
      <c r="C1099" s="40"/>
      <c r="D1099" s="40"/>
      <c r="E1099" s="40"/>
      <c r="F1099" s="43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</row>
    <row r="1100" spans="1:34" x14ac:dyDescent="0.25">
      <c r="A1100" s="40"/>
      <c r="B1100" s="40"/>
      <c r="C1100" s="40"/>
      <c r="D1100" s="40"/>
      <c r="E1100" s="40"/>
      <c r="F1100" s="43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</row>
    <row r="1101" spans="1:34" x14ac:dyDescent="0.25">
      <c r="A1101" s="40"/>
      <c r="B1101" s="40"/>
      <c r="C1101" s="40"/>
      <c r="D1101" s="40"/>
      <c r="E1101" s="40"/>
      <c r="F1101" s="43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</row>
    <row r="1102" spans="1:34" x14ac:dyDescent="0.25">
      <c r="A1102" s="40"/>
      <c r="B1102" s="40"/>
      <c r="C1102" s="40"/>
      <c r="D1102" s="40"/>
      <c r="E1102" s="40"/>
      <c r="F1102" s="43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</row>
    <row r="1103" spans="1:34" x14ac:dyDescent="0.25">
      <c r="A1103" s="40"/>
      <c r="B1103" s="40"/>
      <c r="C1103" s="40"/>
      <c r="D1103" s="40"/>
      <c r="E1103" s="40"/>
      <c r="F1103" s="43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</row>
    <row r="1104" spans="1:34" x14ac:dyDescent="0.25">
      <c r="A1104" s="40"/>
      <c r="B1104" s="40"/>
      <c r="C1104" s="40"/>
      <c r="D1104" s="40"/>
      <c r="E1104" s="40"/>
      <c r="F1104" s="43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</row>
    <row r="1105" spans="1:34" x14ac:dyDescent="0.25">
      <c r="A1105" s="40"/>
      <c r="B1105" s="40"/>
      <c r="C1105" s="40"/>
      <c r="D1105" s="40"/>
      <c r="E1105" s="40"/>
      <c r="F1105" s="43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303"/>
  <sheetViews>
    <sheetView topLeftCell="A213" workbookViewId="0">
      <selection activeCell="C219" sqref="C219"/>
    </sheetView>
  </sheetViews>
  <sheetFormatPr defaultColWidth="9.140625" defaultRowHeight="15" x14ac:dyDescent="0.25"/>
  <cols>
    <col min="1" max="2" width="4.7109375" style="1" customWidth="1"/>
    <col min="3" max="4" width="12.7109375" style="1" customWidth="1"/>
    <col min="5" max="6" width="11" style="1" customWidth="1"/>
    <col min="7" max="14" width="11" style="1" hidden="1" customWidth="1"/>
    <col min="15" max="18" width="11" style="1" customWidth="1"/>
    <col min="19" max="19" width="8" style="1" customWidth="1"/>
    <col min="20" max="20" width="8.28515625" style="1" customWidth="1"/>
    <col min="21" max="21" width="9" style="1" customWidth="1"/>
    <col min="22" max="32" width="8.28515625" style="1" customWidth="1"/>
    <col min="33" max="16384" width="9.140625" style="1"/>
  </cols>
  <sheetData>
    <row r="1" spans="1:34" ht="46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9" t="s">
        <v>5</v>
      </c>
      <c r="T1" s="10" t="s">
        <v>6</v>
      </c>
      <c r="U1" s="10" t="s">
        <v>193</v>
      </c>
      <c r="V1" s="7" t="s">
        <v>7</v>
      </c>
      <c r="W1" s="7" t="s">
        <v>193</v>
      </c>
      <c r="X1" s="6" t="s">
        <v>8</v>
      </c>
      <c r="Y1" s="6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</row>
    <row r="2" spans="1:34" ht="30" x14ac:dyDescent="0.25">
      <c r="A2" s="2">
        <v>1</v>
      </c>
      <c r="B2" s="2"/>
      <c r="C2" s="2" t="s">
        <v>11</v>
      </c>
      <c r="D2" s="2" t="s">
        <v>12</v>
      </c>
      <c r="E2" s="2" t="s">
        <v>13</v>
      </c>
      <c r="F2" s="2">
        <v>3450203314</v>
      </c>
      <c r="G2" s="3"/>
      <c r="H2" s="3"/>
      <c r="I2" s="3"/>
      <c r="J2" s="12">
        <f>G2-H2</f>
        <v>0</v>
      </c>
      <c r="K2" s="4"/>
      <c r="L2" s="4"/>
      <c r="M2" s="4"/>
      <c r="N2" s="13">
        <f>K2-L2</f>
        <v>0</v>
      </c>
      <c r="O2" s="5">
        <v>0</v>
      </c>
      <c r="P2" s="5"/>
      <c r="Q2" s="5"/>
      <c r="R2" s="14">
        <f>O2-P2</f>
        <v>0</v>
      </c>
      <c r="S2" s="9">
        <v>0</v>
      </c>
      <c r="T2" s="10">
        <v>0</v>
      </c>
      <c r="U2" s="10">
        <v>0</v>
      </c>
      <c r="V2" s="7"/>
      <c r="W2" s="7"/>
      <c r="X2" s="6"/>
      <c r="Y2" s="6"/>
      <c r="Z2" s="8">
        <v>0</v>
      </c>
      <c r="AA2" s="8"/>
      <c r="AB2" s="10"/>
      <c r="AC2" s="10"/>
      <c r="AD2" s="15">
        <f>S2-T2-V2-X2-Z2-AB2</f>
        <v>0</v>
      </c>
      <c r="AE2" s="17"/>
      <c r="AF2" s="17"/>
      <c r="AG2" s="17"/>
      <c r="AH2" s="16">
        <f>AD2+R2+N2+J2-AE2+AF2</f>
        <v>0</v>
      </c>
    </row>
    <row r="3" spans="1:34" ht="21" x14ac:dyDescent="0.25">
      <c r="A3" s="2">
        <v>2</v>
      </c>
      <c r="B3" s="2"/>
      <c r="C3" s="2" t="s">
        <v>14</v>
      </c>
      <c r="D3" s="2" t="s">
        <v>15</v>
      </c>
      <c r="E3" s="2" t="s">
        <v>13</v>
      </c>
      <c r="F3" s="2">
        <v>3058537266</v>
      </c>
      <c r="G3" s="3"/>
      <c r="H3" s="3"/>
      <c r="I3" s="3"/>
      <c r="J3" s="12">
        <f t="shared" ref="J3:J66" si="0">G3-H3</f>
        <v>0</v>
      </c>
      <c r="K3" s="4"/>
      <c r="L3" s="4"/>
      <c r="M3" s="4"/>
      <c r="N3" s="13">
        <f t="shared" ref="N3:N66" si="1">K3-L3</f>
        <v>0</v>
      </c>
      <c r="O3" s="5">
        <v>0</v>
      </c>
      <c r="P3" s="5"/>
      <c r="Q3" s="5"/>
      <c r="R3" s="14">
        <f t="shared" ref="R3:R66" si="2">O3-P3</f>
        <v>0</v>
      </c>
      <c r="S3" s="9">
        <v>0</v>
      </c>
      <c r="T3" s="10">
        <v>0</v>
      </c>
      <c r="U3" s="10">
        <v>0</v>
      </c>
      <c r="V3" s="7"/>
      <c r="W3" s="7"/>
      <c r="X3" s="6"/>
      <c r="Y3" s="6"/>
      <c r="Z3" s="8"/>
      <c r="AA3" s="8"/>
      <c r="AB3" s="10"/>
      <c r="AC3" s="10"/>
      <c r="AD3" s="15">
        <f t="shared" ref="AD3:AD66" si="3">S3-T3-V3-X3-Z3-AB3</f>
        <v>0</v>
      </c>
      <c r="AE3" s="11"/>
      <c r="AF3" s="11"/>
      <c r="AG3" s="11"/>
      <c r="AH3" s="16">
        <f t="shared" ref="AH3:AH66" si="4">AD3+R3+N3+J3-AE3+AF3</f>
        <v>0</v>
      </c>
    </row>
    <row r="4" spans="1:34" ht="30" x14ac:dyDescent="0.25">
      <c r="A4" s="2">
        <v>3</v>
      </c>
      <c r="B4" s="2"/>
      <c r="C4" s="2" t="s">
        <v>16</v>
      </c>
      <c r="D4" s="2"/>
      <c r="E4" s="2" t="s">
        <v>13</v>
      </c>
      <c r="F4" s="2">
        <v>3039383560</v>
      </c>
      <c r="G4" s="3"/>
      <c r="H4" s="3"/>
      <c r="I4" s="3"/>
      <c r="J4" s="12">
        <f t="shared" si="0"/>
        <v>0</v>
      </c>
      <c r="K4" s="4"/>
      <c r="L4" s="4"/>
      <c r="M4" s="4"/>
      <c r="N4" s="13">
        <f t="shared" si="1"/>
        <v>0</v>
      </c>
      <c r="O4" s="5">
        <v>0</v>
      </c>
      <c r="P4" s="5"/>
      <c r="Q4" s="5"/>
      <c r="R4" s="14">
        <f t="shared" si="2"/>
        <v>0</v>
      </c>
      <c r="S4" s="9">
        <v>0</v>
      </c>
      <c r="T4" s="10">
        <v>0</v>
      </c>
      <c r="U4" s="10">
        <v>0</v>
      </c>
      <c r="V4" s="7"/>
      <c r="W4" s="7"/>
      <c r="X4" s="6"/>
      <c r="Y4" s="6"/>
      <c r="Z4" s="8"/>
      <c r="AA4" s="8"/>
      <c r="AB4" s="10"/>
      <c r="AC4" s="10"/>
      <c r="AD4" s="15">
        <f t="shared" si="3"/>
        <v>0</v>
      </c>
      <c r="AE4" s="11"/>
      <c r="AF4" s="11"/>
      <c r="AG4" s="11"/>
      <c r="AH4" s="16">
        <f t="shared" si="4"/>
        <v>0</v>
      </c>
    </row>
    <row r="5" spans="1:34" ht="30" x14ac:dyDescent="0.25">
      <c r="A5" s="2">
        <v>4</v>
      </c>
      <c r="B5" s="2"/>
      <c r="C5" s="2" t="s">
        <v>17</v>
      </c>
      <c r="D5" s="2" t="s">
        <v>18</v>
      </c>
      <c r="E5" s="2" t="s">
        <v>13</v>
      </c>
      <c r="F5" s="2">
        <v>3009552123</v>
      </c>
      <c r="G5" s="3"/>
      <c r="H5" s="3"/>
      <c r="I5" s="3">
        <v>1924</v>
      </c>
      <c r="J5" s="12">
        <f t="shared" si="0"/>
        <v>0</v>
      </c>
      <c r="K5" s="4"/>
      <c r="L5" s="4"/>
      <c r="M5" s="4"/>
      <c r="N5" s="13">
        <f t="shared" si="1"/>
        <v>0</v>
      </c>
      <c r="O5" s="5">
        <v>0</v>
      </c>
      <c r="P5" s="5"/>
      <c r="Q5" s="5"/>
      <c r="R5" s="14">
        <f t="shared" si="2"/>
        <v>0</v>
      </c>
      <c r="S5" s="9">
        <v>12000</v>
      </c>
      <c r="T5" s="10">
        <v>3000</v>
      </c>
      <c r="U5" s="10" t="s">
        <v>19</v>
      </c>
      <c r="V5" s="7">
        <v>5000</v>
      </c>
      <c r="W5" s="7" t="s">
        <v>1679</v>
      </c>
      <c r="X5" s="6"/>
      <c r="Y5" s="6"/>
      <c r="Z5" s="8"/>
      <c r="AA5" s="8"/>
      <c r="AB5" s="10"/>
      <c r="AC5" s="10"/>
      <c r="AD5" s="15">
        <f t="shared" si="3"/>
        <v>4000</v>
      </c>
      <c r="AE5" s="11"/>
      <c r="AF5" s="11"/>
      <c r="AG5" s="11"/>
      <c r="AH5" s="16">
        <f t="shared" si="4"/>
        <v>4000</v>
      </c>
    </row>
    <row r="6" spans="1:34" ht="30" x14ac:dyDescent="0.25">
      <c r="A6" s="2">
        <v>5</v>
      </c>
      <c r="B6" s="2"/>
      <c r="C6" s="2" t="s">
        <v>20</v>
      </c>
      <c r="D6" s="2" t="s">
        <v>21</v>
      </c>
      <c r="E6" s="2" t="s">
        <v>13</v>
      </c>
      <c r="F6" s="2">
        <v>3056621045</v>
      </c>
      <c r="G6" s="3"/>
      <c r="H6" s="3"/>
      <c r="I6" s="3">
        <v>765</v>
      </c>
      <c r="J6" s="12">
        <f t="shared" si="0"/>
        <v>0</v>
      </c>
      <c r="K6" s="4"/>
      <c r="L6" s="4"/>
      <c r="M6" s="4"/>
      <c r="N6" s="13">
        <f t="shared" si="1"/>
        <v>0</v>
      </c>
      <c r="O6" s="5">
        <v>0</v>
      </c>
      <c r="P6" s="5"/>
      <c r="Q6" s="5"/>
      <c r="R6" s="14">
        <f t="shared" si="2"/>
        <v>0</v>
      </c>
      <c r="S6" s="9">
        <v>0</v>
      </c>
      <c r="T6" s="10">
        <v>0</v>
      </c>
      <c r="U6" s="10">
        <v>0</v>
      </c>
      <c r="V6" s="7"/>
      <c r="W6" s="7"/>
      <c r="X6" s="6"/>
      <c r="Y6" s="6"/>
      <c r="Z6" s="8"/>
      <c r="AA6" s="8"/>
      <c r="AB6" s="10"/>
      <c r="AC6" s="10"/>
      <c r="AD6" s="15">
        <f t="shared" si="3"/>
        <v>0</v>
      </c>
      <c r="AE6" s="11"/>
      <c r="AF6" s="11"/>
      <c r="AG6" s="11"/>
      <c r="AH6" s="16">
        <f t="shared" si="4"/>
        <v>0</v>
      </c>
    </row>
    <row r="7" spans="1:34" ht="21" x14ac:dyDescent="0.25">
      <c r="A7" s="2">
        <v>6</v>
      </c>
      <c r="B7" s="2"/>
      <c r="C7" s="2" t="s">
        <v>22</v>
      </c>
      <c r="D7" s="2" t="s">
        <v>23</v>
      </c>
      <c r="E7" s="2" t="s">
        <v>13</v>
      </c>
      <c r="F7" s="2">
        <v>3077093160</v>
      </c>
      <c r="G7" s="3"/>
      <c r="H7" s="3"/>
      <c r="I7" s="3">
        <v>723</v>
      </c>
      <c r="J7" s="12">
        <f t="shared" si="0"/>
        <v>0</v>
      </c>
      <c r="K7" s="4"/>
      <c r="L7" s="4"/>
      <c r="M7" s="4"/>
      <c r="N7" s="13">
        <f t="shared" si="1"/>
        <v>0</v>
      </c>
      <c r="O7" s="5">
        <v>0</v>
      </c>
      <c r="P7" s="5"/>
      <c r="Q7" s="5"/>
      <c r="R7" s="14">
        <f t="shared" si="2"/>
        <v>0</v>
      </c>
      <c r="S7" s="9">
        <v>0</v>
      </c>
      <c r="T7" s="10">
        <v>0</v>
      </c>
      <c r="U7" s="10">
        <v>0</v>
      </c>
      <c r="V7" s="7"/>
      <c r="W7" s="7"/>
      <c r="X7" s="6"/>
      <c r="Y7" s="6"/>
      <c r="Z7" s="8"/>
      <c r="AA7" s="8"/>
      <c r="AB7" s="10"/>
      <c r="AC7" s="10"/>
      <c r="AD7" s="15">
        <f t="shared" si="3"/>
        <v>0</v>
      </c>
      <c r="AE7" s="11"/>
      <c r="AF7" s="11"/>
      <c r="AG7" s="11"/>
      <c r="AH7" s="16">
        <f t="shared" si="4"/>
        <v>0</v>
      </c>
    </row>
    <row r="8" spans="1:34" ht="30" x14ac:dyDescent="0.25">
      <c r="A8" s="2">
        <v>7</v>
      </c>
      <c r="B8" s="2"/>
      <c r="C8" s="2" t="s">
        <v>24</v>
      </c>
      <c r="D8" s="2" t="s">
        <v>25</v>
      </c>
      <c r="E8" s="2" t="s">
        <v>13</v>
      </c>
      <c r="F8" s="2">
        <v>3027013353</v>
      </c>
      <c r="G8" s="3"/>
      <c r="H8" s="3"/>
      <c r="I8" s="3">
        <v>1968</v>
      </c>
      <c r="J8" s="12">
        <f t="shared" si="0"/>
        <v>0</v>
      </c>
      <c r="K8" s="4"/>
      <c r="L8" s="4"/>
      <c r="M8" s="4"/>
      <c r="N8" s="13">
        <f t="shared" si="1"/>
        <v>0</v>
      </c>
      <c r="O8" s="5">
        <v>0</v>
      </c>
      <c r="P8" s="5"/>
      <c r="Q8" s="5"/>
      <c r="R8" s="14">
        <f t="shared" si="2"/>
        <v>0</v>
      </c>
      <c r="S8" s="9">
        <v>12000</v>
      </c>
      <c r="T8" s="10">
        <v>4000</v>
      </c>
      <c r="U8" s="10" t="s">
        <v>26</v>
      </c>
      <c r="V8" s="7"/>
      <c r="W8" s="7"/>
      <c r="X8" s="6"/>
      <c r="Y8" s="6"/>
      <c r="Z8" s="8"/>
      <c r="AA8" s="8"/>
      <c r="AB8" s="10"/>
      <c r="AC8" s="10"/>
      <c r="AD8" s="15">
        <f t="shared" si="3"/>
        <v>8000</v>
      </c>
      <c r="AE8" s="11"/>
      <c r="AF8" s="11"/>
      <c r="AG8" s="11"/>
      <c r="AH8" s="16">
        <f t="shared" si="4"/>
        <v>8000</v>
      </c>
    </row>
    <row r="9" spans="1:34" ht="30" x14ac:dyDescent="0.25">
      <c r="A9" s="2">
        <v>8</v>
      </c>
      <c r="B9" s="2"/>
      <c r="C9" s="2" t="s">
        <v>27</v>
      </c>
      <c r="D9" s="2" t="s">
        <v>28</v>
      </c>
      <c r="E9" s="2" t="s">
        <v>13</v>
      </c>
      <c r="F9" s="2">
        <v>3004970561</v>
      </c>
      <c r="G9" s="3"/>
      <c r="H9" s="3"/>
      <c r="I9" s="3">
        <v>1939</v>
      </c>
      <c r="J9" s="12">
        <f t="shared" si="0"/>
        <v>0</v>
      </c>
      <c r="K9" s="4"/>
      <c r="L9" s="4"/>
      <c r="M9" s="4"/>
      <c r="N9" s="13">
        <f t="shared" si="1"/>
        <v>0</v>
      </c>
      <c r="O9" s="5">
        <v>0</v>
      </c>
      <c r="P9" s="5"/>
      <c r="Q9" s="5"/>
      <c r="R9" s="14">
        <f t="shared" si="2"/>
        <v>0</v>
      </c>
      <c r="S9" s="9">
        <v>12000</v>
      </c>
      <c r="T9" s="10">
        <v>4000</v>
      </c>
      <c r="U9" s="10" t="s">
        <v>29</v>
      </c>
      <c r="V9" s="7">
        <v>3000</v>
      </c>
      <c r="W9" s="7" t="s">
        <v>1383</v>
      </c>
      <c r="X9" s="6"/>
      <c r="Y9" s="6"/>
      <c r="Z9" s="8"/>
      <c r="AA9" s="8"/>
      <c r="AB9" s="10"/>
      <c r="AC9" s="10"/>
      <c r="AD9" s="15">
        <f t="shared" si="3"/>
        <v>5000</v>
      </c>
      <c r="AE9" s="11"/>
      <c r="AF9" s="11"/>
      <c r="AG9" s="11"/>
      <c r="AH9" s="16">
        <f t="shared" si="4"/>
        <v>5000</v>
      </c>
    </row>
    <row r="10" spans="1:34" ht="30" x14ac:dyDescent="0.25">
      <c r="A10" s="2">
        <v>9</v>
      </c>
      <c r="B10" s="2"/>
      <c r="C10" s="2" t="s">
        <v>30</v>
      </c>
      <c r="D10" s="2" t="s">
        <v>31</v>
      </c>
      <c r="E10" s="2" t="s">
        <v>13</v>
      </c>
      <c r="F10" s="2">
        <v>3014671257</v>
      </c>
      <c r="G10" s="3"/>
      <c r="H10" s="3"/>
      <c r="I10" s="3">
        <v>1927</v>
      </c>
      <c r="J10" s="12">
        <f t="shared" si="0"/>
        <v>0</v>
      </c>
      <c r="K10" s="4"/>
      <c r="L10" s="4"/>
      <c r="M10" s="4"/>
      <c r="N10" s="13">
        <f t="shared" si="1"/>
        <v>0</v>
      </c>
      <c r="O10" s="5">
        <v>0</v>
      </c>
      <c r="P10" s="5"/>
      <c r="Q10" s="5"/>
      <c r="R10" s="14">
        <f t="shared" si="2"/>
        <v>0</v>
      </c>
      <c r="S10" s="9">
        <v>12000</v>
      </c>
      <c r="T10" s="10">
        <v>5000</v>
      </c>
      <c r="U10" s="10" t="s">
        <v>32</v>
      </c>
      <c r="V10" s="7"/>
      <c r="W10" s="7"/>
      <c r="X10" s="6"/>
      <c r="Y10" s="6"/>
      <c r="Z10" s="8"/>
      <c r="AA10" s="8"/>
      <c r="AB10" s="10"/>
      <c r="AC10" s="10"/>
      <c r="AD10" s="15">
        <f t="shared" si="3"/>
        <v>7000</v>
      </c>
      <c r="AE10" s="11"/>
      <c r="AF10" s="11"/>
      <c r="AG10" s="11"/>
      <c r="AH10" s="16">
        <f t="shared" si="4"/>
        <v>7000</v>
      </c>
    </row>
    <row r="11" spans="1:34" ht="30" x14ac:dyDescent="0.25">
      <c r="A11" s="2">
        <v>10</v>
      </c>
      <c r="B11" s="2"/>
      <c r="C11" s="2" t="s">
        <v>33</v>
      </c>
      <c r="D11" s="2" t="s">
        <v>34</v>
      </c>
      <c r="E11" s="2" t="s">
        <v>13</v>
      </c>
      <c r="F11" s="2">
        <v>3076258721</v>
      </c>
      <c r="G11" s="3"/>
      <c r="H11" s="3"/>
      <c r="I11" s="3">
        <v>1954</v>
      </c>
      <c r="J11" s="12">
        <f t="shared" si="0"/>
        <v>0</v>
      </c>
      <c r="K11" s="4"/>
      <c r="L11" s="4"/>
      <c r="M11" s="4"/>
      <c r="N11" s="13">
        <f t="shared" si="1"/>
        <v>0</v>
      </c>
      <c r="O11" s="5">
        <v>5000</v>
      </c>
      <c r="P11" s="5"/>
      <c r="Q11" s="5"/>
      <c r="R11" s="14">
        <f t="shared" si="2"/>
        <v>5000</v>
      </c>
      <c r="S11" s="9">
        <v>10000</v>
      </c>
      <c r="T11" s="10">
        <v>5000</v>
      </c>
      <c r="U11" s="10" t="s">
        <v>35</v>
      </c>
      <c r="V11" s="7">
        <v>5000</v>
      </c>
      <c r="W11" s="7" t="s">
        <v>1390</v>
      </c>
      <c r="X11" s="6"/>
      <c r="Y11" s="6"/>
      <c r="Z11" s="8"/>
      <c r="AA11" s="8"/>
      <c r="AB11" s="10"/>
      <c r="AC11" s="10"/>
      <c r="AD11" s="15">
        <f t="shared" si="3"/>
        <v>0</v>
      </c>
      <c r="AE11" s="11"/>
      <c r="AF11" s="11"/>
      <c r="AG11" s="11"/>
      <c r="AH11" s="16">
        <f t="shared" si="4"/>
        <v>5000</v>
      </c>
    </row>
    <row r="12" spans="1:34" ht="30" x14ac:dyDescent="0.25">
      <c r="A12" s="2">
        <v>11</v>
      </c>
      <c r="B12" s="2"/>
      <c r="C12" s="2" t="s">
        <v>36</v>
      </c>
      <c r="D12" s="2" t="s">
        <v>37</v>
      </c>
      <c r="E12" s="2" t="s">
        <v>13</v>
      </c>
      <c r="F12" s="2">
        <v>3056869139</v>
      </c>
      <c r="G12" s="3"/>
      <c r="H12" s="3"/>
      <c r="I12" s="3">
        <v>287</v>
      </c>
      <c r="J12" s="12">
        <f t="shared" si="0"/>
        <v>0</v>
      </c>
      <c r="K12" s="4"/>
      <c r="L12" s="4"/>
      <c r="M12" s="4"/>
      <c r="N12" s="13">
        <f t="shared" si="1"/>
        <v>0</v>
      </c>
      <c r="O12" s="5">
        <v>0</v>
      </c>
      <c r="P12" s="5"/>
      <c r="Q12" s="5"/>
      <c r="R12" s="14">
        <f t="shared" si="2"/>
        <v>0</v>
      </c>
      <c r="S12" s="9">
        <v>12000</v>
      </c>
      <c r="T12" s="10">
        <v>2000</v>
      </c>
      <c r="U12" s="10" t="s">
        <v>38</v>
      </c>
      <c r="V12" s="7"/>
      <c r="W12" s="7"/>
      <c r="X12" s="6"/>
      <c r="Y12" s="6"/>
      <c r="Z12" s="8"/>
      <c r="AA12" s="8"/>
      <c r="AB12" s="10"/>
      <c r="AC12" s="10"/>
      <c r="AD12" s="15">
        <f t="shared" si="3"/>
        <v>10000</v>
      </c>
      <c r="AE12" s="11"/>
      <c r="AF12" s="11"/>
      <c r="AG12" s="11"/>
      <c r="AH12" s="16">
        <f t="shared" si="4"/>
        <v>10000</v>
      </c>
    </row>
    <row r="13" spans="1:34" ht="45" x14ac:dyDescent="0.25">
      <c r="A13" s="2">
        <v>12</v>
      </c>
      <c r="B13" s="2"/>
      <c r="C13" s="2" t="s">
        <v>39</v>
      </c>
      <c r="D13" s="2" t="s">
        <v>203</v>
      </c>
      <c r="E13" s="2" t="s">
        <v>13</v>
      </c>
      <c r="F13" s="2">
        <v>3217985052</v>
      </c>
      <c r="G13" s="3"/>
      <c r="H13" s="3"/>
      <c r="I13" s="3">
        <v>1969</v>
      </c>
      <c r="J13" s="12">
        <f t="shared" si="0"/>
        <v>0</v>
      </c>
      <c r="K13" s="4"/>
      <c r="L13" s="4"/>
      <c r="M13" s="4"/>
      <c r="N13" s="13">
        <f t="shared" si="1"/>
        <v>0</v>
      </c>
      <c r="O13" s="5">
        <v>10000</v>
      </c>
      <c r="P13" s="5">
        <v>10000</v>
      </c>
      <c r="Q13" s="5" t="s">
        <v>1448</v>
      </c>
      <c r="R13" s="14">
        <f t="shared" si="2"/>
        <v>0</v>
      </c>
      <c r="S13" s="9">
        <v>0</v>
      </c>
      <c r="T13" s="10">
        <v>0</v>
      </c>
      <c r="U13" s="10">
        <v>0</v>
      </c>
      <c r="V13" s="7"/>
      <c r="W13" s="7"/>
      <c r="X13" s="6"/>
      <c r="Y13" s="6"/>
      <c r="Z13" s="8"/>
      <c r="AA13" s="8"/>
      <c r="AB13" s="10"/>
      <c r="AC13" s="10"/>
      <c r="AD13" s="15">
        <f t="shared" si="3"/>
        <v>0</v>
      </c>
      <c r="AE13" s="11"/>
      <c r="AF13" s="11"/>
      <c r="AG13" s="11"/>
      <c r="AH13" s="16">
        <f t="shared" si="4"/>
        <v>0</v>
      </c>
    </row>
    <row r="14" spans="1:34" ht="30" x14ac:dyDescent="0.25">
      <c r="A14" s="2">
        <v>13</v>
      </c>
      <c r="B14" s="2"/>
      <c r="C14" s="2" t="s">
        <v>40</v>
      </c>
      <c r="D14" s="2"/>
      <c r="E14" s="2" t="s">
        <v>13</v>
      </c>
      <c r="F14" s="2">
        <v>3065602476</v>
      </c>
      <c r="G14" s="3"/>
      <c r="H14" s="3"/>
      <c r="I14" s="3">
        <v>780</v>
      </c>
      <c r="J14" s="12">
        <f t="shared" si="0"/>
        <v>0</v>
      </c>
      <c r="K14" s="4"/>
      <c r="L14" s="4"/>
      <c r="M14" s="4"/>
      <c r="N14" s="13">
        <f t="shared" si="1"/>
        <v>0</v>
      </c>
      <c r="O14" s="5">
        <v>5000</v>
      </c>
      <c r="P14" s="5"/>
      <c r="Q14" s="5"/>
      <c r="R14" s="14">
        <f t="shared" si="2"/>
        <v>5000</v>
      </c>
      <c r="S14" s="9">
        <v>0</v>
      </c>
      <c r="T14" s="10"/>
      <c r="U14" s="10">
        <v>0</v>
      </c>
      <c r="V14" s="7"/>
      <c r="W14" s="7"/>
      <c r="X14" s="6"/>
      <c r="Y14" s="6"/>
      <c r="Z14" s="8"/>
      <c r="AA14" s="8"/>
      <c r="AB14" s="10"/>
      <c r="AC14" s="10"/>
      <c r="AD14" s="15">
        <f t="shared" si="3"/>
        <v>0</v>
      </c>
      <c r="AE14" s="11"/>
      <c r="AF14" s="11"/>
      <c r="AG14" s="11"/>
      <c r="AH14" s="16">
        <f t="shared" si="4"/>
        <v>5000</v>
      </c>
    </row>
    <row r="15" spans="1:34" ht="30" x14ac:dyDescent="0.25">
      <c r="A15" s="2">
        <v>14</v>
      </c>
      <c r="B15" s="2"/>
      <c r="C15" s="2" t="s">
        <v>41</v>
      </c>
      <c r="D15" s="2" t="s">
        <v>42</v>
      </c>
      <c r="E15" s="2" t="s">
        <v>13</v>
      </c>
      <c r="F15" s="2">
        <v>3007898050</v>
      </c>
      <c r="G15" s="3"/>
      <c r="H15" s="3"/>
      <c r="I15" s="3">
        <v>747</v>
      </c>
      <c r="J15" s="12">
        <f t="shared" si="0"/>
        <v>0</v>
      </c>
      <c r="K15" s="4"/>
      <c r="L15" s="4"/>
      <c r="M15" s="4"/>
      <c r="N15" s="13">
        <f t="shared" si="1"/>
        <v>0</v>
      </c>
      <c r="O15" s="5">
        <v>5000</v>
      </c>
      <c r="P15" s="5"/>
      <c r="Q15" s="5"/>
      <c r="R15" s="14">
        <f t="shared" si="2"/>
        <v>5000</v>
      </c>
      <c r="S15" s="9">
        <v>15000</v>
      </c>
      <c r="T15" s="10">
        <v>15000</v>
      </c>
      <c r="U15" s="10" t="s">
        <v>43</v>
      </c>
      <c r="V15" s="7"/>
      <c r="W15" s="7"/>
      <c r="X15" s="6"/>
      <c r="Y15" s="6"/>
      <c r="Z15" s="8"/>
      <c r="AA15" s="8"/>
      <c r="AB15" s="10"/>
      <c r="AC15" s="10"/>
      <c r="AD15" s="15">
        <f t="shared" si="3"/>
        <v>0</v>
      </c>
      <c r="AE15" s="11"/>
      <c r="AF15" s="11"/>
      <c r="AG15" s="11"/>
      <c r="AH15" s="16">
        <f t="shared" si="4"/>
        <v>5000</v>
      </c>
    </row>
    <row r="16" spans="1:34" ht="30" x14ac:dyDescent="0.25">
      <c r="A16" s="2">
        <v>15</v>
      </c>
      <c r="B16" s="2"/>
      <c r="C16" s="2" t="s">
        <v>44</v>
      </c>
      <c r="D16" s="2" t="s">
        <v>45</v>
      </c>
      <c r="E16" s="2" t="s">
        <v>13</v>
      </c>
      <c r="F16" s="2">
        <v>3457217137</v>
      </c>
      <c r="G16" s="3"/>
      <c r="H16" s="3"/>
      <c r="I16" s="3">
        <v>778</v>
      </c>
      <c r="J16" s="12">
        <f t="shared" si="0"/>
        <v>0</v>
      </c>
      <c r="K16" s="4"/>
      <c r="L16" s="4"/>
      <c r="M16" s="4"/>
      <c r="N16" s="13">
        <f t="shared" si="1"/>
        <v>0</v>
      </c>
      <c r="O16" s="5">
        <v>0</v>
      </c>
      <c r="P16" s="5"/>
      <c r="Q16" s="5"/>
      <c r="R16" s="14">
        <f t="shared" si="2"/>
        <v>0</v>
      </c>
      <c r="S16" s="9">
        <v>0</v>
      </c>
      <c r="T16" s="10">
        <v>0</v>
      </c>
      <c r="U16" s="10">
        <v>0</v>
      </c>
      <c r="V16" s="7"/>
      <c r="W16" s="7"/>
      <c r="X16" s="6"/>
      <c r="Y16" s="6"/>
      <c r="Z16" s="8"/>
      <c r="AA16" s="8"/>
      <c r="AB16" s="10"/>
      <c r="AC16" s="10"/>
      <c r="AD16" s="15">
        <f t="shared" si="3"/>
        <v>0</v>
      </c>
      <c r="AE16" s="11"/>
      <c r="AF16" s="11"/>
      <c r="AG16" s="11"/>
      <c r="AH16" s="16">
        <f t="shared" si="4"/>
        <v>0</v>
      </c>
    </row>
    <row r="17" spans="1:34" ht="30" x14ac:dyDescent="0.25">
      <c r="A17" s="2">
        <v>16</v>
      </c>
      <c r="B17" s="2"/>
      <c r="C17" s="2" t="s">
        <v>46</v>
      </c>
      <c r="D17" s="2" t="s">
        <v>47</v>
      </c>
      <c r="E17" s="2" t="s">
        <v>13</v>
      </c>
      <c r="F17" s="2">
        <v>3037598223</v>
      </c>
      <c r="G17" s="3"/>
      <c r="H17" s="3"/>
      <c r="I17" s="3"/>
      <c r="J17" s="12">
        <f t="shared" si="0"/>
        <v>0</v>
      </c>
      <c r="K17" s="4"/>
      <c r="L17" s="4"/>
      <c r="M17" s="4"/>
      <c r="N17" s="13">
        <f t="shared" si="1"/>
        <v>0</v>
      </c>
      <c r="O17" s="5">
        <v>0</v>
      </c>
      <c r="P17" s="5"/>
      <c r="Q17" s="5"/>
      <c r="R17" s="14">
        <f t="shared" si="2"/>
        <v>0</v>
      </c>
      <c r="S17" s="9">
        <v>12000</v>
      </c>
      <c r="T17" s="10">
        <v>2000</v>
      </c>
      <c r="U17" s="10" t="s">
        <v>48</v>
      </c>
      <c r="V17" s="7"/>
      <c r="W17" s="7"/>
      <c r="X17" s="6"/>
      <c r="Y17" s="6"/>
      <c r="Z17" s="8"/>
      <c r="AA17" s="8"/>
      <c r="AB17" s="10"/>
      <c r="AC17" s="10"/>
      <c r="AD17" s="15">
        <f t="shared" si="3"/>
        <v>10000</v>
      </c>
      <c r="AE17" s="11"/>
      <c r="AF17" s="11"/>
      <c r="AG17" s="11"/>
      <c r="AH17" s="16">
        <f t="shared" si="4"/>
        <v>10000</v>
      </c>
    </row>
    <row r="18" spans="1:34" ht="45" x14ac:dyDescent="0.25">
      <c r="A18" s="2">
        <v>17</v>
      </c>
      <c r="B18" s="2"/>
      <c r="C18" s="2" t="s">
        <v>49</v>
      </c>
      <c r="D18" s="2" t="s">
        <v>50</v>
      </c>
      <c r="E18" s="2" t="s">
        <v>13</v>
      </c>
      <c r="F18" s="2">
        <v>3067598988</v>
      </c>
      <c r="G18" s="3"/>
      <c r="H18" s="3"/>
      <c r="I18" s="3">
        <v>1922</v>
      </c>
      <c r="J18" s="12">
        <f t="shared" si="0"/>
        <v>0</v>
      </c>
      <c r="K18" s="4"/>
      <c r="L18" s="4"/>
      <c r="M18" s="4"/>
      <c r="N18" s="13">
        <f t="shared" si="1"/>
        <v>0</v>
      </c>
      <c r="O18" s="5">
        <v>10000</v>
      </c>
      <c r="P18" s="5">
        <v>5000</v>
      </c>
      <c r="Q18" s="5" t="s">
        <v>1755</v>
      </c>
      <c r="R18" s="14">
        <f t="shared" si="2"/>
        <v>5000</v>
      </c>
      <c r="S18" s="9">
        <v>0</v>
      </c>
      <c r="T18" s="10">
        <v>0</v>
      </c>
      <c r="U18" s="10">
        <v>0</v>
      </c>
      <c r="V18" s="7"/>
      <c r="W18" s="7"/>
      <c r="X18" s="6"/>
      <c r="Y18" s="6"/>
      <c r="Z18" s="8"/>
      <c r="AA18" s="8"/>
      <c r="AB18" s="10"/>
      <c r="AC18" s="10"/>
      <c r="AD18" s="15">
        <f t="shared" si="3"/>
        <v>0</v>
      </c>
      <c r="AE18" s="11"/>
      <c r="AF18" s="11"/>
      <c r="AG18" s="11"/>
      <c r="AH18" s="16">
        <f t="shared" si="4"/>
        <v>5000</v>
      </c>
    </row>
    <row r="19" spans="1:34" ht="30" x14ac:dyDescent="0.25">
      <c r="A19" s="2">
        <v>18</v>
      </c>
      <c r="B19" s="2"/>
      <c r="C19" s="2" t="s">
        <v>51</v>
      </c>
      <c r="D19" s="2" t="s">
        <v>52</v>
      </c>
      <c r="E19" s="2" t="s">
        <v>13</v>
      </c>
      <c r="F19" s="2">
        <v>3067598906</v>
      </c>
      <c r="G19" s="3"/>
      <c r="H19" s="3"/>
      <c r="I19" s="3">
        <v>1903</v>
      </c>
      <c r="J19" s="12">
        <f t="shared" si="0"/>
        <v>0</v>
      </c>
      <c r="K19" s="4"/>
      <c r="L19" s="4"/>
      <c r="M19" s="4"/>
      <c r="N19" s="13">
        <f t="shared" si="1"/>
        <v>0</v>
      </c>
      <c r="O19" s="5">
        <v>0</v>
      </c>
      <c r="P19" s="5"/>
      <c r="Q19" s="5"/>
      <c r="R19" s="14">
        <f t="shared" si="2"/>
        <v>0</v>
      </c>
      <c r="S19" s="9">
        <v>12000</v>
      </c>
      <c r="T19" s="10">
        <v>12000</v>
      </c>
      <c r="U19" s="10" t="s">
        <v>53</v>
      </c>
      <c r="V19" s="7"/>
      <c r="W19" s="7"/>
      <c r="X19" s="6"/>
      <c r="Y19" s="6"/>
      <c r="Z19" s="8"/>
      <c r="AA19" s="8"/>
      <c r="AB19" s="10"/>
      <c r="AC19" s="10"/>
      <c r="AD19" s="15">
        <f t="shared" si="3"/>
        <v>0</v>
      </c>
      <c r="AE19" s="11"/>
      <c r="AF19" s="11"/>
      <c r="AG19" s="11"/>
      <c r="AH19" s="16">
        <f t="shared" si="4"/>
        <v>0</v>
      </c>
    </row>
    <row r="20" spans="1:34" ht="30" x14ac:dyDescent="0.25">
      <c r="A20" s="2">
        <v>19</v>
      </c>
      <c r="B20" s="2"/>
      <c r="C20" s="2" t="s">
        <v>54</v>
      </c>
      <c r="D20" s="2" t="s">
        <v>55</v>
      </c>
      <c r="E20" s="2" t="s">
        <v>13</v>
      </c>
      <c r="F20" s="2">
        <v>3047414964</v>
      </c>
      <c r="G20" s="3"/>
      <c r="H20" s="3"/>
      <c r="I20" s="3"/>
      <c r="J20" s="12">
        <f t="shared" si="0"/>
        <v>0</v>
      </c>
      <c r="K20" s="4"/>
      <c r="L20" s="4"/>
      <c r="M20" s="4"/>
      <c r="N20" s="13">
        <f t="shared" si="1"/>
        <v>0</v>
      </c>
      <c r="O20" s="5">
        <v>0</v>
      </c>
      <c r="P20" s="5"/>
      <c r="Q20" s="5"/>
      <c r="R20" s="14">
        <f t="shared" si="2"/>
        <v>0</v>
      </c>
      <c r="S20" s="9">
        <v>12000</v>
      </c>
      <c r="T20" s="10">
        <v>5000</v>
      </c>
      <c r="U20" s="10" t="s">
        <v>56</v>
      </c>
      <c r="V20" s="7"/>
      <c r="W20" s="7"/>
      <c r="X20" s="6"/>
      <c r="Y20" s="6"/>
      <c r="Z20" s="8"/>
      <c r="AA20" s="8"/>
      <c r="AB20" s="10"/>
      <c r="AC20" s="10"/>
      <c r="AD20" s="15">
        <f t="shared" si="3"/>
        <v>7000</v>
      </c>
      <c r="AE20" s="11"/>
      <c r="AF20" s="11"/>
      <c r="AG20" s="11"/>
      <c r="AH20" s="16">
        <f t="shared" si="4"/>
        <v>7000</v>
      </c>
    </row>
    <row r="21" spans="1:34" ht="30" x14ac:dyDescent="0.25">
      <c r="A21" s="2">
        <v>20</v>
      </c>
      <c r="B21" s="2"/>
      <c r="C21" s="2" t="s">
        <v>57</v>
      </c>
      <c r="D21" s="2" t="s">
        <v>58</v>
      </c>
      <c r="E21" s="2" t="s">
        <v>13</v>
      </c>
      <c r="F21" s="2">
        <v>3081217655</v>
      </c>
      <c r="G21" s="3"/>
      <c r="H21" s="3"/>
      <c r="I21" s="3">
        <v>1935</v>
      </c>
      <c r="J21" s="12">
        <f t="shared" si="0"/>
        <v>0</v>
      </c>
      <c r="K21" s="4"/>
      <c r="L21" s="4"/>
      <c r="M21" s="4"/>
      <c r="N21" s="13">
        <f t="shared" si="1"/>
        <v>0</v>
      </c>
      <c r="O21" s="5">
        <v>5000</v>
      </c>
      <c r="P21" s="5"/>
      <c r="Q21" s="5"/>
      <c r="R21" s="14">
        <f t="shared" si="2"/>
        <v>5000</v>
      </c>
      <c r="S21" s="9">
        <v>13000</v>
      </c>
      <c r="T21" s="10">
        <v>1000</v>
      </c>
      <c r="U21" s="10" t="s">
        <v>59</v>
      </c>
      <c r="V21" s="7"/>
      <c r="W21" s="7"/>
      <c r="X21" s="6"/>
      <c r="Y21" s="6"/>
      <c r="Z21" s="8"/>
      <c r="AA21" s="8"/>
      <c r="AB21" s="10"/>
      <c r="AC21" s="10"/>
      <c r="AD21" s="15">
        <f t="shared" si="3"/>
        <v>12000</v>
      </c>
      <c r="AE21" s="11"/>
      <c r="AF21" s="11"/>
      <c r="AG21" s="11"/>
      <c r="AH21" s="16">
        <f t="shared" si="4"/>
        <v>17000</v>
      </c>
    </row>
    <row r="22" spans="1:34" ht="30" x14ac:dyDescent="0.25">
      <c r="A22" s="2">
        <v>21</v>
      </c>
      <c r="B22" s="2"/>
      <c r="C22" s="2" t="s">
        <v>60</v>
      </c>
      <c r="D22" s="2" t="s">
        <v>61</v>
      </c>
      <c r="E22" s="2" t="s">
        <v>13</v>
      </c>
      <c r="F22" s="2">
        <v>3008143964</v>
      </c>
      <c r="G22" s="3"/>
      <c r="H22" s="3"/>
      <c r="I22" s="3">
        <v>720</v>
      </c>
      <c r="J22" s="12">
        <f t="shared" si="0"/>
        <v>0</v>
      </c>
      <c r="K22" s="4"/>
      <c r="L22" s="4"/>
      <c r="M22" s="4"/>
      <c r="N22" s="13">
        <f t="shared" si="1"/>
        <v>0</v>
      </c>
      <c r="O22" s="5">
        <v>0</v>
      </c>
      <c r="P22" s="5"/>
      <c r="Q22" s="5"/>
      <c r="R22" s="14">
        <f t="shared" si="2"/>
        <v>0</v>
      </c>
      <c r="S22" s="9">
        <v>15000</v>
      </c>
      <c r="T22" s="10">
        <v>3500</v>
      </c>
      <c r="U22" s="10" t="s">
        <v>62</v>
      </c>
      <c r="V22" s="7">
        <v>5000</v>
      </c>
      <c r="W22" s="7" t="s">
        <v>1641</v>
      </c>
      <c r="X22" s="6"/>
      <c r="Y22" s="6"/>
      <c r="Z22" s="8"/>
      <c r="AA22" s="8"/>
      <c r="AB22" s="10"/>
      <c r="AC22" s="10"/>
      <c r="AD22" s="15">
        <f t="shared" si="3"/>
        <v>6500</v>
      </c>
      <c r="AE22" s="11"/>
      <c r="AF22" s="11"/>
      <c r="AG22" s="11"/>
      <c r="AH22" s="16">
        <f t="shared" si="4"/>
        <v>6500</v>
      </c>
    </row>
    <row r="23" spans="1:34" ht="30" x14ac:dyDescent="0.25">
      <c r="A23" s="2">
        <v>22</v>
      </c>
      <c r="B23" s="2"/>
      <c r="C23" s="2" t="s">
        <v>63</v>
      </c>
      <c r="D23" s="2" t="s">
        <v>1759</v>
      </c>
      <c r="E23" s="2" t="s">
        <v>13</v>
      </c>
      <c r="F23" s="2">
        <v>3462311497</v>
      </c>
      <c r="G23" s="3"/>
      <c r="H23" s="3"/>
      <c r="I23" s="3">
        <v>734</v>
      </c>
      <c r="J23" s="12">
        <f t="shared" si="0"/>
        <v>0</v>
      </c>
      <c r="K23" s="4"/>
      <c r="L23" s="4"/>
      <c r="M23" s="4"/>
      <c r="N23" s="13">
        <f t="shared" si="1"/>
        <v>0</v>
      </c>
      <c r="O23" s="5">
        <v>5000</v>
      </c>
      <c r="P23" s="5">
        <v>5000</v>
      </c>
      <c r="Q23" s="5" t="s">
        <v>1760</v>
      </c>
      <c r="R23" s="14">
        <f t="shared" si="2"/>
        <v>0</v>
      </c>
      <c r="S23" s="9">
        <v>17000</v>
      </c>
      <c r="T23" s="10"/>
      <c r="U23" s="10"/>
      <c r="V23" s="7"/>
      <c r="W23" s="7"/>
      <c r="X23" s="6"/>
      <c r="Y23" s="6"/>
      <c r="Z23" s="8"/>
      <c r="AA23" s="8"/>
      <c r="AB23" s="10"/>
      <c r="AC23" s="10"/>
      <c r="AD23" s="15">
        <f t="shared" si="3"/>
        <v>17000</v>
      </c>
      <c r="AE23" s="11"/>
      <c r="AF23" s="11"/>
      <c r="AG23" s="11"/>
      <c r="AH23" s="16">
        <f t="shared" si="4"/>
        <v>17000</v>
      </c>
    </row>
    <row r="24" spans="1:34" ht="30" x14ac:dyDescent="0.25">
      <c r="A24" s="2">
        <v>23</v>
      </c>
      <c r="B24" s="2"/>
      <c r="C24" s="2" t="s">
        <v>64</v>
      </c>
      <c r="D24" s="2" t="s">
        <v>65</v>
      </c>
      <c r="E24" s="2" t="s">
        <v>13</v>
      </c>
      <c r="F24" s="2">
        <v>3042080592</v>
      </c>
      <c r="G24" s="3"/>
      <c r="H24" s="3"/>
      <c r="I24" s="3">
        <v>1930</v>
      </c>
      <c r="J24" s="12">
        <f t="shared" si="0"/>
        <v>0</v>
      </c>
      <c r="K24" s="4"/>
      <c r="L24" s="4"/>
      <c r="M24" s="4"/>
      <c r="N24" s="13">
        <f t="shared" si="1"/>
        <v>0</v>
      </c>
      <c r="O24" s="5"/>
      <c r="P24" s="5"/>
      <c r="Q24" s="5"/>
      <c r="R24" s="14">
        <f t="shared" si="2"/>
        <v>0</v>
      </c>
      <c r="S24" s="9"/>
      <c r="T24" s="10">
        <v>4000</v>
      </c>
      <c r="U24" s="10" t="s">
        <v>66</v>
      </c>
      <c r="V24" s="7"/>
      <c r="W24" s="7"/>
      <c r="X24" s="6"/>
      <c r="Y24" s="6"/>
      <c r="Z24" s="8"/>
      <c r="AA24" s="8"/>
      <c r="AB24" s="10"/>
      <c r="AC24" s="10"/>
      <c r="AD24" s="15">
        <f t="shared" si="3"/>
        <v>-4000</v>
      </c>
      <c r="AE24" s="11"/>
      <c r="AF24" s="11"/>
      <c r="AG24" s="11"/>
      <c r="AH24" s="16">
        <f t="shared" si="4"/>
        <v>-4000</v>
      </c>
    </row>
    <row r="25" spans="1:34" ht="30" x14ac:dyDescent="0.25">
      <c r="A25" s="2">
        <v>24</v>
      </c>
      <c r="B25" s="2"/>
      <c r="C25" s="2" t="s">
        <v>67</v>
      </c>
      <c r="D25" s="2" t="s">
        <v>68</v>
      </c>
      <c r="E25" s="2" t="s">
        <v>13</v>
      </c>
      <c r="F25" s="2">
        <v>3082567093</v>
      </c>
      <c r="G25" s="3"/>
      <c r="H25" s="3"/>
      <c r="I25" s="3">
        <v>776</v>
      </c>
      <c r="J25" s="12">
        <f t="shared" si="0"/>
        <v>0</v>
      </c>
      <c r="K25" s="4"/>
      <c r="L25" s="4"/>
      <c r="M25" s="4"/>
      <c r="N25" s="13">
        <f t="shared" si="1"/>
        <v>0</v>
      </c>
      <c r="O25" s="5">
        <v>0</v>
      </c>
      <c r="P25" s="5"/>
      <c r="Q25" s="5"/>
      <c r="R25" s="14">
        <f t="shared" si="2"/>
        <v>0</v>
      </c>
      <c r="S25" s="9">
        <v>12000</v>
      </c>
      <c r="T25" s="10">
        <v>1000</v>
      </c>
      <c r="U25" s="10" t="s">
        <v>69</v>
      </c>
      <c r="V25" s="7"/>
      <c r="W25" s="7"/>
      <c r="X25" s="6"/>
      <c r="Y25" s="6"/>
      <c r="Z25" s="8"/>
      <c r="AA25" s="8"/>
      <c r="AB25" s="10"/>
      <c r="AC25" s="10"/>
      <c r="AD25" s="15">
        <f t="shared" si="3"/>
        <v>11000</v>
      </c>
      <c r="AE25" s="11"/>
      <c r="AF25" s="11"/>
      <c r="AG25" s="11"/>
      <c r="AH25" s="16">
        <f t="shared" si="4"/>
        <v>11000</v>
      </c>
    </row>
    <row r="26" spans="1:34" ht="30" x14ac:dyDescent="0.25">
      <c r="A26" s="2">
        <v>25</v>
      </c>
      <c r="B26" s="2"/>
      <c r="C26" s="2" t="s">
        <v>70</v>
      </c>
      <c r="D26" s="2" t="s">
        <v>71</v>
      </c>
      <c r="E26" s="2" t="s">
        <v>13</v>
      </c>
      <c r="F26" s="2">
        <v>3024163352</v>
      </c>
      <c r="G26" s="3"/>
      <c r="H26" s="3"/>
      <c r="I26" s="3">
        <v>1970</v>
      </c>
      <c r="J26" s="12">
        <f t="shared" si="0"/>
        <v>0</v>
      </c>
      <c r="K26" s="4"/>
      <c r="L26" s="4"/>
      <c r="M26" s="4"/>
      <c r="N26" s="13">
        <f t="shared" si="1"/>
        <v>0</v>
      </c>
      <c r="O26" s="5">
        <v>0</v>
      </c>
      <c r="P26" s="5"/>
      <c r="Q26" s="5"/>
      <c r="R26" s="14">
        <f t="shared" si="2"/>
        <v>0</v>
      </c>
      <c r="S26" s="9">
        <v>17000</v>
      </c>
      <c r="T26" s="10">
        <v>5000</v>
      </c>
      <c r="U26" s="10" t="s">
        <v>72</v>
      </c>
      <c r="V26" s="7">
        <v>5000</v>
      </c>
      <c r="W26" s="7" t="s">
        <v>1653</v>
      </c>
      <c r="X26" s="6"/>
      <c r="Y26" s="6"/>
      <c r="Z26" s="8"/>
      <c r="AA26" s="8"/>
      <c r="AB26" s="10"/>
      <c r="AC26" s="10"/>
      <c r="AD26" s="15">
        <f t="shared" si="3"/>
        <v>7000</v>
      </c>
      <c r="AE26" s="11"/>
      <c r="AF26" s="11"/>
      <c r="AG26" s="11"/>
      <c r="AH26" s="16">
        <f t="shared" si="4"/>
        <v>7000</v>
      </c>
    </row>
    <row r="27" spans="1:34" ht="30" x14ac:dyDescent="0.25">
      <c r="A27" s="2">
        <v>26</v>
      </c>
      <c r="B27" s="2"/>
      <c r="C27" s="2" t="s">
        <v>73</v>
      </c>
      <c r="D27" s="2" t="s">
        <v>74</v>
      </c>
      <c r="E27" s="2" t="s">
        <v>13</v>
      </c>
      <c r="F27" s="2">
        <v>3016636079</v>
      </c>
      <c r="G27" s="3"/>
      <c r="H27" s="3"/>
      <c r="I27" s="3">
        <v>1921</v>
      </c>
      <c r="J27" s="12">
        <f t="shared" si="0"/>
        <v>0</v>
      </c>
      <c r="K27" s="4"/>
      <c r="L27" s="4"/>
      <c r="M27" s="4"/>
      <c r="N27" s="13">
        <f t="shared" si="1"/>
        <v>0</v>
      </c>
      <c r="O27" s="5">
        <v>0</v>
      </c>
      <c r="P27" s="5"/>
      <c r="Q27" s="5"/>
      <c r="R27" s="14">
        <f t="shared" si="2"/>
        <v>0</v>
      </c>
      <c r="S27" s="9">
        <v>20000</v>
      </c>
      <c r="T27" s="10">
        <v>5000</v>
      </c>
      <c r="U27" s="10" t="s">
        <v>75</v>
      </c>
      <c r="V27" s="7">
        <v>5000</v>
      </c>
      <c r="W27" s="7" t="s">
        <v>1584</v>
      </c>
      <c r="X27" s="6"/>
      <c r="Y27" s="6"/>
      <c r="Z27" s="8"/>
      <c r="AA27" s="8"/>
      <c r="AB27" s="10"/>
      <c r="AC27" s="10"/>
      <c r="AD27" s="15">
        <f t="shared" si="3"/>
        <v>10000</v>
      </c>
      <c r="AE27" s="11"/>
      <c r="AF27" s="11"/>
      <c r="AG27" s="11"/>
      <c r="AH27" s="16">
        <f t="shared" si="4"/>
        <v>10000</v>
      </c>
    </row>
    <row r="28" spans="1:34" ht="45" x14ac:dyDescent="0.25">
      <c r="A28" s="2">
        <v>27</v>
      </c>
      <c r="B28" s="2"/>
      <c r="C28" s="38" t="s">
        <v>1409</v>
      </c>
      <c r="D28" s="2" t="s">
        <v>76</v>
      </c>
      <c r="E28" s="2" t="s">
        <v>13</v>
      </c>
      <c r="F28" s="2">
        <v>3441072410</v>
      </c>
      <c r="G28" s="3"/>
      <c r="H28" s="3"/>
      <c r="I28" s="3">
        <v>1923</v>
      </c>
      <c r="J28" s="12">
        <f t="shared" si="0"/>
        <v>0</v>
      </c>
      <c r="K28" s="4"/>
      <c r="L28" s="4"/>
      <c r="M28" s="4"/>
      <c r="N28" s="13">
        <f t="shared" si="1"/>
        <v>0</v>
      </c>
      <c r="O28" s="5">
        <v>0</v>
      </c>
      <c r="P28" s="5"/>
      <c r="Q28" s="5"/>
      <c r="R28" s="14">
        <f t="shared" si="2"/>
        <v>0</v>
      </c>
      <c r="S28" s="9">
        <v>24000</v>
      </c>
      <c r="T28" s="10">
        <v>5000</v>
      </c>
      <c r="U28" s="36" t="s">
        <v>1408</v>
      </c>
      <c r="V28" s="7"/>
      <c r="W28" s="7"/>
      <c r="X28" s="6"/>
      <c r="Y28" s="6"/>
      <c r="Z28" s="8"/>
      <c r="AA28" s="8"/>
      <c r="AB28" s="10"/>
      <c r="AC28" s="10"/>
      <c r="AD28" s="15">
        <f t="shared" si="3"/>
        <v>19000</v>
      </c>
      <c r="AE28" s="11"/>
      <c r="AF28" s="11"/>
      <c r="AG28" s="11"/>
      <c r="AH28" s="16">
        <f t="shared" si="4"/>
        <v>19000</v>
      </c>
    </row>
    <row r="29" spans="1:34" ht="30" x14ac:dyDescent="0.25">
      <c r="A29" s="2">
        <v>28</v>
      </c>
      <c r="B29" s="2"/>
      <c r="C29" s="2" t="s">
        <v>77</v>
      </c>
      <c r="D29" s="2" t="s">
        <v>78</v>
      </c>
      <c r="E29" s="2" t="s">
        <v>13</v>
      </c>
      <c r="F29" s="2">
        <v>3337650672</v>
      </c>
      <c r="G29" s="3"/>
      <c r="H29" s="3"/>
      <c r="I29" s="3"/>
      <c r="J29" s="12">
        <f t="shared" si="0"/>
        <v>0</v>
      </c>
      <c r="K29" s="4"/>
      <c r="L29" s="4"/>
      <c r="M29" s="4"/>
      <c r="N29" s="13">
        <f t="shared" si="1"/>
        <v>0</v>
      </c>
      <c r="O29" s="5">
        <v>5000</v>
      </c>
      <c r="P29" s="5"/>
      <c r="Q29" s="5"/>
      <c r="R29" s="14">
        <f t="shared" si="2"/>
        <v>5000</v>
      </c>
      <c r="S29" s="9">
        <v>15000</v>
      </c>
      <c r="T29" s="10">
        <v>7000</v>
      </c>
      <c r="U29" s="10" t="s">
        <v>79</v>
      </c>
      <c r="V29" s="7"/>
      <c r="W29" s="7"/>
      <c r="X29" s="6"/>
      <c r="Y29" s="6"/>
      <c r="Z29" s="8"/>
      <c r="AA29" s="8"/>
      <c r="AB29" s="10"/>
      <c r="AC29" s="10"/>
      <c r="AD29" s="15">
        <f t="shared" si="3"/>
        <v>8000</v>
      </c>
      <c r="AE29" s="11"/>
      <c r="AF29" s="11"/>
      <c r="AG29" s="11"/>
      <c r="AH29" s="16">
        <f t="shared" si="4"/>
        <v>13000</v>
      </c>
    </row>
    <row r="30" spans="1:34" ht="30" x14ac:dyDescent="0.25">
      <c r="A30" s="2">
        <v>29</v>
      </c>
      <c r="B30" s="2"/>
      <c r="C30" s="2" t="s">
        <v>80</v>
      </c>
      <c r="D30" s="2" t="s">
        <v>1611</v>
      </c>
      <c r="E30" s="2" t="s">
        <v>13</v>
      </c>
      <c r="F30" s="2">
        <v>3047177938</v>
      </c>
      <c r="G30" s="3"/>
      <c r="H30" s="3"/>
      <c r="I30" s="3">
        <v>1928</v>
      </c>
      <c r="J30" s="12">
        <f t="shared" si="0"/>
        <v>0</v>
      </c>
      <c r="K30" s="4"/>
      <c r="L30" s="4"/>
      <c r="M30" s="4"/>
      <c r="N30" s="13">
        <f t="shared" si="1"/>
        <v>0</v>
      </c>
      <c r="O30" s="5">
        <v>0</v>
      </c>
      <c r="P30" s="5">
        <v>0</v>
      </c>
      <c r="Q30" s="5"/>
      <c r="R30" s="14">
        <f t="shared" si="2"/>
        <v>0</v>
      </c>
      <c r="S30" s="9">
        <v>18000</v>
      </c>
      <c r="T30" s="10">
        <v>5000</v>
      </c>
      <c r="U30" s="10" t="s">
        <v>1000</v>
      </c>
      <c r="V30" s="7">
        <v>10000</v>
      </c>
      <c r="W30" s="7" t="s">
        <v>1612</v>
      </c>
      <c r="X30" s="6"/>
      <c r="Y30" s="6"/>
      <c r="Z30" s="8"/>
      <c r="AA30" s="8"/>
      <c r="AB30" s="10"/>
      <c r="AC30" s="10"/>
      <c r="AD30" s="15">
        <f t="shared" si="3"/>
        <v>3000</v>
      </c>
      <c r="AE30" s="11"/>
      <c r="AF30" s="11"/>
      <c r="AG30" s="11"/>
      <c r="AH30" s="16">
        <f t="shared" si="4"/>
        <v>3000</v>
      </c>
    </row>
    <row r="31" spans="1:34" ht="30" x14ac:dyDescent="0.25">
      <c r="A31" s="2">
        <v>30</v>
      </c>
      <c r="B31" s="2"/>
      <c r="C31" s="2" t="s">
        <v>81</v>
      </c>
      <c r="D31" s="2" t="s">
        <v>82</v>
      </c>
      <c r="E31" s="2" t="s">
        <v>13</v>
      </c>
      <c r="F31" s="2">
        <v>3089219862</v>
      </c>
      <c r="G31" s="3"/>
      <c r="H31" s="3"/>
      <c r="I31" s="3">
        <v>1929</v>
      </c>
      <c r="J31" s="12">
        <f t="shared" si="0"/>
        <v>0</v>
      </c>
      <c r="K31" s="4"/>
      <c r="L31" s="4"/>
      <c r="M31" s="4"/>
      <c r="N31" s="13">
        <f t="shared" si="1"/>
        <v>0</v>
      </c>
      <c r="O31" s="5">
        <v>5000</v>
      </c>
      <c r="P31" s="5"/>
      <c r="Q31" s="5"/>
      <c r="R31" s="14">
        <f t="shared" si="2"/>
        <v>5000</v>
      </c>
      <c r="S31" s="9">
        <v>0</v>
      </c>
      <c r="T31" s="10">
        <v>0</v>
      </c>
      <c r="U31" s="10">
        <v>0</v>
      </c>
      <c r="V31" s="7"/>
      <c r="W31" s="7"/>
      <c r="X31" s="6"/>
      <c r="Y31" s="6"/>
      <c r="Z31" s="8"/>
      <c r="AA31" s="8"/>
      <c r="AB31" s="10"/>
      <c r="AC31" s="10"/>
      <c r="AD31" s="15">
        <f t="shared" si="3"/>
        <v>0</v>
      </c>
      <c r="AE31" s="11"/>
      <c r="AF31" s="11"/>
      <c r="AG31" s="11"/>
      <c r="AH31" s="16">
        <f t="shared" si="4"/>
        <v>5000</v>
      </c>
    </row>
    <row r="32" spans="1:34" ht="30" x14ac:dyDescent="0.25">
      <c r="A32" s="2">
        <v>31</v>
      </c>
      <c r="B32" s="2"/>
      <c r="C32" s="2" t="s">
        <v>83</v>
      </c>
      <c r="D32" s="2" t="s">
        <v>84</v>
      </c>
      <c r="E32" s="2" t="s">
        <v>13</v>
      </c>
      <c r="F32" s="2">
        <v>3067822738</v>
      </c>
      <c r="G32" s="3"/>
      <c r="H32" s="3"/>
      <c r="I32" s="3">
        <v>722</v>
      </c>
      <c r="J32" s="12">
        <f t="shared" si="0"/>
        <v>0</v>
      </c>
      <c r="K32" s="4"/>
      <c r="L32" s="4"/>
      <c r="M32" s="4"/>
      <c r="N32" s="13">
        <f t="shared" si="1"/>
        <v>0</v>
      </c>
      <c r="O32" s="5">
        <v>0</v>
      </c>
      <c r="P32" s="5"/>
      <c r="Q32" s="5"/>
      <c r="R32" s="14">
        <f t="shared" si="2"/>
        <v>0</v>
      </c>
      <c r="S32" s="9">
        <v>18000</v>
      </c>
      <c r="T32" s="10">
        <v>5000</v>
      </c>
      <c r="U32" s="10" t="s">
        <v>85</v>
      </c>
      <c r="V32" s="7">
        <v>5000</v>
      </c>
      <c r="W32" s="7" t="s">
        <v>1552</v>
      </c>
      <c r="X32" s="6"/>
      <c r="Y32" s="6"/>
      <c r="Z32" s="8"/>
      <c r="AA32" s="8"/>
      <c r="AB32" s="10"/>
      <c r="AC32" s="10"/>
      <c r="AD32" s="15">
        <f t="shared" si="3"/>
        <v>8000</v>
      </c>
      <c r="AE32" s="11"/>
      <c r="AF32" s="11"/>
      <c r="AG32" s="11"/>
      <c r="AH32" s="16">
        <f t="shared" si="4"/>
        <v>8000</v>
      </c>
    </row>
    <row r="33" spans="1:34" ht="30" x14ac:dyDescent="0.25">
      <c r="A33" s="2">
        <v>32</v>
      </c>
      <c r="B33" s="2"/>
      <c r="C33" s="2" t="s">
        <v>86</v>
      </c>
      <c r="D33" s="2" t="s">
        <v>87</v>
      </c>
      <c r="E33" s="2" t="s">
        <v>13</v>
      </c>
      <c r="F33" s="2">
        <v>3039199397</v>
      </c>
      <c r="G33" s="3"/>
      <c r="H33" s="3"/>
      <c r="I33" s="3">
        <v>1925</v>
      </c>
      <c r="J33" s="12">
        <f t="shared" si="0"/>
        <v>0</v>
      </c>
      <c r="K33" s="4"/>
      <c r="L33" s="4"/>
      <c r="M33" s="4"/>
      <c r="N33" s="13">
        <f t="shared" si="1"/>
        <v>0</v>
      </c>
      <c r="O33" s="5"/>
      <c r="P33" s="5"/>
      <c r="Q33" s="5"/>
      <c r="R33" s="14">
        <f t="shared" si="2"/>
        <v>0</v>
      </c>
      <c r="S33" s="9"/>
      <c r="T33" s="10">
        <v>5000</v>
      </c>
      <c r="U33" s="10" t="s">
        <v>88</v>
      </c>
      <c r="V33" s="7"/>
      <c r="W33" s="7"/>
      <c r="X33" s="6"/>
      <c r="Y33" s="6"/>
      <c r="Z33" s="8"/>
      <c r="AA33" s="8"/>
      <c r="AB33" s="10"/>
      <c r="AC33" s="10"/>
      <c r="AD33" s="15">
        <f t="shared" si="3"/>
        <v>-5000</v>
      </c>
      <c r="AE33" s="11"/>
      <c r="AF33" s="11"/>
      <c r="AG33" s="11"/>
      <c r="AH33" s="16">
        <f t="shared" si="4"/>
        <v>-5000</v>
      </c>
    </row>
    <row r="34" spans="1:34" ht="30" x14ac:dyDescent="0.25">
      <c r="A34" s="2">
        <v>33</v>
      </c>
      <c r="B34" s="2"/>
      <c r="C34" s="2" t="s">
        <v>89</v>
      </c>
      <c r="D34" s="2" t="s">
        <v>42</v>
      </c>
      <c r="E34" s="2" t="s">
        <v>13</v>
      </c>
      <c r="F34" s="2">
        <v>3427277139</v>
      </c>
      <c r="G34" s="3"/>
      <c r="H34" s="3"/>
      <c r="I34" s="3">
        <v>1926</v>
      </c>
      <c r="J34" s="12">
        <f t="shared" si="0"/>
        <v>0</v>
      </c>
      <c r="K34" s="4"/>
      <c r="L34" s="4"/>
      <c r="M34" s="4"/>
      <c r="N34" s="13">
        <f t="shared" si="1"/>
        <v>0</v>
      </c>
      <c r="O34" s="5">
        <v>5000</v>
      </c>
      <c r="P34" s="5"/>
      <c r="Q34" s="5"/>
      <c r="R34" s="14">
        <f t="shared" si="2"/>
        <v>5000</v>
      </c>
      <c r="S34" s="9">
        <v>13000</v>
      </c>
      <c r="T34" s="10">
        <v>2000</v>
      </c>
      <c r="U34" s="10" t="s">
        <v>90</v>
      </c>
      <c r="V34" s="7">
        <v>8000</v>
      </c>
      <c r="W34" s="7" t="s">
        <v>1725</v>
      </c>
      <c r="X34" s="6"/>
      <c r="Y34" s="6"/>
      <c r="Z34" s="8"/>
      <c r="AA34" s="8"/>
      <c r="AB34" s="10"/>
      <c r="AC34" s="10"/>
      <c r="AD34" s="15">
        <f t="shared" si="3"/>
        <v>3000</v>
      </c>
      <c r="AE34" s="11"/>
      <c r="AF34" s="11"/>
      <c r="AG34" s="11"/>
      <c r="AH34" s="16">
        <f t="shared" si="4"/>
        <v>8000</v>
      </c>
    </row>
    <row r="35" spans="1:34" ht="30" x14ac:dyDescent="0.25">
      <c r="A35" s="2">
        <v>34</v>
      </c>
      <c r="B35" s="2"/>
      <c r="C35" s="2" t="s">
        <v>91</v>
      </c>
      <c r="D35" s="2" t="s">
        <v>92</v>
      </c>
      <c r="E35" s="2" t="s">
        <v>13</v>
      </c>
      <c r="F35" s="2"/>
      <c r="G35" s="3"/>
      <c r="H35" s="3"/>
      <c r="I35" s="3">
        <v>761</v>
      </c>
      <c r="J35" s="12">
        <f t="shared" si="0"/>
        <v>0</v>
      </c>
      <c r="K35" s="4"/>
      <c r="L35" s="4"/>
      <c r="M35" s="4"/>
      <c r="N35" s="13">
        <f t="shared" si="1"/>
        <v>0</v>
      </c>
      <c r="O35" s="5">
        <v>5000</v>
      </c>
      <c r="P35" s="5"/>
      <c r="Q35" s="5"/>
      <c r="R35" s="14">
        <f t="shared" si="2"/>
        <v>5000</v>
      </c>
      <c r="S35" s="9">
        <v>12000</v>
      </c>
      <c r="T35" s="10">
        <v>3000</v>
      </c>
      <c r="U35" s="10" t="s">
        <v>93</v>
      </c>
      <c r="V35" s="7">
        <v>5000</v>
      </c>
      <c r="W35" s="7" t="s">
        <v>1642</v>
      </c>
      <c r="X35" s="6"/>
      <c r="Y35" s="6"/>
      <c r="Z35" s="8"/>
      <c r="AA35" s="8"/>
      <c r="AB35" s="10"/>
      <c r="AC35" s="10"/>
      <c r="AD35" s="15">
        <f t="shared" si="3"/>
        <v>4000</v>
      </c>
      <c r="AE35" s="11"/>
      <c r="AF35" s="11"/>
      <c r="AG35" s="11"/>
      <c r="AH35" s="16">
        <f t="shared" si="4"/>
        <v>9000</v>
      </c>
    </row>
    <row r="36" spans="1:34" ht="30" x14ac:dyDescent="0.25">
      <c r="A36" s="2">
        <v>35</v>
      </c>
      <c r="B36" s="2"/>
      <c r="C36" s="2" t="s">
        <v>94</v>
      </c>
      <c r="D36" s="2" t="s">
        <v>95</v>
      </c>
      <c r="E36" s="2" t="s">
        <v>13</v>
      </c>
      <c r="F36" s="2">
        <v>3327138202</v>
      </c>
      <c r="G36" s="3"/>
      <c r="H36" s="3"/>
      <c r="I36" s="3">
        <v>244</v>
      </c>
      <c r="J36" s="12">
        <f t="shared" si="0"/>
        <v>0</v>
      </c>
      <c r="K36" s="4"/>
      <c r="L36" s="4"/>
      <c r="M36" s="4"/>
      <c r="N36" s="13">
        <f t="shared" si="1"/>
        <v>0</v>
      </c>
      <c r="O36" s="5">
        <v>5000</v>
      </c>
      <c r="P36" s="5"/>
      <c r="Q36" s="5"/>
      <c r="R36" s="14">
        <f t="shared" si="2"/>
        <v>5000</v>
      </c>
      <c r="S36" s="9">
        <v>13000</v>
      </c>
      <c r="T36" s="10">
        <v>3000</v>
      </c>
      <c r="U36" s="10" t="s">
        <v>96</v>
      </c>
      <c r="V36" s="7"/>
      <c r="W36" s="7"/>
      <c r="X36" s="6"/>
      <c r="Y36" s="6"/>
      <c r="Z36" s="8"/>
      <c r="AA36" s="8"/>
      <c r="AB36" s="10"/>
      <c r="AC36" s="10"/>
      <c r="AD36" s="15">
        <f t="shared" si="3"/>
        <v>10000</v>
      </c>
      <c r="AE36" s="11"/>
      <c r="AF36" s="11"/>
      <c r="AG36" s="11"/>
      <c r="AH36" s="16">
        <f t="shared" si="4"/>
        <v>15000</v>
      </c>
    </row>
    <row r="37" spans="1:34" ht="30" x14ac:dyDescent="0.25">
      <c r="A37" s="2">
        <v>36</v>
      </c>
      <c r="B37" s="2"/>
      <c r="C37" s="2" t="s">
        <v>97</v>
      </c>
      <c r="D37" s="2" t="s">
        <v>98</v>
      </c>
      <c r="E37" s="2" t="s">
        <v>13</v>
      </c>
      <c r="F37" s="2">
        <v>3056579783</v>
      </c>
      <c r="G37" s="3"/>
      <c r="H37" s="3"/>
      <c r="I37" s="3">
        <v>1920</v>
      </c>
      <c r="J37" s="12">
        <f t="shared" si="0"/>
        <v>0</v>
      </c>
      <c r="K37" s="4"/>
      <c r="L37" s="4"/>
      <c r="M37" s="4"/>
      <c r="N37" s="13">
        <f t="shared" si="1"/>
        <v>0</v>
      </c>
      <c r="O37" s="5"/>
      <c r="P37" s="5"/>
      <c r="Q37" s="5"/>
      <c r="R37" s="14">
        <f t="shared" si="2"/>
        <v>0</v>
      </c>
      <c r="S37" s="9"/>
      <c r="T37" s="10">
        <v>5000</v>
      </c>
      <c r="U37" s="10" t="s">
        <v>99</v>
      </c>
      <c r="V37" s="7"/>
      <c r="W37" s="7"/>
      <c r="X37" s="6"/>
      <c r="Y37" s="6"/>
      <c r="Z37" s="8"/>
      <c r="AA37" s="8"/>
      <c r="AB37" s="10"/>
      <c r="AC37" s="10"/>
      <c r="AD37" s="15">
        <f t="shared" si="3"/>
        <v>-5000</v>
      </c>
      <c r="AE37" s="11"/>
      <c r="AF37" s="11"/>
      <c r="AG37" s="11"/>
      <c r="AH37" s="16">
        <f t="shared" si="4"/>
        <v>-5000</v>
      </c>
    </row>
    <row r="38" spans="1:34" ht="30" x14ac:dyDescent="0.25">
      <c r="A38" s="2">
        <v>37</v>
      </c>
      <c r="B38" s="2"/>
      <c r="C38" s="2" t="s">
        <v>100</v>
      </c>
      <c r="D38" s="2" t="s">
        <v>101</v>
      </c>
      <c r="E38" s="2" t="s">
        <v>13</v>
      </c>
      <c r="F38" s="2">
        <v>3437553120</v>
      </c>
      <c r="G38" s="3"/>
      <c r="H38" s="3"/>
      <c r="I38" s="3"/>
      <c r="J38" s="12">
        <f t="shared" si="0"/>
        <v>0</v>
      </c>
      <c r="K38" s="4"/>
      <c r="L38" s="4"/>
      <c r="M38" s="4"/>
      <c r="N38" s="13">
        <f t="shared" si="1"/>
        <v>0</v>
      </c>
      <c r="O38" s="5">
        <v>5000</v>
      </c>
      <c r="P38" s="5"/>
      <c r="Q38" s="5"/>
      <c r="R38" s="14">
        <f t="shared" si="2"/>
        <v>5000</v>
      </c>
      <c r="S38" s="9">
        <v>15000</v>
      </c>
      <c r="T38" s="10">
        <v>3000</v>
      </c>
      <c r="U38" s="10" t="s">
        <v>1592</v>
      </c>
      <c r="V38" s="7"/>
      <c r="W38" s="7"/>
      <c r="X38" s="6"/>
      <c r="Y38" s="6"/>
      <c r="Z38" s="8"/>
      <c r="AA38" s="8"/>
      <c r="AB38" s="10"/>
      <c r="AC38" s="10"/>
      <c r="AD38" s="15">
        <f t="shared" si="3"/>
        <v>12000</v>
      </c>
      <c r="AE38" s="11"/>
      <c r="AF38" s="11"/>
      <c r="AG38" s="11"/>
      <c r="AH38" s="16">
        <f t="shared" si="4"/>
        <v>17000</v>
      </c>
    </row>
    <row r="39" spans="1:34" ht="21" x14ac:dyDescent="0.25">
      <c r="A39" s="2">
        <v>38</v>
      </c>
      <c r="B39" s="2"/>
      <c r="C39" s="2" t="s">
        <v>102</v>
      </c>
      <c r="D39" s="2" t="s">
        <v>103</v>
      </c>
      <c r="E39" s="2" t="s">
        <v>13</v>
      </c>
      <c r="F39" s="2">
        <v>3416441219</v>
      </c>
      <c r="G39" s="3"/>
      <c r="H39" s="3"/>
      <c r="I39" s="3">
        <v>1912</v>
      </c>
      <c r="J39" s="12">
        <f t="shared" si="0"/>
        <v>0</v>
      </c>
      <c r="K39" s="4"/>
      <c r="L39" s="4"/>
      <c r="M39" s="4"/>
      <c r="N39" s="13">
        <f t="shared" si="1"/>
        <v>0</v>
      </c>
      <c r="O39" s="5">
        <v>5000</v>
      </c>
      <c r="P39" s="5"/>
      <c r="Q39" s="5"/>
      <c r="R39" s="14">
        <f t="shared" si="2"/>
        <v>5000</v>
      </c>
      <c r="S39" s="9">
        <v>0</v>
      </c>
      <c r="T39" s="10">
        <v>0</v>
      </c>
      <c r="U39" s="10">
        <v>0</v>
      </c>
      <c r="V39" s="7"/>
      <c r="W39" s="7"/>
      <c r="X39" s="6"/>
      <c r="Y39" s="6"/>
      <c r="Z39" s="8"/>
      <c r="AA39" s="8"/>
      <c r="AB39" s="10"/>
      <c r="AC39" s="10"/>
      <c r="AD39" s="15">
        <f t="shared" si="3"/>
        <v>0</v>
      </c>
      <c r="AE39" s="11"/>
      <c r="AF39" s="11"/>
      <c r="AG39" s="11"/>
      <c r="AH39" s="16">
        <f t="shared" si="4"/>
        <v>5000</v>
      </c>
    </row>
    <row r="40" spans="1:34" ht="30" x14ac:dyDescent="0.25">
      <c r="A40" s="2">
        <v>39</v>
      </c>
      <c r="B40" s="2"/>
      <c r="C40" s="2" t="s">
        <v>104</v>
      </c>
      <c r="D40" s="2" t="s">
        <v>105</v>
      </c>
      <c r="E40" s="2" t="s">
        <v>13</v>
      </c>
      <c r="F40" s="2">
        <v>3022116301</v>
      </c>
      <c r="G40" s="3"/>
      <c r="H40" s="3"/>
      <c r="I40" s="3">
        <v>741</v>
      </c>
      <c r="J40" s="12">
        <f t="shared" si="0"/>
        <v>0</v>
      </c>
      <c r="K40" s="4"/>
      <c r="L40" s="4"/>
      <c r="M40" s="4"/>
      <c r="N40" s="13">
        <f t="shared" si="1"/>
        <v>0</v>
      </c>
      <c r="O40" s="5">
        <v>0</v>
      </c>
      <c r="P40" s="5"/>
      <c r="Q40" s="5"/>
      <c r="R40" s="14">
        <f t="shared" si="2"/>
        <v>0</v>
      </c>
      <c r="S40" s="9">
        <v>24000</v>
      </c>
      <c r="T40" s="10">
        <v>2000</v>
      </c>
      <c r="U40" s="10" t="s">
        <v>106</v>
      </c>
      <c r="V40" s="7">
        <v>2000</v>
      </c>
      <c r="W40" s="7" t="s">
        <v>1466</v>
      </c>
      <c r="X40" s="6"/>
      <c r="Y40" s="6"/>
      <c r="Z40" s="8"/>
      <c r="AA40" s="8"/>
      <c r="AB40" s="10"/>
      <c r="AC40" s="10"/>
      <c r="AD40" s="15">
        <f t="shared" si="3"/>
        <v>20000</v>
      </c>
      <c r="AE40" s="11"/>
      <c r="AF40" s="11"/>
      <c r="AG40" s="11"/>
      <c r="AH40" s="16">
        <f t="shared" si="4"/>
        <v>20000</v>
      </c>
    </row>
    <row r="41" spans="1:34" ht="30" x14ac:dyDescent="0.25">
      <c r="A41" s="2">
        <v>40</v>
      </c>
      <c r="B41" s="2"/>
      <c r="C41" s="2" t="s">
        <v>107</v>
      </c>
      <c r="D41" s="2" t="s">
        <v>108</v>
      </c>
      <c r="E41" s="2" t="s">
        <v>13</v>
      </c>
      <c r="F41" s="2">
        <v>3463677930</v>
      </c>
      <c r="G41" s="3"/>
      <c r="H41" s="3"/>
      <c r="I41" s="3">
        <v>763</v>
      </c>
      <c r="J41" s="12">
        <f t="shared" si="0"/>
        <v>0</v>
      </c>
      <c r="K41" s="4"/>
      <c r="L41" s="4"/>
      <c r="M41" s="4"/>
      <c r="N41" s="13">
        <f t="shared" si="1"/>
        <v>0</v>
      </c>
      <c r="O41" s="5">
        <v>0</v>
      </c>
      <c r="P41" s="5"/>
      <c r="Q41" s="5"/>
      <c r="R41" s="14">
        <f t="shared" si="2"/>
        <v>0</v>
      </c>
      <c r="S41" s="9">
        <v>15000</v>
      </c>
      <c r="T41" s="10">
        <v>5000</v>
      </c>
      <c r="U41" s="10" t="s">
        <v>1010</v>
      </c>
      <c r="V41" s="7"/>
      <c r="W41" s="7"/>
      <c r="X41" s="6"/>
      <c r="Y41" s="6"/>
      <c r="Z41" s="8"/>
      <c r="AA41" s="8"/>
      <c r="AB41" s="10"/>
      <c r="AC41" s="10"/>
      <c r="AD41" s="15">
        <f t="shared" si="3"/>
        <v>10000</v>
      </c>
      <c r="AE41" s="11"/>
      <c r="AF41" s="11"/>
      <c r="AG41" s="11"/>
      <c r="AH41" s="16">
        <f t="shared" si="4"/>
        <v>10000</v>
      </c>
    </row>
    <row r="42" spans="1:34" ht="30" x14ac:dyDescent="0.25">
      <c r="A42" s="2">
        <v>41</v>
      </c>
      <c r="B42" s="2"/>
      <c r="C42" s="2" t="s">
        <v>109</v>
      </c>
      <c r="D42" s="2" t="s">
        <v>1273</v>
      </c>
      <c r="E42" s="2" t="s">
        <v>13</v>
      </c>
      <c r="F42" s="2">
        <v>3176522544</v>
      </c>
      <c r="G42" s="3"/>
      <c r="H42" s="3"/>
      <c r="I42" s="3"/>
      <c r="J42" s="12">
        <f t="shared" si="0"/>
        <v>0</v>
      </c>
      <c r="K42" s="4"/>
      <c r="L42" s="4"/>
      <c r="M42" s="4"/>
      <c r="N42" s="13">
        <f t="shared" si="1"/>
        <v>0</v>
      </c>
      <c r="O42" s="5">
        <v>5000</v>
      </c>
      <c r="P42" s="5"/>
      <c r="Q42" s="5"/>
      <c r="R42" s="14">
        <f t="shared" si="2"/>
        <v>5000</v>
      </c>
      <c r="S42" s="9">
        <v>13000</v>
      </c>
      <c r="T42" s="10">
        <v>3000</v>
      </c>
      <c r="U42" s="10" t="s">
        <v>1274</v>
      </c>
      <c r="V42" s="7">
        <v>3000</v>
      </c>
      <c r="W42" s="7" t="s">
        <v>1643</v>
      </c>
      <c r="X42" s="6"/>
      <c r="Y42" s="6"/>
      <c r="Z42" s="8"/>
      <c r="AA42" s="8"/>
      <c r="AB42" s="10"/>
      <c r="AC42" s="10"/>
      <c r="AD42" s="15">
        <f t="shared" si="3"/>
        <v>7000</v>
      </c>
      <c r="AE42" s="11"/>
      <c r="AF42" s="11"/>
      <c r="AG42" s="11"/>
      <c r="AH42" s="16">
        <f t="shared" si="4"/>
        <v>12000</v>
      </c>
    </row>
    <row r="43" spans="1:34" ht="30" x14ac:dyDescent="0.25">
      <c r="A43" s="2">
        <v>42</v>
      </c>
      <c r="B43" s="2"/>
      <c r="C43" s="2" t="s">
        <v>110</v>
      </c>
      <c r="D43" s="2" t="s">
        <v>111</v>
      </c>
      <c r="E43" s="2" t="s">
        <v>13</v>
      </c>
      <c r="F43" s="2">
        <v>3004682573</v>
      </c>
      <c r="G43" s="3"/>
      <c r="H43" s="3"/>
      <c r="I43" s="3"/>
      <c r="J43" s="12">
        <f t="shared" si="0"/>
        <v>0</v>
      </c>
      <c r="K43" s="4"/>
      <c r="L43" s="4"/>
      <c r="M43" s="4"/>
      <c r="N43" s="13">
        <f t="shared" si="1"/>
        <v>0</v>
      </c>
      <c r="O43" s="5">
        <v>5000</v>
      </c>
      <c r="P43" s="5">
        <v>5000</v>
      </c>
      <c r="Q43" s="5" t="s">
        <v>1765</v>
      </c>
      <c r="R43" s="14">
        <f t="shared" si="2"/>
        <v>0</v>
      </c>
      <c r="S43" s="9">
        <v>15000</v>
      </c>
      <c r="T43" s="10">
        <v>5000</v>
      </c>
      <c r="U43" s="10" t="s">
        <v>1169</v>
      </c>
      <c r="V43" s="7">
        <v>5000</v>
      </c>
      <c r="W43" s="7" t="s">
        <v>1235</v>
      </c>
      <c r="X43" s="6"/>
      <c r="Y43" s="6"/>
      <c r="Z43" s="8"/>
      <c r="AA43" s="8"/>
      <c r="AB43" s="10"/>
      <c r="AC43" s="10"/>
      <c r="AD43" s="15">
        <f t="shared" si="3"/>
        <v>5000</v>
      </c>
      <c r="AE43" s="11"/>
      <c r="AF43" s="11"/>
      <c r="AG43" s="11"/>
      <c r="AH43" s="16">
        <f t="shared" si="4"/>
        <v>5000</v>
      </c>
    </row>
    <row r="44" spans="1:34" ht="30" x14ac:dyDescent="0.25">
      <c r="A44" s="2">
        <v>43</v>
      </c>
      <c r="B44" s="2"/>
      <c r="C44" s="2" t="s">
        <v>112</v>
      </c>
      <c r="D44" s="2" t="s">
        <v>113</v>
      </c>
      <c r="E44" s="2" t="s">
        <v>13</v>
      </c>
      <c r="F44" s="2">
        <v>3447379121</v>
      </c>
      <c r="G44" s="3"/>
      <c r="H44" s="3"/>
      <c r="I44" s="3">
        <v>1938</v>
      </c>
      <c r="J44" s="12">
        <f t="shared" si="0"/>
        <v>0</v>
      </c>
      <c r="K44" s="4"/>
      <c r="L44" s="4"/>
      <c r="M44" s="4"/>
      <c r="N44" s="13">
        <f t="shared" si="1"/>
        <v>0</v>
      </c>
      <c r="O44" s="5">
        <v>5000</v>
      </c>
      <c r="P44" s="5"/>
      <c r="Q44" s="5"/>
      <c r="R44" s="14">
        <f t="shared" si="2"/>
        <v>5000</v>
      </c>
      <c r="S44" s="9">
        <v>15000</v>
      </c>
      <c r="T44" s="10">
        <v>5000</v>
      </c>
      <c r="U44" s="10" t="s">
        <v>1240</v>
      </c>
      <c r="V44" s="7">
        <v>5000</v>
      </c>
      <c r="W44" s="7" t="s">
        <v>1509</v>
      </c>
      <c r="X44" s="6"/>
      <c r="Y44" s="6"/>
      <c r="Z44" s="8"/>
      <c r="AA44" s="8"/>
      <c r="AB44" s="10"/>
      <c r="AC44" s="10"/>
      <c r="AD44" s="15">
        <f t="shared" si="3"/>
        <v>5000</v>
      </c>
      <c r="AE44" s="11"/>
      <c r="AF44" s="11"/>
      <c r="AG44" s="11"/>
      <c r="AH44" s="16">
        <f t="shared" si="4"/>
        <v>10000</v>
      </c>
    </row>
    <row r="45" spans="1:34" ht="30" x14ac:dyDescent="0.25">
      <c r="A45" s="2">
        <v>44</v>
      </c>
      <c r="B45" s="2"/>
      <c r="C45" s="2" t="s">
        <v>114</v>
      </c>
      <c r="D45" s="2" t="s">
        <v>119</v>
      </c>
      <c r="E45" s="2" t="s">
        <v>13</v>
      </c>
      <c r="F45" s="2">
        <v>3006894066</v>
      </c>
      <c r="G45" s="3"/>
      <c r="H45" s="3"/>
      <c r="I45" s="3">
        <v>1953</v>
      </c>
      <c r="J45" s="12">
        <f t="shared" si="0"/>
        <v>0</v>
      </c>
      <c r="K45" s="4"/>
      <c r="L45" s="4"/>
      <c r="M45" s="4"/>
      <c r="N45" s="13">
        <f t="shared" si="1"/>
        <v>0</v>
      </c>
      <c r="O45" s="5">
        <v>5000</v>
      </c>
      <c r="P45" s="5"/>
      <c r="Q45" s="5"/>
      <c r="R45" s="14">
        <f t="shared" si="2"/>
        <v>5000</v>
      </c>
      <c r="S45" s="9">
        <v>15000</v>
      </c>
      <c r="T45" s="10">
        <v>5000</v>
      </c>
      <c r="U45" s="10" t="s">
        <v>1293</v>
      </c>
      <c r="V45" s="7"/>
      <c r="W45" s="7"/>
      <c r="X45" s="6"/>
      <c r="Y45" s="6"/>
      <c r="Z45" s="8"/>
      <c r="AA45" s="8"/>
      <c r="AB45" s="10"/>
      <c r="AC45" s="10"/>
      <c r="AD45" s="15">
        <f t="shared" si="3"/>
        <v>10000</v>
      </c>
      <c r="AE45" s="11"/>
      <c r="AF45" s="11"/>
      <c r="AG45" s="11"/>
      <c r="AH45" s="16">
        <f t="shared" si="4"/>
        <v>15000</v>
      </c>
    </row>
    <row r="46" spans="1:34" ht="30" x14ac:dyDescent="0.25">
      <c r="A46" s="2">
        <v>45</v>
      </c>
      <c r="B46" s="2"/>
      <c r="C46" s="2" t="s">
        <v>115</v>
      </c>
      <c r="D46" s="2" t="s">
        <v>118</v>
      </c>
      <c r="E46" s="2" t="s">
        <v>13</v>
      </c>
      <c r="F46" s="2">
        <v>3012711901</v>
      </c>
      <c r="G46" s="3"/>
      <c r="H46" s="3"/>
      <c r="I46" s="3">
        <v>1934</v>
      </c>
      <c r="J46" s="12">
        <f t="shared" si="0"/>
        <v>0</v>
      </c>
      <c r="K46" s="4"/>
      <c r="L46" s="4"/>
      <c r="M46" s="4"/>
      <c r="N46" s="13">
        <f t="shared" si="1"/>
        <v>0</v>
      </c>
      <c r="O46" s="5">
        <v>5000</v>
      </c>
      <c r="P46" s="5"/>
      <c r="Q46" s="5"/>
      <c r="R46" s="14">
        <f t="shared" si="2"/>
        <v>5000</v>
      </c>
      <c r="S46" s="9">
        <v>15000</v>
      </c>
      <c r="T46" s="10">
        <v>15000</v>
      </c>
      <c r="U46" s="10" t="s">
        <v>1319</v>
      </c>
      <c r="V46" s="7"/>
      <c r="W46" s="7"/>
      <c r="X46" s="6"/>
      <c r="Y46" s="6"/>
      <c r="Z46" s="8"/>
      <c r="AA46" s="8"/>
      <c r="AB46" s="10"/>
      <c r="AC46" s="10"/>
      <c r="AD46" s="15">
        <f t="shared" si="3"/>
        <v>0</v>
      </c>
      <c r="AE46" s="11"/>
      <c r="AF46" s="11"/>
      <c r="AG46" s="11"/>
      <c r="AH46" s="16">
        <f t="shared" si="4"/>
        <v>5000</v>
      </c>
    </row>
    <row r="47" spans="1:34" ht="30" x14ac:dyDescent="0.25">
      <c r="A47" s="2">
        <v>46</v>
      </c>
      <c r="B47" s="2"/>
      <c r="C47" s="2" t="s">
        <v>116</v>
      </c>
      <c r="D47" s="2" t="s">
        <v>204</v>
      </c>
      <c r="E47" s="2" t="s">
        <v>13</v>
      </c>
      <c r="F47" s="2">
        <v>3312211147</v>
      </c>
      <c r="G47" s="3"/>
      <c r="H47" s="3"/>
      <c r="I47" s="3"/>
      <c r="J47" s="12">
        <f t="shared" si="0"/>
        <v>0</v>
      </c>
      <c r="K47" s="4"/>
      <c r="L47" s="4"/>
      <c r="M47" s="4"/>
      <c r="N47" s="13">
        <f t="shared" si="1"/>
        <v>0</v>
      </c>
      <c r="O47" s="5">
        <v>10000</v>
      </c>
      <c r="P47" s="5"/>
      <c r="Q47" s="5"/>
      <c r="R47" s="14">
        <f t="shared" si="2"/>
        <v>10000</v>
      </c>
      <c r="S47" s="9">
        <v>0</v>
      </c>
      <c r="T47" s="10">
        <v>0</v>
      </c>
      <c r="U47" s="10">
        <v>0</v>
      </c>
      <c r="V47" s="7">
        <v>0</v>
      </c>
      <c r="W47" s="7">
        <v>0</v>
      </c>
      <c r="X47" s="6"/>
      <c r="Y47" s="6"/>
      <c r="Z47" s="8"/>
      <c r="AA47" s="8"/>
      <c r="AB47" s="10"/>
      <c r="AC47" s="10"/>
      <c r="AD47" s="15">
        <f t="shared" si="3"/>
        <v>0</v>
      </c>
      <c r="AE47" s="11"/>
      <c r="AF47" s="11"/>
      <c r="AG47" s="11"/>
      <c r="AH47" s="16">
        <f t="shared" si="4"/>
        <v>10000</v>
      </c>
    </row>
    <row r="48" spans="1:34" ht="30" x14ac:dyDescent="0.25">
      <c r="A48" s="2">
        <v>47</v>
      </c>
      <c r="B48" s="2"/>
      <c r="C48" s="2" t="s">
        <v>117</v>
      </c>
      <c r="D48" s="2" t="s">
        <v>137</v>
      </c>
      <c r="E48" s="2" t="s">
        <v>13</v>
      </c>
      <c r="F48" s="2"/>
      <c r="G48" s="3"/>
      <c r="H48" s="3"/>
      <c r="I48" s="3">
        <v>1953</v>
      </c>
      <c r="J48" s="12">
        <f t="shared" si="0"/>
        <v>0</v>
      </c>
      <c r="K48" s="4"/>
      <c r="L48" s="4"/>
      <c r="M48" s="4"/>
      <c r="N48" s="13">
        <f t="shared" si="1"/>
        <v>0</v>
      </c>
      <c r="O48" s="5"/>
      <c r="P48" s="5"/>
      <c r="Q48" s="5"/>
      <c r="R48" s="14">
        <f t="shared" si="2"/>
        <v>0</v>
      </c>
      <c r="S48" s="9"/>
      <c r="T48" s="10">
        <v>13000</v>
      </c>
      <c r="U48" s="10" t="s">
        <v>1609</v>
      </c>
      <c r="V48" s="7"/>
      <c r="W48" s="7"/>
      <c r="X48" s="6"/>
      <c r="Y48" s="6"/>
      <c r="Z48" s="8"/>
      <c r="AA48" s="8"/>
      <c r="AB48" s="10"/>
      <c r="AC48" s="10"/>
      <c r="AD48" s="15">
        <f t="shared" si="3"/>
        <v>-13000</v>
      </c>
      <c r="AE48" s="11"/>
      <c r="AF48" s="11"/>
      <c r="AG48" s="11"/>
      <c r="AH48" s="16">
        <f t="shared" si="4"/>
        <v>-13000</v>
      </c>
    </row>
    <row r="49" spans="1:34" ht="30" x14ac:dyDescent="0.25">
      <c r="A49" s="2">
        <v>48</v>
      </c>
      <c r="B49" s="2"/>
      <c r="C49" s="2" t="s">
        <v>120</v>
      </c>
      <c r="D49" s="2" t="s">
        <v>87</v>
      </c>
      <c r="E49" s="2" t="s">
        <v>121</v>
      </c>
      <c r="F49" s="2">
        <v>3004388133</v>
      </c>
      <c r="G49" s="3"/>
      <c r="H49" s="3"/>
      <c r="I49" s="3"/>
      <c r="J49" s="12">
        <f t="shared" si="0"/>
        <v>0</v>
      </c>
      <c r="K49" s="4"/>
      <c r="L49" s="4"/>
      <c r="M49" s="4"/>
      <c r="N49" s="13">
        <f t="shared" si="1"/>
        <v>0</v>
      </c>
      <c r="O49" s="5"/>
      <c r="P49" s="5"/>
      <c r="Q49" s="5"/>
      <c r="R49" s="14">
        <f t="shared" si="2"/>
        <v>0</v>
      </c>
      <c r="S49" s="9">
        <v>12000</v>
      </c>
      <c r="T49" s="10">
        <v>5000</v>
      </c>
      <c r="U49" s="10" t="s">
        <v>122</v>
      </c>
      <c r="V49" s="7">
        <v>7000</v>
      </c>
      <c r="W49" s="7" t="s">
        <v>1808</v>
      </c>
      <c r="X49" s="6"/>
      <c r="Y49" s="6"/>
      <c r="Z49" s="8"/>
      <c r="AA49" s="8"/>
      <c r="AB49" s="10"/>
      <c r="AC49" s="10"/>
      <c r="AD49" s="15">
        <f t="shared" si="3"/>
        <v>0</v>
      </c>
      <c r="AE49" s="11"/>
      <c r="AF49" s="11"/>
      <c r="AG49" s="11"/>
      <c r="AH49" s="16">
        <f t="shared" si="4"/>
        <v>0</v>
      </c>
    </row>
    <row r="50" spans="1:34" ht="45" x14ac:dyDescent="0.25">
      <c r="A50" s="2">
        <v>49</v>
      </c>
      <c r="B50" s="2"/>
      <c r="C50" s="2" t="s">
        <v>123</v>
      </c>
      <c r="D50" s="2" t="s">
        <v>124</v>
      </c>
      <c r="E50" s="2" t="s">
        <v>121</v>
      </c>
      <c r="F50" s="2">
        <v>3077893526</v>
      </c>
      <c r="G50" s="3"/>
      <c r="H50" s="3"/>
      <c r="I50" s="3"/>
      <c r="J50" s="12">
        <f t="shared" si="0"/>
        <v>0</v>
      </c>
      <c r="K50" s="4"/>
      <c r="L50" s="4"/>
      <c r="M50" s="4"/>
      <c r="N50" s="13">
        <f t="shared" si="1"/>
        <v>0</v>
      </c>
      <c r="O50" s="5"/>
      <c r="P50" s="5"/>
      <c r="Q50" s="5"/>
      <c r="R50" s="14">
        <f t="shared" si="2"/>
        <v>0</v>
      </c>
      <c r="S50" s="9"/>
      <c r="T50" s="10">
        <v>2000</v>
      </c>
      <c r="U50" s="10" t="s">
        <v>125</v>
      </c>
      <c r="V50" s="7">
        <v>3000</v>
      </c>
      <c r="W50" s="7" t="s">
        <v>126</v>
      </c>
      <c r="X50" s="6">
        <v>5000</v>
      </c>
      <c r="Y50" s="6" t="s">
        <v>1533</v>
      </c>
      <c r="Z50" s="8"/>
      <c r="AA50" s="8"/>
      <c r="AB50" s="10"/>
      <c r="AC50" s="10"/>
      <c r="AD50" s="15">
        <f t="shared" si="3"/>
        <v>-10000</v>
      </c>
      <c r="AE50" s="11"/>
      <c r="AF50" s="11"/>
      <c r="AG50" s="11"/>
      <c r="AH50" s="16">
        <f t="shared" si="4"/>
        <v>-10000</v>
      </c>
    </row>
    <row r="51" spans="1:34" ht="30" x14ac:dyDescent="0.25">
      <c r="A51" s="2">
        <v>50</v>
      </c>
      <c r="B51" s="2"/>
      <c r="C51" s="2" t="s">
        <v>127</v>
      </c>
      <c r="D51" s="2" t="s">
        <v>87</v>
      </c>
      <c r="E51" s="2" t="s">
        <v>121</v>
      </c>
      <c r="F51" s="2">
        <v>3067412977</v>
      </c>
      <c r="G51" s="3"/>
      <c r="H51" s="3"/>
      <c r="I51" s="3"/>
      <c r="J51" s="12">
        <f t="shared" si="0"/>
        <v>0</v>
      </c>
      <c r="K51" s="4"/>
      <c r="L51" s="4"/>
      <c r="M51" s="4"/>
      <c r="N51" s="13">
        <f t="shared" si="1"/>
        <v>0</v>
      </c>
      <c r="O51" s="5">
        <v>5000</v>
      </c>
      <c r="P51" s="5"/>
      <c r="Q51" s="5"/>
      <c r="R51" s="14">
        <f t="shared" si="2"/>
        <v>5000</v>
      </c>
      <c r="S51" s="9">
        <v>20000</v>
      </c>
      <c r="T51" s="10">
        <v>4000</v>
      </c>
      <c r="U51" s="10" t="s">
        <v>128</v>
      </c>
      <c r="V51" s="7">
        <v>5000</v>
      </c>
      <c r="W51" s="7" t="s">
        <v>1447</v>
      </c>
      <c r="X51" s="6"/>
      <c r="Y51" s="6"/>
      <c r="Z51" s="8"/>
      <c r="AA51" s="8"/>
      <c r="AB51" s="10"/>
      <c r="AC51" s="10"/>
      <c r="AD51" s="15">
        <f t="shared" si="3"/>
        <v>11000</v>
      </c>
      <c r="AE51" s="11"/>
      <c r="AF51" s="11"/>
      <c r="AG51" s="11"/>
      <c r="AH51" s="16">
        <f t="shared" si="4"/>
        <v>16000</v>
      </c>
    </row>
    <row r="52" spans="1:34" ht="30" x14ac:dyDescent="0.25">
      <c r="A52" s="2">
        <v>51</v>
      </c>
      <c r="B52" s="2"/>
      <c r="C52" s="2" t="s">
        <v>129</v>
      </c>
      <c r="D52" s="2" t="s">
        <v>130</v>
      </c>
      <c r="E52" s="2" t="s">
        <v>121</v>
      </c>
      <c r="F52" s="2">
        <v>3025087161</v>
      </c>
      <c r="G52" s="3"/>
      <c r="H52" s="3"/>
      <c r="I52" s="3"/>
      <c r="J52" s="12">
        <f t="shared" si="0"/>
        <v>0</v>
      </c>
      <c r="K52" s="4"/>
      <c r="L52" s="4"/>
      <c r="M52" s="4"/>
      <c r="N52" s="13">
        <f t="shared" si="1"/>
        <v>0</v>
      </c>
      <c r="O52" s="5">
        <v>5000</v>
      </c>
      <c r="P52" s="5"/>
      <c r="Q52" s="5"/>
      <c r="R52" s="14">
        <f t="shared" si="2"/>
        <v>5000</v>
      </c>
      <c r="S52" s="9">
        <v>10000</v>
      </c>
      <c r="T52" s="10">
        <v>2000</v>
      </c>
      <c r="U52" s="10" t="s">
        <v>131</v>
      </c>
      <c r="V52" s="7">
        <v>3000</v>
      </c>
      <c r="W52" s="7" t="s">
        <v>1654</v>
      </c>
      <c r="X52" s="6"/>
      <c r="Y52" s="6"/>
      <c r="Z52" s="8"/>
      <c r="AA52" s="8"/>
      <c r="AB52" s="10"/>
      <c r="AC52" s="10"/>
      <c r="AD52" s="15">
        <f t="shared" si="3"/>
        <v>5000</v>
      </c>
      <c r="AE52" s="11"/>
      <c r="AF52" s="11"/>
      <c r="AG52" s="11"/>
      <c r="AH52" s="16">
        <f t="shared" si="4"/>
        <v>10000</v>
      </c>
    </row>
    <row r="53" spans="1:34" ht="30" x14ac:dyDescent="0.25">
      <c r="A53" s="2">
        <v>52</v>
      </c>
      <c r="B53" s="2"/>
      <c r="C53" s="2" t="s">
        <v>132</v>
      </c>
      <c r="D53" s="2" t="s">
        <v>71</v>
      </c>
      <c r="E53" s="2" t="s">
        <v>121</v>
      </c>
      <c r="F53" s="2">
        <v>3070075769</v>
      </c>
      <c r="G53" s="3"/>
      <c r="H53" s="3"/>
      <c r="I53" s="3"/>
      <c r="J53" s="12">
        <f t="shared" si="0"/>
        <v>0</v>
      </c>
      <c r="K53" s="4"/>
      <c r="L53" s="4"/>
      <c r="M53" s="4"/>
      <c r="N53" s="13">
        <f t="shared" si="1"/>
        <v>0</v>
      </c>
      <c r="O53" s="5">
        <v>0</v>
      </c>
      <c r="P53" s="5"/>
      <c r="Q53" s="5"/>
      <c r="R53" s="14">
        <f t="shared" si="2"/>
        <v>0</v>
      </c>
      <c r="S53" s="9">
        <v>25000</v>
      </c>
      <c r="T53" s="10">
        <v>5000</v>
      </c>
      <c r="U53" s="10" t="s">
        <v>133</v>
      </c>
      <c r="V53" s="7">
        <v>5000</v>
      </c>
      <c r="W53" s="7" t="s">
        <v>1628</v>
      </c>
      <c r="X53" s="6"/>
      <c r="Y53" s="6"/>
      <c r="Z53" s="8"/>
      <c r="AA53" s="8"/>
      <c r="AB53" s="10"/>
      <c r="AC53" s="10"/>
      <c r="AD53" s="15">
        <f t="shared" si="3"/>
        <v>15000</v>
      </c>
      <c r="AE53" s="11"/>
      <c r="AF53" s="11"/>
      <c r="AG53" s="11"/>
      <c r="AH53" s="16">
        <f t="shared" si="4"/>
        <v>15000</v>
      </c>
    </row>
    <row r="54" spans="1:34" ht="30" x14ac:dyDescent="0.25">
      <c r="A54" s="2">
        <v>53</v>
      </c>
      <c r="B54" s="2"/>
      <c r="C54" s="2" t="s">
        <v>134</v>
      </c>
      <c r="D54" s="2" t="s">
        <v>135</v>
      </c>
      <c r="E54" s="2" t="s">
        <v>121</v>
      </c>
      <c r="F54" s="2">
        <v>3008391372</v>
      </c>
      <c r="G54" s="3"/>
      <c r="H54" s="3"/>
      <c r="I54" s="3"/>
      <c r="J54" s="12">
        <f t="shared" si="0"/>
        <v>0</v>
      </c>
      <c r="K54" s="4"/>
      <c r="L54" s="4"/>
      <c r="M54" s="4"/>
      <c r="N54" s="13">
        <f t="shared" si="1"/>
        <v>0</v>
      </c>
      <c r="O54" s="5">
        <v>5000</v>
      </c>
      <c r="P54" s="5">
        <v>5000</v>
      </c>
      <c r="Q54" s="5" t="s">
        <v>1751</v>
      </c>
      <c r="R54" s="14">
        <f t="shared" si="2"/>
        <v>0</v>
      </c>
      <c r="S54" s="9">
        <v>13000</v>
      </c>
      <c r="T54" s="10">
        <v>5000</v>
      </c>
      <c r="U54" s="10" t="s">
        <v>1551</v>
      </c>
      <c r="V54" s="7"/>
      <c r="W54" s="7"/>
      <c r="X54" s="6"/>
      <c r="Y54" s="6"/>
      <c r="Z54" s="8"/>
      <c r="AA54" s="8"/>
      <c r="AB54" s="10"/>
      <c r="AC54" s="10"/>
      <c r="AD54" s="15">
        <f t="shared" si="3"/>
        <v>8000</v>
      </c>
      <c r="AE54" s="11"/>
      <c r="AF54" s="11"/>
      <c r="AG54" s="11"/>
      <c r="AH54" s="16">
        <f t="shared" si="4"/>
        <v>8000</v>
      </c>
    </row>
    <row r="55" spans="1:34" ht="30" x14ac:dyDescent="0.25">
      <c r="A55" s="2">
        <v>54</v>
      </c>
      <c r="B55" s="2"/>
      <c r="C55" s="2" t="s">
        <v>136</v>
      </c>
      <c r="D55" s="2" t="s">
        <v>137</v>
      </c>
      <c r="E55" s="2" t="s">
        <v>121</v>
      </c>
      <c r="F55" s="2">
        <v>3327375300</v>
      </c>
      <c r="G55" s="3"/>
      <c r="H55" s="3"/>
      <c r="I55" s="3"/>
      <c r="J55" s="12">
        <f t="shared" si="0"/>
        <v>0</v>
      </c>
      <c r="K55" s="4"/>
      <c r="L55" s="4"/>
      <c r="M55" s="4"/>
      <c r="N55" s="13">
        <f t="shared" si="1"/>
        <v>0</v>
      </c>
      <c r="O55" s="5">
        <v>5000</v>
      </c>
      <c r="P55" s="5">
        <v>5000</v>
      </c>
      <c r="Q55" s="5" t="s">
        <v>205</v>
      </c>
      <c r="R55" s="14">
        <f t="shared" si="2"/>
        <v>0</v>
      </c>
      <c r="S55" s="9">
        <v>15000</v>
      </c>
      <c r="T55" s="10">
        <v>5000</v>
      </c>
      <c r="U55" s="10" t="s">
        <v>138</v>
      </c>
      <c r="V55" s="7"/>
      <c r="W55" s="7"/>
      <c r="X55" s="6"/>
      <c r="Y55" s="6"/>
      <c r="Z55" s="8"/>
      <c r="AA55" s="8"/>
      <c r="AB55" s="10"/>
      <c r="AC55" s="10"/>
      <c r="AD55" s="15">
        <f t="shared" si="3"/>
        <v>10000</v>
      </c>
      <c r="AE55" s="11"/>
      <c r="AF55" s="11"/>
      <c r="AG55" s="11"/>
      <c r="AH55" s="16">
        <f t="shared" si="4"/>
        <v>10000</v>
      </c>
    </row>
    <row r="56" spans="1:34" ht="30" x14ac:dyDescent="0.25">
      <c r="A56" s="2">
        <v>55</v>
      </c>
      <c r="B56" s="2"/>
      <c r="C56" s="2" t="s">
        <v>139</v>
      </c>
      <c r="D56" s="2" t="s">
        <v>140</v>
      </c>
      <c r="E56" s="2" t="s">
        <v>121</v>
      </c>
      <c r="F56" s="2">
        <v>3068210836</v>
      </c>
      <c r="G56" s="3"/>
      <c r="H56" s="3"/>
      <c r="I56" s="3"/>
      <c r="J56" s="12">
        <f t="shared" si="0"/>
        <v>0</v>
      </c>
      <c r="K56" s="4"/>
      <c r="L56" s="4"/>
      <c r="M56" s="4"/>
      <c r="N56" s="13">
        <f t="shared" si="1"/>
        <v>0</v>
      </c>
      <c r="O56" s="5"/>
      <c r="P56" s="5"/>
      <c r="Q56" s="5"/>
      <c r="R56" s="14">
        <f t="shared" si="2"/>
        <v>0</v>
      </c>
      <c r="S56" s="9"/>
      <c r="T56" s="10"/>
      <c r="U56" s="10"/>
      <c r="V56" s="7"/>
      <c r="W56" s="7"/>
      <c r="X56" s="6"/>
      <c r="Y56" s="6"/>
      <c r="Z56" s="8"/>
      <c r="AA56" s="8"/>
      <c r="AB56" s="10"/>
      <c r="AC56" s="10"/>
      <c r="AD56" s="15">
        <f t="shared" si="3"/>
        <v>0</v>
      </c>
      <c r="AE56" s="11"/>
      <c r="AF56" s="11"/>
      <c r="AG56" s="11"/>
      <c r="AH56" s="16">
        <f t="shared" si="4"/>
        <v>0</v>
      </c>
    </row>
    <row r="57" spans="1:34" ht="30" x14ac:dyDescent="0.25">
      <c r="A57" s="2">
        <v>56</v>
      </c>
      <c r="B57" s="2"/>
      <c r="C57" s="2" t="s">
        <v>141</v>
      </c>
      <c r="D57" s="2" t="s">
        <v>142</v>
      </c>
      <c r="E57" s="2" t="s">
        <v>121</v>
      </c>
      <c r="F57" s="2">
        <v>3006339545</v>
      </c>
      <c r="G57" s="3"/>
      <c r="H57" s="3"/>
      <c r="I57" s="3"/>
      <c r="J57" s="12">
        <f t="shared" si="0"/>
        <v>0</v>
      </c>
      <c r="K57" s="4"/>
      <c r="L57" s="4"/>
      <c r="M57" s="4"/>
      <c r="N57" s="13">
        <f t="shared" si="1"/>
        <v>0</v>
      </c>
      <c r="O57" s="5"/>
      <c r="P57" s="5"/>
      <c r="Q57" s="5"/>
      <c r="R57" s="14">
        <f t="shared" si="2"/>
        <v>0</v>
      </c>
      <c r="S57" s="9"/>
      <c r="T57" s="10">
        <v>5000</v>
      </c>
      <c r="U57" s="10" t="s">
        <v>143</v>
      </c>
      <c r="V57" s="7">
        <v>5000</v>
      </c>
      <c r="W57" s="7" t="s">
        <v>1605</v>
      </c>
      <c r="X57" s="6"/>
      <c r="Y57" s="6"/>
      <c r="Z57" s="8"/>
      <c r="AA57" s="8"/>
      <c r="AB57" s="10"/>
      <c r="AC57" s="10"/>
      <c r="AD57" s="15">
        <f t="shared" si="3"/>
        <v>-10000</v>
      </c>
      <c r="AE57" s="11"/>
      <c r="AF57" s="11"/>
      <c r="AG57" s="11"/>
      <c r="AH57" s="16">
        <f t="shared" si="4"/>
        <v>-10000</v>
      </c>
    </row>
    <row r="58" spans="1:34" ht="30" x14ac:dyDescent="0.25">
      <c r="A58" s="2">
        <v>57</v>
      </c>
      <c r="B58" s="2"/>
      <c r="C58" s="2" t="s">
        <v>144</v>
      </c>
      <c r="D58" s="2" t="s">
        <v>145</v>
      </c>
      <c r="E58" s="2" t="s">
        <v>121</v>
      </c>
      <c r="F58" s="2">
        <v>3436824357</v>
      </c>
      <c r="G58" s="3"/>
      <c r="H58" s="3"/>
      <c r="I58" s="3"/>
      <c r="J58" s="12">
        <f t="shared" si="0"/>
        <v>0</v>
      </c>
      <c r="K58" s="4"/>
      <c r="L58" s="4"/>
      <c r="M58" s="4"/>
      <c r="N58" s="13">
        <f t="shared" si="1"/>
        <v>0</v>
      </c>
      <c r="O58" s="5">
        <v>5000</v>
      </c>
      <c r="P58" s="5"/>
      <c r="Q58" s="5"/>
      <c r="R58" s="14">
        <f t="shared" si="2"/>
        <v>5000</v>
      </c>
      <c r="S58" s="9">
        <v>10000</v>
      </c>
      <c r="T58" s="10">
        <v>2000</v>
      </c>
      <c r="U58" s="10" t="s">
        <v>146</v>
      </c>
      <c r="V58" s="7"/>
      <c r="W58" s="7"/>
      <c r="X58" s="6"/>
      <c r="Y58" s="6"/>
      <c r="Z58" s="8"/>
      <c r="AA58" s="8"/>
      <c r="AB58" s="10"/>
      <c r="AC58" s="10"/>
      <c r="AD58" s="15">
        <f t="shared" si="3"/>
        <v>8000</v>
      </c>
      <c r="AE58" s="11"/>
      <c r="AF58" s="11"/>
      <c r="AG58" s="11"/>
      <c r="AH58" s="16">
        <f t="shared" si="4"/>
        <v>13000</v>
      </c>
    </row>
    <row r="59" spans="1:34" ht="30" x14ac:dyDescent="0.25">
      <c r="A59" s="2">
        <v>58</v>
      </c>
      <c r="B59" s="2"/>
      <c r="C59" s="2" t="s">
        <v>147</v>
      </c>
      <c r="D59" s="2" t="s">
        <v>148</v>
      </c>
      <c r="E59" s="2" t="s">
        <v>121</v>
      </c>
      <c r="F59" s="2">
        <v>3056869139</v>
      </c>
      <c r="G59" s="3"/>
      <c r="H59" s="3"/>
      <c r="I59" s="3"/>
      <c r="J59" s="12">
        <f t="shared" si="0"/>
        <v>0</v>
      </c>
      <c r="K59" s="4"/>
      <c r="L59" s="4"/>
      <c r="M59" s="4"/>
      <c r="N59" s="13">
        <f t="shared" si="1"/>
        <v>0</v>
      </c>
      <c r="O59" s="5">
        <v>5000</v>
      </c>
      <c r="P59" s="5"/>
      <c r="Q59" s="5"/>
      <c r="R59" s="14">
        <f t="shared" si="2"/>
        <v>5000</v>
      </c>
      <c r="S59" s="9">
        <v>15000</v>
      </c>
      <c r="T59" s="10">
        <v>2000</v>
      </c>
      <c r="U59" s="10" t="s">
        <v>149</v>
      </c>
      <c r="V59" s="7">
        <v>5000</v>
      </c>
      <c r="W59" s="7" t="s">
        <v>1664</v>
      </c>
      <c r="X59" s="6"/>
      <c r="Y59" s="6"/>
      <c r="Z59" s="8"/>
      <c r="AA59" s="8"/>
      <c r="AB59" s="10"/>
      <c r="AC59" s="10"/>
      <c r="AD59" s="15">
        <f t="shared" si="3"/>
        <v>8000</v>
      </c>
      <c r="AE59" s="11"/>
      <c r="AF59" s="11"/>
      <c r="AG59" s="11"/>
      <c r="AH59" s="16">
        <f t="shared" si="4"/>
        <v>13000</v>
      </c>
    </row>
    <row r="60" spans="1:34" ht="30" x14ac:dyDescent="0.25">
      <c r="A60" s="2">
        <v>59</v>
      </c>
      <c r="B60" s="2"/>
      <c r="C60" s="2" t="s">
        <v>1027</v>
      </c>
      <c r="D60" s="2" t="s">
        <v>150</v>
      </c>
      <c r="E60" s="2" t="s">
        <v>121</v>
      </c>
      <c r="F60" s="2">
        <v>3055997539</v>
      </c>
      <c r="G60" s="3"/>
      <c r="H60" s="3"/>
      <c r="I60" s="3"/>
      <c r="J60" s="12">
        <f t="shared" si="0"/>
        <v>0</v>
      </c>
      <c r="K60" s="4"/>
      <c r="L60" s="4"/>
      <c r="M60" s="4"/>
      <c r="N60" s="13">
        <f t="shared" si="1"/>
        <v>0</v>
      </c>
      <c r="O60" s="5">
        <v>0</v>
      </c>
      <c r="P60" s="5">
        <v>0</v>
      </c>
      <c r="Q60" s="5"/>
      <c r="R60" s="14">
        <f t="shared" si="2"/>
        <v>0</v>
      </c>
      <c r="S60" s="9">
        <v>20000</v>
      </c>
      <c r="T60" s="10">
        <v>3000</v>
      </c>
      <c r="U60" s="10" t="s">
        <v>1028</v>
      </c>
      <c r="V60" s="7">
        <v>3000</v>
      </c>
      <c r="W60" s="7" t="s">
        <v>1573</v>
      </c>
      <c r="X60" s="6"/>
      <c r="Y60" s="6"/>
      <c r="Z60" s="8"/>
      <c r="AA60" s="8"/>
      <c r="AB60" s="10"/>
      <c r="AC60" s="10"/>
      <c r="AD60" s="15">
        <f t="shared" si="3"/>
        <v>14000</v>
      </c>
      <c r="AE60" s="11"/>
      <c r="AF60" s="11"/>
      <c r="AG60" s="11"/>
      <c r="AH60" s="16">
        <f t="shared" si="4"/>
        <v>14000</v>
      </c>
    </row>
    <row r="61" spans="1:34" ht="30" x14ac:dyDescent="0.25">
      <c r="A61" s="2">
        <v>60</v>
      </c>
      <c r="B61" s="2"/>
      <c r="C61" s="2" t="s">
        <v>152</v>
      </c>
      <c r="D61" s="2" t="s">
        <v>153</v>
      </c>
      <c r="E61" s="2" t="s">
        <v>121</v>
      </c>
      <c r="F61" s="2">
        <v>3030715923</v>
      </c>
      <c r="G61" s="3"/>
      <c r="H61" s="3"/>
      <c r="I61" s="3"/>
      <c r="J61" s="12">
        <f t="shared" si="0"/>
        <v>0</v>
      </c>
      <c r="K61" s="4"/>
      <c r="L61" s="4"/>
      <c r="M61" s="4"/>
      <c r="N61" s="13">
        <f t="shared" si="1"/>
        <v>0</v>
      </c>
      <c r="O61" s="5"/>
      <c r="P61" s="5"/>
      <c r="Q61" s="5"/>
      <c r="R61" s="14">
        <f t="shared" si="2"/>
        <v>0</v>
      </c>
      <c r="S61" s="9">
        <v>10000</v>
      </c>
      <c r="T61" s="10">
        <v>2000</v>
      </c>
      <c r="U61" s="10" t="s">
        <v>151</v>
      </c>
      <c r="V61" s="7">
        <v>3000</v>
      </c>
      <c r="W61" s="7" t="s">
        <v>1267</v>
      </c>
      <c r="X61" s="6"/>
      <c r="Y61" s="6"/>
      <c r="Z61" s="8"/>
      <c r="AA61" s="8"/>
      <c r="AB61" s="10"/>
      <c r="AC61" s="10"/>
      <c r="AD61" s="15">
        <f t="shared" si="3"/>
        <v>5000</v>
      </c>
      <c r="AE61" s="11"/>
      <c r="AF61" s="11"/>
      <c r="AG61" s="11"/>
      <c r="AH61" s="16">
        <f t="shared" si="4"/>
        <v>5000</v>
      </c>
    </row>
    <row r="62" spans="1:34" ht="45" x14ac:dyDescent="0.25">
      <c r="A62" s="2">
        <v>61</v>
      </c>
      <c r="B62" s="2"/>
      <c r="C62" s="2" t="s">
        <v>154</v>
      </c>
      <c r="D62" s="2" t="s">
        <v>155</v>
      </c>
      <c r="E62" s="2" t="s">
        <v>121</v>
      </c>
      <c r="F62" s="2" t="s">
        <v>206</v>
      </c>
      <c r="G62" s="3"/>
      <c r="H62" s="3"/>
      <c r="I62" s="3"/>
      <c r="J62" s="12">
        <f t="shared" si="0"/>
        <v>0</v>
      </c>
      <c r="K62" s="4"/>
      <c r="L62" s="4"/>
      <c r="M62" s="4"/>
      <c r="N62" s="13">
        <f t="shared" si="1"/>
        <v>0</v>
      </c>
      <c r="O62" s="5"/>
      <c r="P62" s="5"/>
      <c r="Q62" s="5"/>
      <c r="R62" s="14">
        <f t="shared" si="2"/>
        <v>0</v>
      </c>
      <c r="S62" s="9">
        <v>18000</v>
      </c>
      <c r="T62" s="10">
        <v>2000</v>
      </c>
      <c r="U62" s="10" t="s">
        <v>1410</v>
      </c>
      <c r="V62" s="7">
        <v>2000</v>
      </c>
      <c r="W62" s="7" t="s">
        <v>1548</v>
      </c>
      <c r="X62" s="6">
        <v>2000</v>
      </c>
      <c r="Y62" s="6" t="s">
        <v>1806</v>
      </c>
      <c r="Z62" s="8">
        <v>2000</v>
      </c>
      <c r="AA62" s="8" t="s">
        <v>1806</v>
      </c>
      <c r="AB62" s="10"/>
      <c r="AC62" s="10"/>
      <c r="AD62" s="15">
        <f t="shared" si="3"/>
        <v>10000</v>
      </c>
      <c r="AE62" s="11"/>
      <c r="AF62" s="11"/>
      <c r="AG62" s="11"/>
      <c r="AH62" s="16">
        <f t="shared" si="4"/>
        <v>10000</v>
      </c>
    </row>
    <row r="63" spans="1:34" ht="30" x14ac:dyDescent="0.25">
      <c r="A63" s="2">
        <v>62</v>
      </c>
      <c r="B63" s="2"/>
      <c r="C63" s="2" t="s">
        <v>166</v>
      </c>
      <c r="D63" s="2" t="s">
        <v>167</v>
      </c>
      <c r="E63" s="2" t="s">
        <v>121</v>
      </c>
      <c r="F63" s="2">
        <v>3048615684</v>
      </c>
      <c r="G63" s="3"/>
      <c r="H63" s="3"/>
      <c r="I63" s="3"/>
      <c r="J63" s="12">
        <f t="shared" si="0"/>
        <v>0</v>
      </c>
      <c r="K63" s="4"/>
      <c r="L63" s="4"/>
      <c r="M63" s="4"/>
      <c r="N63" s="13">
        <f t="shared" si="1"/>
        <v>0</v>
      </c>
      <c r="O63" s="5">
        <v>5000</v>
      </c>
      <c r="P63" s="5"/>
      <c r="Q63" s="5"/>
      <c r="R63" s="14">
        <f t="shared" si="2"/>
        <v>5000</v>
      </c>
      <c r="S63" s="9">
        <v>15000</v>
      </c>
      <c r="T63" s="10">
        <v>3000</v>
      </c>
      <c r="U63" s="10" t="s">
        <v>1358</v>
      </c>
      <c r="V63" s="7"/>
      <c r="W63" s="7"/>
      <c r="X63" s="6"/>
      <c r="Y63" s="6"/>
      <c r="Z63" s="8"/>
      <c r="AA63" s="8"/>
      <c r="AB63" s="10"/>
      <c r="AC63" s="10"/>
      <c r="AD63" s="15">
        <f t="shared" si="3"/>
        <v>12000</v>
      </c>
      <c r="AE63" s="11"/>
      <c r="AF63" s="11"/>
      <c r="AG63" s="11"/>
      <c r="AH63" s="16">
        <f t="shared" si="4"/>
        <v>17000</v>
      </c>
    </row>
    <row r="64" spans="1:34" ht="30" x14ac:dyDescent="0.25">
      <c r="A64" s="2">
        <v>63</v>
      </c>
      <c r="B64" s="2"/>
      <c r="C64" s="2" t="s">
        <v>156</v>
      </c>
      <c r="D64" s="2" t="s">
        <v>157</v>
      </c>
      <c r="E64" s="2" t="s">
        <v>121</v>
      </c>
      <c r="F64" s="2">
        <v>3017837877</v>
      </c>
      <c r="G64" s="3"/>
      <c r="H64" s="3"/>
      <c r="I64" s="3"/>
      <c r="J64" s="12">
        <f t="shared" si="0"/>
        <v>0</v>
      </c>
      <c r="K64" s="4"/>
      <c r="L64" s="4"/>
      <c r="M64" s="4"/>
      <c r="N64" s="13">
        <f t="shared" si="1"/>
        <v>0</v>
      </c>
      <c r="O64" s="5">
        <v>5000</v>
      </c>
      <c r="P64" s="5"/>
      <c r="Q64" s="5"/>
      <c r="R64" s="14">
        <f t="shared" si="2"/>
        <v>5000</v>
      </c>
      <c r="S64" s="9">
        <v>20000</v>
      </c>
      <c r="T64" s="10">
        <v>15000</v>
      </c>
      <c r="U64" s="10" t="s">
        <v>1391</v>
      </c>
      <c r="V64" s="7"/>
      <c r="W64" s="7"/>
      <c r="X64" s="6"/>
      <c r="Y64" s="6"/>
      <c r="Z64" s="8"/>
      <c r="AA64" s="8"/>
      <c r="AB64" s="10"/>
      <c r="AC64" s="10"/>
      <c r="AD64" s="15">
        <f t="shared" si="3"/>
        <v>5000</v>
      </c>
      <c r="AE64" s="11"/>
      <c r="AF64" s="11"/>
      <c r="AG64" s="11"/>
      <c r="AH64" s="16">
        <f t="shared" si="4"/>
        <v>10000</v>
      </c>
    </row>
    <row r="65" spans="1:34" ht="30" x14ac:dyDescent="0.25">
      <c r="A65" s="2">
        <v>64</v>
      </c>
      <c r="B65" s="2"/>
      <c r="C65" s="2" t="s">
        <v>158</v>
      </c>
      <c r="D65" s="2" t="s">
        <v>159</v>
      </c>
      <c r="E65" s="2" t="s">
        <v>121</v>
      </c>
      <c r="F65" s="2">
        <v>3067761142</v>
      </c>
      <c r="G65" s="3"/>
      <c r="H65" s="3"/>
      <c r="I65" s="3"/>
      <c r="J65" s="12">
        <f t="shared" si="0"/>
        <v>0</v>
      </c>
      <c r="K65" s="4"/>
      <c r="L65" s="4"/>
      <c r="M65" s="4"/>
      <c r="N65" s="13">
        <f t="shared" si="1"/>
        <v>0</v>
      </c>
      <c r="O65" s="5">
        <v>5000</v>
      </c>
      <c r="P65" s="5"/>
      <c r="Q65" s="5"/>
      <c r="R65" s="14">
        <f t="shared" si="2"/>
        <v>5000</v>
      </c>
      <c r="S65" s="9">
        <v>12000</v>
      </c>
      <c r="T65" s="10">
        <v>5000</v>
      </c>
      <c r="U65" s="10" t="s">
        <v>160</v>
      </c>
      <c r="V65" s="7">
        <v>5000</v>
      </c>
      <c r="W65" s="7" t="s">
        <v>1715</v>
      </c>
      <c r="X65" s="6"/>
      <c r="Y65" s="6"/>
      <c r="Z65" s="8"/>
      <c r="AA65" s="8"/>
      <c r="AB65" s="10"/>
      <c r="AC65" s="10"/>
      <c r="AD65" s="15">
        <f t="shared" si="3"/>
        <v>2000</v>
      </c>
      <c r="AE65" s="11"/>
      <c r="AF65" s="11"/>
      <c r="AG65" s="11"/>
      <c r="AH65" s="16">
        <f t="shared" si="4"/>
        <v>7000</v>
      </c>
    </row>
    <row r="66" spans="1:34" ht="30" x14ac:dyDescent="0.25">
      <c r="A66" s="2">
        <v>65</v>
      </c>
      <c r="B66" s="2"/>
      <c r="C66" s="2" t="s">
        <v>161</v>
      </c>
      <c r="D66" s="2" t="s">
        <v>162</v>
      </c>
      <c r="E66" s="2" t="s">
        <v>121</v>
      </c>
      <c r="F66" s="2">
        <v>3017834355</v>
      </c>
      <c r="G66" s="3"/>
      <c r="H66" s="3"/>
      <c r="I66" s="3"/>
      <c r="J66" s="12">
        <f t="shared" si="0"/>
        <v>0</v>
      </c>
      <c r="K66" s="4"/>
      <c r="L66" s="4"/>
      <c r="M66" s="4"/>
      <c r="N66" s="13">
        <f t="shared" si="1"/>
        <v>0</v>
      </c>
      <c r="O66" s="5"/>
      <c r="P66" s="5"/>
      <c r="Q66" s="5"/>
      <c r="R66" s="14">
        <f t="shared" si="2"/>
        <v>0</v>
      </c>
      <c r="S66" s="9">
        <v>12000</v>
      </c>
      <c r="T66" s="10">
        <v>5000</v>
      </c>
      <c r="U66" s="10" t="s">
        <v>163</v>
      </c>
      <c r="V66" s="7"/>
      <c r="W66" s="7"/>
      <c r="X66" s="6"/>
      <c r="Y66" s="6"/>
      <c r="Z66" s="8"/>
      <c r="AA66" s="8"/>
      <c r="AB66" s="10"/>
      <c r="AC66" s="10"/>
      <c r="AD66" s="15">
        <f t="shared" si="3"/>
        <v>7000</v>
      </c>
      <c r="AE66" s="11"/>
      <c r="AF66" s="11"/>
      <c r="AG66" s="11"/>
      <c r="AH66" s="16">
        <f t="shared" si="4"/>
        <v>7000</v>
      </c>
    </row>
    <row r="67" spans="1:34" ht="21" x14ac:dyDescent="0.25">
      <c r="A67" s="2">
        <v>66</v>
      </c>
      <c r="B67" s="2"/>
      <c r="C67" s="2" t="s">
        <v>164</v>
      </c>
      <c r="D67" s="2" t="s">
        <v>165</v>
      </c>
      <c r="E67" s="2" t="s">
        <v>121</v>
      </c>
      <c r="F67" s="2">
        <v>3017597326</v>
      </c>
      <c r="G67" s="3"/>
      <c r="H67" s="3"/>
      <c r="I67" s="3"/>
      <c r="J67" s="12">
        <f t="shared" ref="J67:J103" si="5">G67-H67</f>
        <v>0</v>
      </c>
      <c r="K67" s="4"/>
      <c r="L67" s="4"/>
      <c r="M67" s="4"/>
      <c r="N67" s="13">
        <f t="shared" ref="N67:N103" si="6">K67-L67</f>
        <v>0</v>
      </c>
      <c r="O67" s="5">
        <v>5000</v>
      </c>
      <c r="P67" s="5"/>
      <c r="Q67" s="5"/>
      <c r="R67" s="14">
        <f t="shared" ref="R67:R103" si="7">O67-P67</f>
        <v>5000</v>
      </c>
      <c r="S67" s="9">
        <v>21000</v>
      </c>
      <c r="T67" s="10"/>
      <c r="U67" s="10"/>
      <c r="V67" s="7"/>
      <c r="W67" s="7"/>
      <c r="X67" s="6"/>
      <c r="Y67" s="6"/>
      <c r="Z67" s="8"/>
      <c r="AA67" s="8"/>
      <c r="AB67" s="10"/>
      <c r="AC67" s="10"/>
      <c r="AD67" s="15">
        <f t="shared" ref="AD67:AD103" si="8">S67-T67-V67-X67-Z67-AB67</f>
        <v>21000</v>
      </c>
      <c r="AE67" s="11"/>
      <c r="AF67" s="11"/>
      <c r="AG67" s="11"/>
      <c r="AH67" s="16">
        <f t="shared" ref="AH67:AH103" si="9">AD67+R67+N67+J67-AE67+AF67</f>
        <v>26000</v>
      </c>
    </row>
    <row r="68" spans="1:34" ht="30" x14ac:dyDescent="0.25">
      <c r="A68" s="2">
        <v>67</v>
      </c>
      <c r="B68" s="2"/>
      <c r="C68" s="2" t="s">
        <v>168</v>
      </c>
      <c r="D68" s="2" t="s">
        <v>169</v>
      </c>
      <c r="E68" s="2" t="s">
        <v>121</v>
      </c>
      <c r="F68" s="2">
        <v>3049480620</v>
      </c>
      <c r="G68" s="3"/>
      <c r="H68" s="3"/>
      <c r="I68" s="3"/>
      <c r="J68" s="12">
        <f t="shared" si="5"/>
        <v>0</v>
      </c>
      <c r="K68" s="4"/>
      <c r="L68" s="4"/>
      <c r="M68" s="4"/>
      <c r="N68" s="13">
        <f t="shared" si="6"/>
        <v>0</v>
      </c>
      <c r="O68" s="5">
        <v>5000</v>
      </c>
      <c r="P68" s="5"/>
      <c r="Q68" s="5"/>
      <c r="R68" s="14">
        <f t="shared" si="7"/>
        <v>5000</v>
      </c>
      <c r="S68" s="9">
        <v>20000</v>
      </c>
      <c r="T68" s="10">
        <v>2000</v>
      </c>
      <c r="U68" s="10" t="s">
        <v>171</v>
      </c>
      <c r="V68" s="7"/>
      <c r="W68" s="7"/>
      <c r="X68" s="6"/>
      <c r="Y68" s="6"/>
      <c r="Z68" s="8"/>
      <c r="AA68" s="8"/>
      <c r="AB68" s="10"/>
      <c r="AC68" s="10"/>
      <c r="AD68" s="15">
        <f t="shared" si="8"/>
        <v>18000</v>
      </c>
      <c r="AE68" s="11"/>
      <c r="AF68" s="11"/>
      <c r="AG68" s="11"/>
      <c r="AH68" s="16">
        <f t="shared" si="9"/>
        <v>23000</v>
      </c>
    </row>
    <row r="69" spans="1:34" ht="30" x14ac:dyDescent="0.25">
      <c r="A69" s="2">
        <v>68</v>
      </c>
      <c r="B69" s="2"/>
      <c r="C69" s="2" t="s">
        <v>172</v>
      </c>
      <c r="D69" s="2" t="s">
        <v>169</v>
      </c>
      <c r="E69" s="2" t="s">
        <v>121</v>
      </c>
      <c r="F69" s="2">
        <v>3049480620</v>
      </c>
      <c r="G69" s="3"/>
      <c r="H69" s="3"/>
      <c r="I69" s="3"/>
      <c r="J69" s="12">
        <f t="shared" si="5"/>
        <v>0</v>
      </c>
      <c r="K69" s="4"/>
      <c r="L69" s="4"/>
      <c r="M69" s="4"/>
      <c r="N69" s="13">
        <f t="shared" si="6"/>
        <v>0</v>
      </c>
      <c r="O69" s="5">
        <v>5000</v>
      </c>
      <c r="P69" s="5"/>
      <c r="Q69" s="5"/>
      <c r="R69" s="14">
        <f t="shared" si="7"/>
        <v>5000</v>
      </c>
      <c r="S69" s="9">
        <v>20000</v>
      </c>
      <c r="T69" s="10">
        <v>2000</v>
      </c>
      <c r="U69" s="10" t="s">
        <v>170</v>
      </c>
      <c r="V69" s="7"/>
      <c r="W69" s="7"/>
      <c r="X69" s="6"/>
      <c r="Y69" s="6"/>
      <c r="Z69" s="8"/>
      <c r="AA69" s="8"/>
      <c r="AB69" s="10"/>
      <c r="AC69" s="10"/>
      <c r="AD69" s="15">
        <f t="shared" si="8"/>
        <v>18000</v>
      </c>
      <c r="AE69" s="11"/>
      <c r="AF69" s="11"/>
      <c r="AG69" s="11"/>
      <c r="AH69" s="16">
        <f t="shared" si="9"/>
        <v>23000</v>
      </c>
    </row>
    <row r="70" spans="1:34" ht="45" x14ac:dyDescent="0.25">
      <c r="A70" s="2">
        <v>69</v>
      </c>
      <c r="B70" s="2"/>
      <c r="C70" s="2" t="s">
        <v>173</v>
      </c>
      <c r="D70" s="2" t="s">
        <v>174</v>
      </c>
      <c r="E70" s="2" t="s">
        <v>121</v>
      </c>
      <c r="F70" s="2">
        <v>3497052982</v>
      </c>
      <c r="G70" s="3"/>
      <c r="H70" s="3"/>
      <c r="I70" s="3"/>
      <c r="J70" s="12">
        <f t="shared" si="5"/>
        <v>0</v>
      </c>
      <c r="K70" s="4"/>
      <c r="L70" s="4"/>
      <c r="M70" s="4"/>
      <c r="N70" s="13">
        <f t="shared" si="6"/>
        <v>0</v>
      </c>
      <c r="O70" s="5">
        <v>5000</v>
      </c>
      <c r="P70" s="5"/>
      <c r="Q70" s="5"/>
      <c r="R70" s="14">
        <f t="shared" si="7"/>
        <v>5000</v>
      </c>
      <c r="S70" s="9">
        <v>15000</v>
      </c>
      <c r="T70" s="10">
        <v>5000</v>
      </c>
      <c r="U70" s="10" t="s">
        <v>175</v>
      </c>
      <c r="V70" s="7">
        <v>5000</v>
      </c>
      <c r="W70" s="7" t="s">
        <v>1598</v>
      </c>
      <c r="X70" s="6"/>
      <c r="Y70" s="6"/>
      <c r="Z70" s="8"/>
      <c r="AA70" s="8"/>
      <c r="AB70" s="10"/>
      <c r="AC70" s="10"/>
      <c r="AD70" s="15">
        <f t="shared" si="8"/>
        <v>5000</v>
      </c>
      <c r="AE70" s="11"/>
      <c r="AF70" s="11"/>
      <c r="AG70" s="11"/>
      <c r="AH70" s="16">
        <f t="shared" si="9"/>
        <v>10000</v>
      </c>
    </row>
    <row r="71" spans="1:34" ht="30" x14ac:dyDescent="0.25">
      <c r="A71" s="2">
        <v>70</v>
      </c>
      <c r="B71" s="2"/>
      <c r="C71" s="2" t="s">
        <v>176</v>
      </c>
      <c r="D71" s="2" t="s">
        <v>177</v>
      </c>
      <c r="E71" s="2" t="s">
        <v>121</v>
      </c>
      <c r="F71" s="2">
        <v>3447362107</v>
      </c>
      <c r="G71" s="3"/>
      <c r="H71" s="3"/>
      <c r="I71" s="3"/>
      <c r="J71" s="12">
        <f t="shared" si="5"/>
        <v>0</v>
      </c>
      <c r="K71" s="4"/>
      <c r="L71" s="4"/>
      <c r="M71" s="4"/>
      <c r="N71" s="13">
        <f t="shared" si="6"/>
        <v>0</v>
      </c>
      <c r="O71" s="5">
        <v>5000</v>
      </c>
      <c r="P71" s="5"/>
      <c r="Q71" s="5"/>
      <c r="R71" s="14">
        <f t="shared" si="7"/>
        <v>5000</v>
      </c>
      <c r="S71" s="9">
        <v>12000</v>
      </c>
      <c r="T71" s="10">
        <v>5000</v>
      </c>
      <c r="U71" s="10" t="s">
        <v>178</v>
      </c>
      <c r="V71" s="7"/>
      <c r="W71" s="7"/>
      <c r="X71" s="6"/>
      <c r="Y71" s="6"/>
      <c r="Z71" s="8"/>
      <c r="AA71" s="8"/>
      <c r="AB71" s="10"/>
      <c r="AC71" s="10"/>
      <c r="AD71" s="15">
        <f t="shared" si="8"/>
        <v>7000</v>
      </c>
      <c r="AE71" s="11"/>
      <c r="AF71" s="11"/>
      <c r="AG71" s="11"/>
      <c r="AH71" s="16">
        <f t="shared" si="9"/>
        <v>12000</v>
      </c>
    </row>
    <row r="72" spans="1:34" ht="30" x14ac:dyDescent="0.25">
      <c r="A72" s="2">
        <v>71</v>
      </c>
      <c r="B72" s="2"/>
      <c r="C72" s="2" t="s">
        <v>179</v>
      </c>
      <c r="D72" s="2" t="s">
        <v>180</v>
      </c>
      <c r="E72" s="2" t="s">
        <v>121</v>
      </c>
      <c r="F72" s="2">
        <v>3027133730</v>
      </c>
      <c r="G72" s="3"/>
      <c r="H72" s="3"/>
      <c r="I72" s="3"/>
      <c r="J72" s="12">
        <f t="shared" si="5"/>
        <v>0</v>
      </c>
      <c r="K72" s="4"/>
      <c r="L72" s="4"/>
      <c r="M72" s="4"/>
      <c r="N72" s="13">
        <f t="shared" si="6"/>
        <v>0</v>
      </c>
      <c r="O72" s="5">
        <v>5000</v>
      </c>
      <c r="P72" s="5"/>
      <c r="Q72" s="5"/>
      <c r="R72" s="14">
        <f t="shared" si="7"/>
        <v>5000</v>
      </c>
      <c r="S72" s="9">
        <v>10000</v>
      </c>
      <c r="T72" s="10">
        <v>5000</v>
      </c>
      <c r="U72" s="10" t="s">
        <v>181</v>
      </c>
      <c r="V72" s="7">
        <v>2500</v>
      </c>
      <c r="W72" s="7" t="s">
        <v>1270</v>
      </c>
      <c r="X72" s="6">
        <v>2500</v>
      </c>
      <c r="Y72" s="6" t="s">
        <v>1799</v>
      </c>
      <c r="Z72" s="8"/>
      <c r="AA72" s="8"/>
      <c r="AB72" s="10"/>
      <c r="AC72" s="10"/>
      <c r="AD72" s="15">
        <f t="shared" si="8"/>
        <v>0</v>
      </c>
      <c r="AE72" s="11"/>
      <c r="AF72" s="11"/>
      <c r="AG72" s="11"/>
      <c r="AH72" s="16">
        <f t="shared" si="9"/>
        <v>5000</v>
      </c>
    </row>
    <row r="73" spans="1:34" ht="30" x14ac:dyDescent="0.25">
      <c r="A73" s="2">
        <v>72</v>
      </c>
      <c r="B73" s="2"/>
      <c r="C73" s="2" t="s">
        <v>182</v>
      </c>
      <c r="D73" s="2" t="s">
        <v>183</v>
      </c>
      <c r="E73" s="2" t="s">
        <v>121</v>
      </c>
      <c r="F73" s="2">
        <v>3039252546</v>
      </c>
      <c r="G73" s="3"/>
      <c r="H73" s="3"/>
      <c r="I73" s="3"/>
      <c r="J73" s="12">
        <f t="shared" si="5"/>
        <v>0</v>
      </c>
      <c r="K73" s="4"/>
      <c r="L73" s="4"/>
      <c r="M73" s="4"/>
      <c r="N73" s="13">
        <f t="shared" si="6"/>
        <v>0</v>
      </c>
      <c r="O73" s="5">
        <v>5000</v>
      </c>
      <c r="P73" s="5"/>
      <c r="Q73" s="5"/>
      <c r="R73" s="14">
        <f t="shared" si="7"/>
        <v>5000</v>
      </c>
      <c r="S73" s="9">
        <v>18000</v>
      </c>
      <c r="T73" s="10">
        <v>10000</v>
      </c>
      <c r="U73" s="10" t="s">
        <v>1412</v>
      </c>
      <c r="V73" s="7"/>
      <c r="W73" s="7"/>
      <c r="X73" s="6"/>
      <c r="Y73" s="6"/>
      <c r="Z73" s="8"/>
      <c r="AA73" s="8"/>
      <c r="AB73" s="10"/>
      <c r="AC73" s="10"/>
      <c r="AD73" s="15">
        <f t="shared" si="8"/>
        <v>8000</v>
      </c>
      <c r="AE73" s="11"/>
      <c r="AF73" s="11"/>
      <c r="AG73" s="11"/>
      <c r="AH73" s="16">
        <f t="shared" si="9"/>
        <v>13000</v>
      </c>
    </row>
    <row r="74" spans="1:34" ht="30" x14ac:dyDescent="0.25">
      <c r="A74" s="2">
        <v>73</v>
      </c>
      <c r="B74" s="2"/>
      <c r="C74" s="2" t="s">
        <v>184</v>
      </c>
      <c r="D74" s="2" t="s">
        <v>185</v>
      </c>
      <c r="E74" s="2" t="s">
        <v>121</v>
      </c>
      <c r="F74" s="2">
        <v>3447135118</v>
      </c>
      <c r="G74" s="3"/>
      <c r="H74" s="3"/>
      <c r="I74" s="3"/>
      <c r="J74" s="12">
        <f t="shared" si="5"/>
        <v>0</v>
      </c>
      <c r="K74" s="4"/>
      <c r="L74" s="4"/>
      <c r="M74" s="4"/>
      <c r="N74" s="13">
        <f t="shared" si="6"/>
        <v>0</v>
      </c>
      <c r="O74" s="5">
        <v>5000</v>
      </c>
      <c r="P74" s="5"/>
      <c r="Q74" s="5"/>
      <c r="R74" s="14">
        <f t="shared" si="7"/>
        <v>5000</v>
      </c>
      <c r="S74" s="9">
        <v>15000</v>
      </c>
      <c r="T74" s="10">
        <v>10000</v>
      </c>
      <c r="U74" s="10" t="s">
        <v>1411</v>
      </c>
      <c r="V74" s="7"/>
      <c r="W74" s="7"/>
      <c r="X74" s="6"/>
      <c r="Y74" s="6"/>
      <c r="Z74" s="8"/>
      <c r="AA74" s="8"/>
      <c r="AB74" s="10"/>
      <c r="AC74" s="10"/>
      <c r="AD74" s="15">
        <f t="shared" si="8"/>
        <v>5000</v>
      </c>
      <c r="AE74" s="11"/>
      <c r="AF74" s="11"/>
      <c r="AG74" s="11"/>
      <c r="AH74" s="16">
        <f t="shared" si="9"/>
        <v>10000</v>
      </c>
    </row>
    <row r="75" spans="1:34" ht="30" x14ac:dyDescent="0.25">
      <c r="A75" s="2">
        <v>74</v>
      </c>
      <c r="B75" s="2"/>
      <c r="C75" s="2" t="s">
        <v>186</v>
      </c>
      <c r="D75" s="2" t="s">
        <v>187</v>
      </c>
      <c r="E75" s="2" t="s">
        <v>121</v>
      </c>
      <c r="F75" s="2">
        <v>3007386099</v>
      </c>
      <c r="G75" s="3"/>
      <c r="H75" s="3"/>
      <c r="I75" s="3"/>
      <c r="J75" s="12">
        <f t="shared" si="5"/>
        <v>0</v>
      </c>
      <c r="K75" s="4"/>
      <c r="L75" s="4"/>
      <c r="M75" s="4"/>
      <c r="N75" s="13">
        <f t="shared" si="6"/>
        <v>0</v>
      </c>
      <c r="O75" s="5">
        <v>5000</v>
      </c>
      <c r="P75" s="5"/>
      <c r="Q75" s="5"/>
      <c r="R75" s="14">
        <f t="shared" si="7"/>
        <v>5000</v>
      </c>
      <c r="S75" s="9">
        <v>15000</v>
      </c>
      <c r="T75" s="10">
        <v>5000</v>
      </c>
      <c r="U75" s="10" t="s">
        <v>188</v>
      </c>
      <c r="V75" s="7">
        <v>5000</v>
      </c>
      <c r="W75" s="7" t="s">
        <v>1741</v>
      </c>
      <c r="X75" s="6"/>
      <c r="Y75" s="6"/>
      <c r="Z75" s="8"/>
      <c r="AA75" s="8"/>
      <c r="AB75" s="10"/>
      <c r="AC75" s="10"/>
      <c r="AD75" s="15">
        <f t="shared" si="8"/>
        <v>5000</v>
      </c>
      <c r="AE75" s="11"/>
      <c r="AF75" s="11"/>
      <c r="AG75" s="11"/>
      <c r="AH75" s="16">
        <f t="shared" si="9"/>
        <v>10000</v>
      </c>
    </row>
    <row r="76" spans="1:34" ht="30" x14ac:dyDescent="0.25">
      <c r="A76" s="2">
        <v>75</v>
      </c>
      <c r="B76" s="2"/>
      <c r="C76" s="2" t="s">
        <v>189</v>
      </c>
      <c r="D76" s="2" t="s">
        <v>1276</v>
      </c>
      <c r="E76" s="2" t="s">
        <v>121</v>
      </c>
      <c r="F76" s="2">
        <v>3024996321</v>
      </c>
      <c r="G76" s="3"/>
      <c r="H76" s="3"/>
      <c r="I76" s="3"/>
      <c r="J76" s="12">
        <f t="shared" si="5"/>
        <v>0</v>
      </c>
      <c r="K76" s="4"/>
      <c r="L76" s="4"/>
      <c r="M76" s="4"/>
      <c r="N76" s="13">
        <f t="shared" si="6"/>
        <v>0</v>
      </c>
      <c r="O76" s="5">
        <v>12000</v>
      </c>
      <c r="P76" s="5">
        <v>4000</v>
      </c>
      <c r="Q76" s="5" t="s">
        <v>1277</v>
      </c>
      <c r="R76" s="14">
        <f t="shared" si="7"/>
        <v>8000</v>
      </c>
      <c r="S76" s="9">
        <v>0</v>
      </c>
      <c r="T76" s="10">
        <v>5000</v>
      </c>
      <c r="U76" s="36" t="s">
        <v>1404</v>
      </c>
      <c r="V76" s="7"/>
      <c r="W76" s="7"/>
      <c r="X76" s="6"/>
      <c r="Y76" s="6"/>
      <c r="Z76" s="8"/>
      <c r="AA76" s="8"/>
      <c r="AB76" s="10"/>
      <c r="AC76" s="10"/>
      <c r="AD76" s="15">
        <f t="shared" si="8"/>
        <v>-5000</v>
      </c>
      <c r="AE76" s="11"/>
      <c r="AF76" s="11"/>
      <c r="AG76" s="11"/>
      <c r="AH76" s="16">
        <f t="shared" si="9"/>
        <v>3000</v>
      </c>
    </row>
    <row r="77" spans="1:34" ht="30" x14ac:dyDescent="0.25">
      <c r="A77" s="2">
        <v>76</v>
      </c>
      <c r="B77" s="2"/>
      <c r="C77" s="2" t="s">
        <v>191</v>
      </c>
      <c r="D77" s="2" t="s">
        <v>192</v>
      </c>
      <c r="E77" s="2" t="s">
        <v>121</v>
      </c>
      <c r="F77" s="2">
        <v>3074670706</v>
      </c>
      <c r="G77" s="3"/>
      <c r="H77" s="3"/>
      <c r="I77" s="3"/>
      <c r="J77" s="12">
        <f t="shared" si="5"/>
        <v>0</v>
      </c>
      <c r="K77" s="4"/>
      <c r="L77" s="4"/>
      <c r="M77" s="4"/>
      <c r="N77" s="13">
        <f t="shared" si="6"/>
        <v>0</v>
      </c>
      <c r="O77" s="5">
        <v>5000</v>
      </c>
      <c r="P77" s="5"/>
      <c r="Q77" s="5"/>
      <c r="R77" s="14">
        <f t="shared" si="7"/>
        <v>5000</v>
      </c>
      <c r="S77" s="9">
        <v>12000</v>
      </c>
      <c r="T77" s="10">
        <v>2000</v>
      </c>
      <c r="U77" s="10" t="s">
        <v>1348</v>
      </c>
      <c r="V77" s="7"/>
      <c r="W77" s="7"/>
      <c r="X77" s="6"/>
      <c r="Y77" s="6"/>
      <c r="Z77" s="8"/>
      <c r="AA77" s="8"/>
      <c r="AB77" s="10"/>
      <c r="AC77" s="10"/>
      <c r="AD77" s="15">
        <f t="shared" si="8"/>
        <v>10000</v>
      </c>
      <c r="AE77" s="11"/>
      <c r="AF77" s="11"/>
      <c r="AG77" s="11"/>
      <c r="AH77" s="16">
        <f t="shared" si="9"/>
        <v>15000</v>
      </c>
    </row>
    <row r="78" spans="1:34" ht="30" x14ac:dyDescent="0.25">
      <c r="A78" s="2">
        <v>77</v>
      </c>
      <c r="B78" s="2"/>
      <c r="C78" s="2" t="s">
        <v>1455</v>
      </c>
      <c r="D78" s="2" t="s">
        <v>207</v>
      </c>
      <c r="E78" s="2" t="s">
        <v>121</v>
      </c>
      <c r="F78" s="2">
        <v>3000537860</v>
      </c>
      <c r="G78" s="3"/>
      <c r="H78" s="3"/>
      <c r="I78" s="3"/>
      <c r="J78" s="12">
        <f t="shared" si="5"/>
        <v>0</v>
      </c>
      <c r="K78" s="4"/>
      <c r="L78" s="4"/>
      <c r="M78" s="4"/>
      <c r="N78" s="13">
        <f t="shared" si="6"/>
        <v>0</v>
      </c>
      <c r="O78" s="5">
        <v>5000</v>
      </c>
      <c r="P78" s="5"/>
      <c r="Q78" s="5"/>
      <c r="R78" s="14">
        <f t="shared" si="7"/>
        <v>5000</v>
      </c>
      <c r="S78" s="9">
        <v>15000</v>
      </c>
      <c r="T78" s="10">
        <v>5000</v>
      </c>
      <c r="U78" s="10" t="s">
        <v>1278</v>
      </c>
      <c r="V78" s="7">
        <v>10000</v>
      </c>
      <c r="W78" s="7" t="s">
        <v>1456</v>
      </c>
      <c r="X78" s="6"/>
      <c r="Y78" s="6"/>
      <c r="Z78" s="8"/>
      <c r="AA78" s="8"/>
      <c r="AB78" s="10"/>
      <c r="AC78" s="10"/>
      <c r="AD78" s="15">
        <f t="shared" si="8"/>
        <v>0</v>
      </c>
      <c r="AE78" s="11"/>
      <c r="AF78" s="11"/>
      <c r="AG78" s="11"/>
      <c r="AH78" s="16">
        <f t="shared" si="9"/>
        <v>5000</v>
      </c>
    </row>
    <row r="79" spans="1:34" ht="30" x14ac:dyDescent="0.25">
      <c r="A79" s="2">
        <v>78</v>
      </c>
      <c r="B79" s="2"/>
      <c r="C79" s="2" t="s">
        <v>208</v>
      </c>
      <c r="D79" s="2" t="s">
        <v>209</v>
      </c>
      <c r="E79" s="2" t="s">
        <v>121</v>
      </c>
      <c r="F79" s="2">
        <v>3239904764</v>
      </c>
      <c r="G79" s="3"/>
      <c r="H79" s="3"/>
      <c r="I79" s="3"/>
      <c r="J79" s="12">
        <f t="shared" si="5"/>
        <v>0</v>
      </c>
      <c r="K79" s="4"/>
      <c r="L79" s="4"/>
      <c r="M79" s="4"/>
      <c r="N79" s="13">
        <f t="shared" si="6"/>
        <v>0</v>
      </c>
      <c r="O79" s="5">
        <v>3000</v>
      </c>
      <c r="P79" s="5"/>
      <c r="Q79" s="5"/>
      <c r="R79" s="14">
        <f t="shared" si="7"/>
        <v>3000</v>
      </c>
      <c r="S79" s="9">
        <v>10000</v>
      </c>
      <c r="T79" s="10">
        <v>6000</v>
      </c>
      <c r="U79" s="10" t="s">
        <v>1150</v>
      </c>
      <c r="V79" s="7"/>
      <c r="W79" s="7"/>
      <c r="X79" s="6"/>
      <c r="Y79" s="6"/>
      <c r="Z79" s="8"/>
      <c r="AA79" s="8"/>
      <c r="AB79" s="10"/>
      <c r="AC79" s="10"/>
      <c r="AD79" s="15">
        <f t="shared" si="8"/>
        <v>4000</v>
      </c>
      <c r="AE79" s="11"/>
      <c r="AF79" s="11"/>
      <c r="AG79" s="11"/>
      <c r="AH79" s="16">
        <f t="shared" si="9"/>
        <v>7000</v>
      </c>
    </row>
    <row r="80" spans="1:34" ht="30" x14ac:dyDescent="0.25">
      <c r="A80" s="2">
        <v>79</v>
      </c>
      <c r="B80" s="2"/>
      <c r="C80" s="2" t="s">
        <v>210</v>
      </c>
      <c r="D80" s="2" t="s">
        <v>211</v>
      </c>
      <c r="E80" s="2" t="s">
        <v>121</v>
      </c>
      <c r="F80" s="2">
        <v>3077593734</v>
      </c>
      <c r="G80" s="3"/>
      <c r="H80" s="3"/>
      <c r="I80" s="3"/>
      <c r="J80" s="12">
        <f t="shared" si="5"/>
        <v>0</v>
      </c>
      <c r="K80" s="4"/>
      <c r="L80" s="4"/>
      <c r="M80" s="4"/>
      <c r="N80" s="13">
        <f t="shared" si="6"/>
        <v>0</v>
      </c>
      <c r="O80" s="5">
        <v>5000</v>
      </c>
      <c r="P80" s="5"/>
      <c r="Q80" s="5"/>
      <c r="R80" s="14">
        <f t="shared" si="7"/>
        <v>5000</v>
      </c>
      <c r="S80" s="9">
        <v>25000</v>
      </c>
      <c r="T80" s="10">
        <v>5000</v>
      </c>
      <c r="U80" s="10" t="s">
        <v>1195</v>
      </c>
      <c r="V80" s="7">
        <v>5000</v>
      </c>
      <c r="W80" s="7" t="s">
        <v>1636</v>
      </c>
      <c r="X80" s="6"/>
      <c r="Y80" s="6"/>
      <c r="Z80" s="8"/>
      <c r="AA80" s="8"/>
      <c r="AB80" s="10"/>
      <c r="AC80" s="10"/>
      <c r="AD80" s="15">
        <f t="shared" si="8"/>
        <v>15000</v>
      </c>
      <c r="AE80" s="11"/>
      <c r="AF80" s="11"/>
      <c r="AG80" s="11"/>
      <c r="AH80" s="16">
        <f t="shared" si="9"/>
        <v>20000</v>
      </c>
    </row>
    <row r="81" spans="1:34" ht="30" x14ac:dyDescent="0.25">
      <c r="A81" s="2">
        <v>80</v>
      </c>
      <c r="B81" s="2"/>
      <c r="C81" s="2" t="s">
        <v>212</v>
      </c>
      <c r="D81" s="2" t="s">
        <v>213</v>
      </c>
      <c r="E81" s="2" t="s">
        <v>121</v>
      </c>
      <c r="F81" s="2">
        <v>3007737809</v>
      </c>
      <c r="G81" s="3"/>
      <c r="H81" s="3"/>
      <c r="I81" s="3"/>
      <c r="J81" s="12">
        <f t="shared" si="5"/>
        <v>0</v>
      </c>
      <c r="K81" s="4"/>
      <c r="L81" s="4"/>
      <c r="M81" s="4"/>
      <c r="N81" s="13">
        <f t="shared" si="6"/>
        <v>0</v>
      </c>
      <c r="O81" s="5">
        <v>5000</v>
      </c>
      <c r="P81" s="5"/>
      <c r="Q81" s="5"/>
      <c r="R81" s="14">
        <f t="shared" si="7"/>
        <v>5000</v>
      </c>
      <c r="S81" s="9">
        <v>20000</v>
      </c>
      <c r="T81" s="10">
        <v>5000</v>
      </c>
      <c r="U81" s="10" t="s">
        <v>1232</v>
      </c>
      <c r="V81" s="7">
        <v>5000</v>
      </c>
      <c r="W81" s="7" t="s">
        <v>1656</v>
      </c>
      <c r="X81" s="6"/>
      <c r="Y81" s="6"/>
      <c r="Z81" s="8"/>
      <c r="AA81" s="8"/>
      <c r="AB81" s="10"/>
      <c r="AC81" s="10"/>
      <c r="AD81" s="15">
        <f t="shared" si="8"/>
        <v>10000</v>
      </c>
      <c r="AE81" s="11"/>
      <c r="AF81" s="11"/>
      <c r="AG81" s="11"/>
      <c r="AH81" s="16">
        <f t="shared" si="9"/>
        <v>15000</v>
      </c>
    </row>
    <row r="82" spans="1:34" ht="30" x14ac:dyDescent="0.25">
      <c r="A82" s="2">
        <v>81</v>
      </c>
      <c r="B82" s="2"/>
      <c r="C82" s="2" t="s">
        <v>214</v>
      </c>
      <c r="D82" s="2" t="s">
        <v>215</v>
      </c>
      <c r="E82" s="2" t="s">
        <v>121</v>
      </c>
      <c r="F82" s="2">
        <v>3036558656</v>
      </c>
      <c r="G82" s="3"/>
      <c r="H82" s="3"/>
      <c r="I82" s="3"/>
      <c r="J82" s="12">
        <f t="shared" si="5"/>
        <v>0</v>
      </c>
      <c r="K82" s="4"/>
      <c r="L82" s="4"/>
      <c r="M82" s="4"/>
      <c r="N82" s="13">
        <f t="shared" si="6"/>
        <v>0</v>
      </c>
      <c r="O82" s="5">
        <v>5000</v>
      </c>
      <c r="P82" s="5"/>
      <c r="Q82" s="5"/>
      <c r="R82" s="14">
        <f t="shared" si="7"/>
        <v>5000</v>
      </c>
      <c r="S82" s="9">
        <v>12000</v>
      </c>
      <c r="T82" s="10">
        <v>5000</v>
      </c>
      <c r="U82" s="10" t="s">
        <v>980</v>
      </c>
      <c r="V82" s="7">
        <v>7000</v>
      </c>
      <c r="W82" s="7" t="s">
        <v>1550</v>
      </c>
      <c r="X82" s="6"/>
      <c r="Y82" s="6"/>
      <c r="Z82" s="8"/>
      <c r="AA82" s="8"/>
      <c r="AB82" s="10"/>
      <c r="AC82" s="10"/>
      <c r="AD82" s="15">
        <f t="shared" si="8"/>
        <v>0</v>
      </c>
      <c r="AE82" s="11"/>
      <c r="AF82" s="11"/>
      <c r="AG82" s="11"/>
      <c r="AH82" s="16">
        <f t="shared" si="9"/>
        <v>5000</v>
      </c>
    </row>
    <row r="83" spans="1:34" ht="30" x14ac:dyDescent="0.25">
      <c r="A83" s="2">
        <v>82</v>
      </c>
      <c r="B83" s="2"/>
      <c r="C83" s="2" t="s">
        <v>216</v>
      </c>
      <c r="D83" s="2" t="s">
        <v>217</v>
      </c>
      <c r="E83" s="2" t="s">
        <v>121</v>
      </c>
      <c r="F83" s="2"/>
      <c r="G83" s="3"/>
      <c r="H83" s="3"/>
      <c r="I83" s="3"/>
      <c r="J83" s="12">
        <f t="shared" si="5"/>
        <v>0</v>
      </c>
      <c r="K83" s="4"/>
      <c r="L83" s="4"/>
      <c r="M83" s="4"/>
      <c r="N83" s="13">
        <f t="shared" si="6"/>
        <v>0</v>
      </c>
      <c r="O83" s="5">
        <v>5000</v>
      </c>
      <c r="P83" s="5"/>
      <c r="Q83" s="5"/>
      <c r="R83" s="14">
        <f t="shared" si="7"/>
        <v>5000</v>
      </c>
      <c r="S83" s="9">
        <v>15000</v>
      </c>
      <c r="T83" s="10">
        <v>5000</v>
      </c>
      <c r="U83" s="10" t="s">
        <v>1259</v>
      </c>
      <c r="V83" s="7"/>
      <c r="W83" s="7"/>
      <c r="X83" s="6"/>
      <c r="Y83" s="6"/>
      <c r="Z83" s="8"/>
      <c r="AA83" s="8"/>
      <c r="AB83" s="10"/>
      <c r="AC83" s="10"/>
      <c r="AD83" s="15">
        <f t="shared" si="8"/>
        <v>10000</v>
      </c>
      <c r="AE83" s="11"/>
      <c r="AF83" s="11"/>
      <c r="AG83" s="11"/>
      <c r="AH83" s="16">
        <f t="shared" si="9"/>
        <v>15000</v>
      </c>
    </row>
    <row r="84" spans="1:34" ht="30" x14ac:dyDescent="0.25">
      <c r="A84" s="2">
        <v>83</v>
      </c>
      <c r="B84" s="2"/>
      <c r="C84" s="2" t="s">
        <v>1491</v>
      </c>
      <c r="D84" s="2" t="s">
        <v>218</v>
      </c>
      <c r="E84" s="2" t="s">
        <v>121</v>
      </c>
      <c r="F84" s="2">
        <v>3025447870</v>
      </c>
      <c r="G84" s="3"/>
      <c r="H84" s="3"/>
      <c r="I84" s="3"/>
      <c r="J84" s="12">
        <f t="shared" si="5"/>
        <v>0</v>
      </c>
      <c r="K84" s="4"/>
      <c r="L84" s="4"/>
      <c r="M84" s="4"/>
      <c r="N84" s="13">
        <f t="shared" si="6"/>
        <v>0</v>
      </c>
      <c r="O84" s="5">
        <v>5000</v>
      </c>
      <c r="P84" s="5"/>
      <c r="Q84" s="5"/>
      <c r="R84" s="14">
        <f t="shared" si="7"/>
        <v>5000</v>
      </c>
      <c r="S84" s="9">
        <v>25000</v>
      </c>
      <c r="T84" s="10">
        <v>5000</v>
      </c>
      <c r="U84" s="10" t="s">
        <v>1254</v>
      </c>
      <c r="V84" s="7">
        <v>5000</v>
      </c>
      <c r="W84" s="7" t="s">
        <v>1492</v>
      </c>
      <c r="X84" s="6"/>
      <c r="Y84" s="6"/>
      <c r="Z84" s="8"/>
      <c r="AA84" s="8"/>
      <c r="AB84" s="10"/>
      <c r="AC84" s="10"/>
      <c r="AD84" s="15">
        <f t="shared" si="8"/>
        <v>15000</v>
      </c>
      <c r="AE84" s="11"/>
      <c r="AF84" s="11"/>
      <c r="AG84" s="11"/>
      <c r="AH84" s="16">
        <f t="shared" si="9"/>
        <v>20000</v>
      </c>
    </row>
    <row r="85" spans="1:34" ht="30" x14ac:dyDescent="0.25">
      <c r="A85" s="2">
        <v>84</v>
      </c>
      <c r="B85" s="2"/>
      <c r="C85" s="2" t="s">
        <v>219</v>
      </c>
      <c r="D85" s="2" t="s">
        <v>220</v>
      </c>
      <c r="E85" s="2" t="s">
        <v>121</v>
      </c>
      <c r="F85" s="2">
        <v>3007891920</v>
      </c>
      <c r="G85" s="3"/>
      <c r="H85" s="3"/>
      <c r="I85" s="3"/>
      <c r="J85" s="12">
        <f t="shared" si="5"/>
        <v>0</v>
      </c>
      <c r="K85" s="4"/>
      <c r="L85" s="4"/>
      <c r="M85" s="4"/>
      <c r="N85" s="13">
        <f t="shared" si="6"/>
        <v>0</v>
      </c>
      <c r="O85" s="5">
        <v>5000</v>
      </c>
      <c r="P85" s="5"/>
      <c r="Q85" s="5"/>
      <c r="R85" s="14">
        <f t="shared" si="7"/>
        <v>5000</v>
      </c>
      <c r="S85" s="9">
        <v>25000</v>
      </c>
      <c r="T85" s="10">
        <v>7000</v>
      </c>
      <c r="U85" s="10" t="s">
        <v>1346</v>
      </c>
      <c r="V85" s="7"/>
      <c r="W85" s="7"/>
      <c r="X85" s="6"/>
      <c r="Y85" s="6"/>
      <c r="Z85" s="8"/>
      <c r="AA85" s="8"/>
      <c r="AB85" s="10"/>
      <c r="AC85" s="10"/>
      <c r="AD85" s="15">
        <f t="shared" si="8"/>
        <v>18000</v>
      </c>
      <c r="AE85" s="11"/>
      <c r="AF85" s="11"/>
      <c r="AG85" s="11"/>
      <c r="AH85" s="16">
        <f t="shared" si="9"/>
        <v>23000</v>
      </c>
    </row>
    <row r="86" spans="1:34" ht="30" x14ac:dyDescent="0.25">
      <c r="A86" s="2">
        <v>85</v>
      </c>
      <c r="B86" s="2"/>
      <c r="C86" s="2" t="s">
        <v>221</v>
      </c>
      <c r="D86" s="2" t="s">
        <v>222</v>
      </c>
      <c r="E86" s="2" t="s">
        <v>121</v>
      </c>
      <c r="F86" s="2">
        <v>3072183407</v>
      </c>
      <c r="G86" s="3"/>
      <c r="H86" s="3"/>
      <c r="I86" s="3"/>
      <c r="J86" s="12">
        <f t="shared" si="5"/>
        <v>0</v>
      </c>
      <c r="K86" s="4"/>
      <c r="L86" s="4"/>
      <c r="M86" s="4"/>
      <c r="N86" s="13">
        <f t="shared" si="6"/>
        <v>0</v>
      </c>
      <c r="O86" s="5">
        <v>5000</v>
      </c>
      <c r="P86" s="5"/>
      <c r="Q86" s="5"/>
      <c r="R86" s="14">
        <f t="shared" si="7"/>
        <v>5000</v>
      </c>
      <c r="S86" s="9">
        <v>27500</v>
      </c>
      <c r="T86" s="10">
        <v>5000</v>
      </c>
      <c r="U86" s="10" t="s">
        <v>1315</v>
      </c>
      <c r="V86" s="7"/>
      <c r="W86" s="7"/>
      <c r="X86" s="6"/>
      <c r="Y86" s="6"/>
      <c r="Z86" s="8"/>
      <c r="AA86" s="8"/>
      <c r="AB86" s="10"/>
      <c r="AC86" s="10"/>
      <c r="AD86" s="15">
        <f t="shared" si="8"/>
        <v>22500</v>
      </c>
      <c r="AE86" s="11"/>
      <c r="AF86" s="11"/>
      <c r="AG86" s="11"/>
      <c r="AH86" s="16">
        <f t="shared" si="9"/>
        <v>27500</v>
      </c>
    </row>
    <row r="87" spans="1:34" ht="30" x14ac:dyDescent="0.25">
      <c r="A87" s="2">
        <v>86</v>
      </c>
      <c r="B87" s="2"/>
      <c r="C87" s="2" t="s">
        <v>223</v>
      </c>
      <c r="D87" s="2" t="s">
        <v>224</v>
      </c>
      <c r="E87" s="2" t="s">
        <v>121</v>
      </c>
      <c r="F87" s="2">
        <v>3072711204</v>
      </c>
      <c r="G87" s="3"/>
      <c r="H87" s="3"/>
      <c r="I87" s="3"/>
      <c r="J87" s="12">
        <f t="shared" si="5"/>
        <v>0</v>
      </c>
      <c r="K87" s="4"/>
      <c r="L87" s="4"/>
      <c r="M87" s="4"/>
      <c r="N87" s="13">
        <f t="shared" si="6"/>
        <v>0</v>
      </c>
      <c r="O87" s="5">
        <v>0</v>
      </c>
      <c r="P87" s="5">
        <v>0</v>
      </c>
      <c r="Q87" s="5"/>
      <c r="R87" s="14">
        <f t="shared" si="7"/>
        <v>0</v>
      </c>
      <c r="S87" s="9">
        <v>24000</v>
      </c>
      <c r="T87" s="10">
        <v>5000</v>
      </c>
      <c r="U87" s="10" t="s">
        <v>988</v>
      </c>
      <c r="V87" s="7"/>
      <c r="W87" s="7"/>
      <c r="X87" s="6"/>
      <c r="Y87" s="6"/>
      <c r="Z87" s="8"/>
      <c r="AA87" s="8"/>
      <c r="AB87" s="10"/>
      <c r="AC87" s="10"/>
      <c r="AD87" s="15">
        <f t="shared" si="8"/>
        <v>19000</v>
      </c>
      <c r="AE87" s="11"/>
      <c r="AF87" s="11"/>
      <c r="AG87" s="11"/>
      <c r="AH87" s="16">
        <f t="shared" si="9"/>
        <v>19000</v>
      </c>
    </row>
    <row r="88" spans="1:34" ht="30" x14ac:dyDescent="0.25">
      <c r="A88" s="2">
        <v>87</v>
      </c>
      <c r="B88" s="2"/>
      <c r="C88" s="2" t="s">
        <v>225</v>
      </c>
      <c r="D88" s="2" t="s">
        <v>150</v>
      </c>
      <c r="E88" s="2" t="s">
        <v>226</v>
      </c>
      <c r="F88" s="2">
        <v>3077881105</v>
      </c>
      <c r="G88" s="3"/>
      <c r="H88" s="3"/>
      <c r="I88" s="3"/>
      <c r="J88" s="12">
        <f t="shared" si="5"/>
        <v>0</v>
      </c>
      <c r="K88" s="4"/>
      <c r="L88" s="4"/>
      <c r="M88" s="4"/>
      <c r="N88" s="13">
        <f t="shared" si="6"/>
        <v>0</v>
      </c>
      <c r="O88" s="5">
        <v>5000</v>
      </c>
      <c r="P88" s="5"/>
      <c r="Q88" s="5"/>
      <c r="R88" s="14">
        <f t="shared" si="7"/>
        <v>5000</v>
      </c>
      <c r="S88" s="9">
        <v>10000</v>
      </c>
      <c r="T88" s="10">
        <v>2000</v>
      </c>
      <c r="U88" s="10" t="s">
        <v>1075</v>
      </c>
      <c r="V88" s="7">
        <v>1000</v>
      </c>
      <c r="W88" s="7" t="s">
        <v>1474</v>
      </c>
      <c r="X88" s="6"/>
      <c r="Y88" s="6"/>
      <c r="Z88" s="8"/>
      <c r="AA88" s="8"/>
      <c r="AB88" s="10"/>
      <c r="AC88" s="10"/>
      <c r="AD88" s="15">
        <f t="shared" si="8"/>
        <v>7000</v>
      </c>
      <c r="AE88" s="11"/>
      <c r="AF88" s="11"/>
      <c r="AG88" s="11"/>
      <c r="AH88" s="16">
        <f t="shared" si="9"/>
        <v>12000</v>
      </c>
    </row>
    <row r="89" spans="1:34" ht="30" x14ac:dyDescent="0.25">
      <c r="A89" s="2">
        <v>88</v>
      </c>
      <c r="B89" s="2"/>
      <c r="C89" s="2" t="s">
        <v>227</v>
      </c>
      <c r="D89" s="2" t="s">
        <v>167</v>
      </c>
      <c r="E89" s="2" t="s">
        <v>226</v>
      </c>
      <c r="F89" s="2">
        <v>3071431287</v>
      </c>
      <c r="G89" s="3"/>
      <c r="H89" s="3"/>
      <c r="I89" s="3"/>
      <c r="J89" s="12">
        <f t="shared" si="5"/>
        <v>0</v>
      </c>
      <c r="K89" s="4"/>
      <c r="L89" s="4"/>
      <c r="M89" s="4"/>
      <c r="N89" s="13">
        <f t="shared" si="6"/>
        <v>0</v>
      </c>
      <c r="O89" s="5">
        <v>0</v>
      </c>
      <c r="P89" s="5">
        <v>0</v>
      </c>
      <c r="Q89" s="5"/>
      <c r="R89" s="14">
        <f t="shared" si="7"/>
        <v>0</v>
      </c>
      <c r="S89" s="9">
        <v>30000</v>
      </c>
      <c r="T89" s="10">
        <v>5000</v>
      </c>
      <c r="U89" s="10" t="s">
        <v>1014</v>
      </c>
      <c r="V89" s="7">
        <v>5000</v>
      </c>
      <c r="W89" s="7" t="s">
        <v>1230</v>
      </c>
      <c r="X89" s="6"/>
      <c r="Y89" s="6"/>
      <c r="Z89" s="8"/>
      <c r="AA89" s="8"/>
      <c r="AB89" s="10"/>
      <c r="AC89" s="10"/>
      <c r="AD89" s="15">
        <f t="shared" si="8"/>
        <v>20000</v>
      </c>
      <c r="AE89" s="11"/>
      <c r="AF89" s="11"/>
      <c r="AG89" s="11"/>
      <c r="AH89" s="16">
        <f t="shared" si="9"/>
        <v>20000</v>
      </c>
    </row>
    <row r="90" spans="1:34" ht="30" x14ac:dyDescent="0.25">
      <c r="A90" s="2">
        <v>89</v>
      </c>
      <c r="B90" s="2"/>
      <c r="C90" s="2" t="s">
        <v>228</v>
      </c>
      <c r="D90" s="2" t="s">
        <v>76</v>
      </c>
      <c r="E90" s="2" t="s">
        <v>226</v>
      </c>
      <c r="F90" s="2">
        <v>3072398362</v>
      </c>
      <c r="G90" s="3"/>
      <c r="H90" s="3"/>
      <c r="I90" s="3"/>
      <c r="J90" s="12">
        <f t="shared" si="5"/>
        <v>0</v>
      </c>
      <c r="K90" s="4"/>
      <c r="L90" s="4"/>
      <c r="M90" s="4"/>
      <c r="N90" s="13">
        <f t="shared" si="6"/>
        <v>0</v>
      </c>
      <c r="O90" s="5">
        <v>0</v>
      </c>
      <c r="P90" s="5">
        <v>0</v>
      </c>
      <c r="Q90" s="5"/>
      <c r="R90" s="14">
        <f t="shared" si="7"/>
        <v>0</v>
      </c>
      <c r="S90" s="9">
        <v>20000</v>
      </c>
      <c r="T90" s="10">
        <v>5000</v>
      </c>
      <c r="U90" s="10" t="s">
        <v>1004</v>
      </c>
      <c r="V90" s="7">
        <v>5000</v>
      </c>
      <c r="W90" s="7" t="s">
        <v>1706</v>
      </c>
      <c r="X90" s="6"/>
      <c r="Y90" s="6"/>
      <c r="Z90" s="8"/>
      <c r="AA90" s="8"/>
      <c r="AB90" s="10"/>
      <c r="AC90" s="10"/>
      <c r="AD90" s="15">
        <f t="shared" si="8"/>
        <v>10000</v>
      </c>
      <c r="AE90" s="11"/>
      <c r="AF90" s="11"/>
      <c r="AG90" s="11"/>
      <c r="AH90" s="16">
        <f t="shared" si="9"/>
        <v>10000</v>
      </c>
    </row>
    <row r="91" spans="1:34" ht="30" x14ac:dyDescent="0.25">
      <c r="A91" s="2">
        <v>90</v>
      </c>
      <c r="B91" s="2"/>
      <c r="C91" s="2" t="s">
        <v>229</v>
      </c>
      <c r="D91" s="2" t="s">
        <v>310</v>
      </c>
      <c r="E91" s="2" t="s">
        <v>226</v>
      </c>
      <c r="F91" s="2">
        <v>3076462842</v>
      </c>
      <c r="G91" s="3"/>
      <c r="H91" s="3"/>
      <c r="I91" s="3"/>
      <c r="J91" s="12">
        <f t="shared" si="5"/>
        <v>0</v>
      </c>
      <c r="K91" s="4"/>
      <c r="L91" s="4"/>
      <c r="M91" s="4"/>
      <c r="N91" s="13">
        <f t="shared" si="6"/>
        <v>0</v>
      </c>
      <c r="O91" s="5">
        <v>0</v>
      </c>
      <c r="P91" s="5">
        <v>0</v>
      </c>
      <c r="Q91" s="5"/>
      <c r="R91" s="14">
        <f t="shared" si="7"/>
        <v>0</v>
      </c>
      <c r="S91" s="9">
        <v>24000</v>
      </c>
      <c r="T91" s="10">
        <v>2000</v>
      </c>
      <c r="U91" s="10" t="s">
        <v>1007</v>
      </c>
      <c r="V91" s="7">
        <v>3000</v>
      </c>
      <c r="W91" s="7" t="s">
        <v>1046</v>
      </c>
      <c r="X91" s="6">
        <v>5000</v>
      </c>
      <c r="Y91" s="6" t="s">
        <v>1588</v>
      </c>
      <c r="Z91" s="8"/>
      <c r="AA91" s="8"/>
      <c r="AB91" s="10"/>
      <c r="AC91" s="10"/>
      <c r="AD91" s="15">
        <f t="shared" si="8"/>
        <v>14000</v>
      </c>
      <c r="AE91" s="11"/>
      <c r="AF91" s="11"/>
      <c r="AG91" s="11"/>
      <c r="AH91" s="16">
        <f t="shared" si="9"/>
        <v>14000</v>
      </c>
    </row>
    <row r="92" spans="1:34" ht="30" x14ac:dyDescent="0.25">
      <c r="A92" s="2">
        <v>91</v>
      </c>
      <c r="B92" s="2"/>
      <c r="C92" s="2" t="s">
        <v>230</v>
      </c>
      <c r="D92" s="2" t="s">
        <v>231</v>
      </c>
      <c r="E92" s="2" t="s">
        <v>226</v>
      </c>
      <c r="F92" s="2">
        <v>3017821608</v>
      </c>
      <c r="G92" s="3"/>
      <c r="H92" s="3"/>
      <c r="I92" s="3"/>
      <c r="J92" s="12">
        <f t="shared" si="5"/>
        <v>0</v>
      </c>
      <c r="K92" s="4"/>
      <c r="L92" s="4"/>
      <c r="M92" s="4"/>
      <c r="N92" s="13">
        <f t="shared" si="6"/>
        <v>0</v>
      </c>
      <c r="O92" s="5">
        <v>0</v>
      </c>
      <c r="P92" s="5">
        <v>0</v>
      </c>
      <c r="Q92" s="5"/>
      <c r="R92" s="14">
        <f t="shared" si="7"/>
        <v>0</v>
      </c>
      <c r="S92" s="9">
        <v>20000</v>
      </c>
      <c r="T92" s="10">
        <v>5000</v>
      </c>
      <c r="U92" s="10" t="s">
        <v>976</v>
      </c>
      <c r="V92" s="7"/>
      <c r="W92" s="7"/>
      <c r="X92" s="6"/>
      <c r="Y92" s="6"/>
      <c r="Z92" s="8"/>
      <c r="AA92" s="8"/>
      <c r="AB92" s="10"/>
      <c r="AC92" s="10"/>
      <c r="AD92" s="15">
        <f t="shared" si="8"/>
        <v>15000</v>
      </c>
      <c r="AE92" s="11"/>
      <c r="AF92" s="11"/>
      <c r="AG92" s="11"/>
      <c r="AH92" s="16">
        <f t="shared" si="9"/>
        <v>15000</v>
      </c>
    </row>
    <row r="93" spans="1:34" ht="30" x14ac:dyDescent="0.25">
      <c r="A93" s="2">
        <v>92</v>
      </c>
      <c r="B93" s="2"/>
      <c r="C93" s="2" t="s">
        <v>232</v>
      </c>
      <c r="D93" s="2" t="s">
        <v>233</v>
      </c>
      <c r="E93" s="2" t="s">
        <v>226</v>
      </c>
      <c r="F93" s="2">
        <v>3017480880</v>
      </c>
      <c r="G93" s="3"/>
      <c r="H93" s="3"/>
      <c r="I93" s="3"/>
      <c r="J93" s="12">
        <f t="shared" si="5"/>
        <v>0</v>
      </c>
      <c r="K93" s="4"/>
      <c r="L93" s="4"/>
      <c r="M93" s="4"/>
      <c r="N93" s="13">
        <f t="shared" si="6"/>
        <v>0</v>
      </c>
      <c r="O93" s="5">
        <v>0</v>
      </c>
      <c r="P93" s="5">
        <v>0</v>
      </c>
      <c r="Q93" s="5"/>
      <c r="R93" s="14">
        <f t="shared" si="7"/>
        <v>0</v>
      </c>
      <c r="S93" s="9">
        <v>18000</v>
      </c>
      <c r="T93" s="10">
        <v>2000</v>
      </c>
      <c r="U93" s="10" t="s">
        <v>985</v>
      </c>
      <c r="V93" s="7">
        <v>2000</v>
      </c>
      <c r="W93" s="7" t="s">
        <v>1106</v>
      </c>
      <c r="X93" s="6">
        <v>1000</v>
      </c>
      <c r="Y93" s="6" t="s">
        <v>1223</v>
      </c>
      <c r="Z93" s="8">
        <v>5000</v>
      </c>
      <c r="AA93" s="8" t="s">
        <v>1233</v>
      </c>
      <c r="AB93" s="10"/>
      <c r="AC93" s="10"/>
      <c r="AD93" s="15">
        <f t="shared" si="8"/>
        <v>8000</v>
      </c>
      <c r="AE93" s="11"/>
      <c r="AF93" s="11"/>
      <c r="AG93" s="11"/>
      <c r="AH93" s="16">
        <f t="shared" si="9"/>
        <v>8000</v>
      </c>
    </row>
    <row r="94" spans="1:34" ht="30" x14ac:dyDescent="0.25">
      <c r="A94" s="2">
        <v>93</v>
      </c>
      <c r="B94" s="2"/>
      <c r="C94" s="2" t="s">
        <v>234</v>
      </c>
      <c r="D94" s="2" t="s">
        <v>235</v>
      </c>
      <c r="E94" s="2" t="s">
        <v>226</v>
      </c>
      <c r="F94" s="2">
        <v>3060078424</v>
      </c>
      <c r="G94" s="3"/>
      <c r="H94" s="3"/>
      <c r="I94" s="3"/>
      <c r="J94" s="12">
        <f t="shared" si="5"/>
        <v>0</v>
      </c>
      <c r="K94" s="4"/>
      <c r="L94" s="4"/>
      <c r="M94" s="4"/>
      <c r="N94" s="13">
        <f t="shared" si="6"/>
        <v>0</v>
      </c>
      <c r="O94" s="5">
        <v>0</v>
      </c>
      <c r="P94" s="5">
        <v>0</v>
      </c>
      <c r="Q94" s="5"/>
      <c r="R94" s="14">
        <f t="shared" si="7"/>
        <v>0</v>
      </c>
      <c r="S94" s="9">
        <v>24000</v>
      </c>
      <c r="T94" s="10">
        <v>5000</v>
      </c>
      <c r="U94" s="10" t="s">
        <v>950</v>
      </c>
      <c r="V94" s="7">
        <v>5000</v>
      </c>
      <c r="W94" s="7" t="s">
        <v>1731</v>
      </c>
      <c r="X94" s="6"/>
      <c r="Y94" s="6"/>
      <c r="Z94" s="8"/>
      <c r="AA94" s="8"/>
      <c r="AB94" s="10"/>
      <c r="AC94" s="10"/>
      <c r="AD94" s="15">
        <f t="shared" si="8"/>
        <v>14000</v>
      </c>
      <c r="AE94" s="11"/>
      <c r="AF94" s="11"/>
      <c r="AG94" s="11"/>
      <c r="AH94" s="16">
        <f t="shared" si="9"/>
        <v>14000</v>
      </c>
    </row>
    <row r="95" spans="1:34" ht="30" x14ac:dyDescent="0.25">
      <c r="A95" s="2">
        <v>94</v>
      </c>
      <c r="B95" s="2"/>
      <c r="C95" s="2" t="s">
        <v>236</v>
      </c>
      <c r="D95" s="2" t="s">
        <v>111</v>
      </c>
      <c r="E95" s="2" t="s">
        <v>226</v>
      </c>
      <c r="F95" s="2">
        <v>3336231528</v>
      </c>
      <c r="G95" s="3"/>
      <c r="H95" s="3"/>
      <c r="I95" s="3"/>
      <c r="J95" s="12">
        <f t="shared" si="5"/>
        <v>0</v>
      </c>
      <c r="K95" s="4"/>
      <c r="L95" s="4"/>
      <c r="M95" s="4"/>
      <c r="N95" s="13">
        <f t="shared" si="6"/>
        <v>0</v>
      </c>
      <c r="O95" s="5">
        <v>0</v>
      </c>
      <c r="P95" s="5">
        <v>0</v>
      </c>
      <c r="Q95" s="5"/>
      <c r="R95" s="14">
        <f t="shared" si="7"/>
        <v>0</v>
      </c>
      <c r="S95" s="9">
        <v>23000</v>
      </c>
      <c r="T95" s="10">
        <v>5000</v>
      </c>
      <c r="U95" s="10" t="s">
        <v>1078</v>
      </c>
      <c r="V95" s="7">
        <v>6000</v>
      </c>
      <c r="W95" s="7" t="s">
        <v>1219</v>
      </c>
      <c r="X95" s="6"/>
      <c r="Y95" s="6"/>
      <c r="Z95" s="8"/>
      <c r="AA95" s="8"/>
      <c r="AB95" s="10"/>
      <c r="AC95" s="10"/>
      <c r="AD95" s="15">
        <f t="shared" si="8"/>
        <v>12000</v>
      </c>
      <c r="AE95" s="11"/>
      <c r="AF95" s="11"/>
      <c r="AG95" s="11"/>
      <c r="AH95" s="16">
        <f t="shared" si="9"/>
        <v>12000</v>
      </c>
    </row>
    <row r="96" spans="1:34" ht="30" x14ac:dyDescent="0.25">
      <c r="A96" s="2">
        <v>95</v>
      </c>
      <c r="B96" s="2"/>
      <c r="C96" s="2" t="s">
        <v>237</v>
      </c>
      <c r="D96" s="2" t="s">
        <v>238</v>
      </c>
      <c r="E96" s="2" t="s">
        <v>226</v>
      </c>
      <c r="F96" s="2">
        <v>3407137808</v>
      </c>
      <c r="G96" s="3"/>
      <c r="H96" s="3"/>
      <c r="I96" s="3"/>
      <c r="J96" s="12">
        <f t="shared" si="5"/>
        <v>0</v>
      </c>
      <c r="K96" s="4"/>
      <c r="L96" s="4"/>
      <c r="M96" s="4"/>
      <c r="N96" s="13">
        <f t="shared" si="6"/>
        <v>0</v>
      </c>
      <c r="O96" s="5">
        <v>0</v>
      </c>
      <c r="P96" s="5">
        <v>0</v>
      </c>
      <c r="Q96" s="5"/>
      <c r="R96" s="14">
        <f t="shared" si="7"/>
        <v>0</v>
      </c>
      <c r="S96" s="9">
        <v>24000</v>
      </c>
      <c r="T96" s="10">
        <v>1000</v>
      </c>
      <c r="U96" s="10" t="s">
        <v>982</v>
      </c>
      <c r="V96" s="7">
        <v>4000</v>
      </c>
      <c r="W96" s="7" t="s">
        <v>1102</v>
      </c>
      <c r="X96" s="6">
        <v>5000</v>
      </c>
      <c r="Y96" s="6" t="s">
        <v>1708</v>
      </c>
      <c r="Z96" s="8"/>
      <c r="AA96" s="8"/>
      <c r="AB96" s="10"/>
      <c r="AC96" s="10"/>
      <c r="AD96" s="15">
        <f t="shared" si="8"/>
        <v>14000</v>
      </c>
      <c r="AE96" s="11"/>
      <c r="AF96" s="11"/>
      <c r="AG96" s="11"/>
      <c r="AH96" s="16">
        <f t="shared" si="9"/>
        <v>14000</v>
      </c>
    </row>
    <row r="97" spans="1:34" ht="30" x14ac:dyDescent="0.25">
      <c r="A97" s="2">
        <v>96</v>
      </c>
      <c r="B97" s="2"/>
      <c r="C97" s="2" t="s">
        <v>239</v>
      </c>
      <c r="D97" s="2" t="s">
        <v>240</v>
      </c>
      <c r="E97" s="2" t="s">
        <v>226</v>
      </c>
      <c r="F97" s="2">
        <v>3044917530</v>
      </c>
      <c r="G97" s="3"/>
      <c r="H97" s="3"/>
      <c r="I97" s="3"/>
      <c r="J97" s="12">
        <f t="shared" si="5"/>
        <v>0</v>
      </c>
      <c r="K97" s="4"/>
      <c r="L97" s="4"/>
      <c r="M97" s="4"/>
      <c r="N97" s="13">
        <f t="shared" si="6"/>
        <v>0</v>
      </c>
      <c r="O97" s="5">
        <v>0</v>
      </c>
      <c r="P97" s="5">
        <v>0</v>
      </c>
      <c r="Q97" s="5"/>
      <c r="R97" s="14">
        <f t="shared" si="7"/>
        <v>0</v>
      </c>
      <c r="S97" s="9">
        <v>25000</v>
      </c>
      <c r="T97" s="10">
        <v>2000</v>
      </c>
      <c r="U97" s="10" t="s">
        <v>1093</v>
      </c>
      <c r="V97" s="7">
        <v>5500</v>
      </c>
      <c r="W97" s="7" t="s">
        <v>1460</v>
      </c>
      <c r="X97" s="6">
        <v>5500</v>
      </c>
      <c r="Y97" s="6" t="s">
        <v>1717</v>
      </c>
      <c r="Z97" s="8"/>
      <c r="AA97" s="8"/>
      <c r="AB97" s="10"/>
      <c r="AC97" s="10"/>
      <c r="AD97" s="15">
        <f t="shared" si="8"/>
        <v>12000</v>
      </c>
      <c r="AE97" s="11"/>
      <c r="AF97" s="11"/>
      <c r="AG97" s="11"/>
      <c r="AH97" s="16">
        <f t="shared" si="9"/>
        <v>12000</v>
      </c>
    </row>
    <row r="98" spans="1:34" ht="30" x14ac:dyDescent="0.25">
      <c r="A98" s="2">
        <v>97</v>
      </c>
      <c r="B98" s="2"/>
      <c r="C98" s="2" t="s">
        <v>301</v>
      </c>
      <c r="D98" s="2" t="s">
        <v>159</v>
      </c>
      <c r="E98" s="2" t="s">
        <v>226</v>
      </c>
      <c r="F98" s="2">
        <v>3047822499</v>
      </c>
      <c r="G98" s="3"/>
      <c r="H98" s="3"/>
      <c r="I98" s="3"/>
      <c r="J98" s="12">
        <f t="shared" si="5"/>
        <v>0</v>
      </c>
      <c r="K98" s="4"/>
      <c r="L98" s="4"/>
      <c r="M98" s="4"/>
      <c r="N98" s="13">
        <f t="shared" si="6"/>
        <v>0</v>
      </c>
      <c r="O98" s="5">
        <v>0</v>
      </c>
      <c r="P98" s="5">
        <v>0</v>
      </c>
      <c r="Q98" s="5"/>
      <c r="R98" s="14">
        <f t="shared" si="7"/>
        <v>0</v>
      </c>
      <c r="S98" s="9">
        <v>20000</v>
      </c>
      <c r="T98" s="10">
        <v>3000</v>
      </c>
      <c r="U98" s="10" t="s">
        <v>963</v>
      </c>
      <c r="V98" s="7">
        <v>6000</v>
      </c>
      <c r="W98" s="7" t="s">
        <v>1583</v>
      </c>
      <c r="X98" s="6"/>
      <c r="Y98" s="6"/>
      <c r="Z98" s="8"/>
      <c r="AA98" s="8"/>
      <c r="AB98" s="10"/>
      <c r="AC98" s="10"/>
      <c r="AD98" s="15">
        <f t="shared" si="8"/>
        <v>11000</v>
      </c>
      <c r="AE98" s="11"/>
      <c r="AF98" s="11"/>
      <c r="AG98" s="11"/>
      <c r="AH98" s="16">
        <f t="shared" si="9"/>
        <v>11000</v>
      </c>
    </row>
    <row r="99" spans="1:34" ht="30" x14ac:dyDescent="0.25">
      <c r="A99" s="2">
        <v>98</v>
      </c>
      <c r="B99" s="2"/>
      <c r="C99" s="2" t="s">
        <v>241</v>
      </c>
      <c r="D99" s="2" t="s">
        <v>242</v>
      </c>
      <c r="E99" s="2" t="s">
        <v>226</v>
      </c>
      <c r="F99" s="2">
        <v>3012938344</v>
      </c>
      <c r="G99" s="3"/>
      <c r="H99" s="3"/>
      <c r="I99" s="3"/>
      <c r="J99" s="12">
        <f t="shared" si="5"/>
        <v>0</v>
      </c>
      <c r="K99" s="4"/>
      <c r="L99" s="4"/>
      <c r="M99" s="4"/>
      <c r="N99" s="13">
        <f t="shared" si="6"/>
        <v>0</v>
      </c>
      <c r="O99" s="5">
        <v>0</v>
      </c>
      <c r="P99" s="5">
        <v>0</v>
      </c>
      <c r="Q99" s="5"/>
      <c r="R99" s="14">
        <f t="shared" si="7"/>
        <v>0</v>
      </c>
      <c r="S99" s="9">
        <v>20000</v>
      </c>
      <c r="T99" s="10">
        <v>5000</v>
      </c>
      <c r="U99" s="10" t="s">
        <v>1011</v>
      </c>
      <c r="V99" s="7">
        <v>5000</v>
      </c>
      <c r="W99" s="7" t="s">
        <v>1505</v>
      </c>
      <c r="X99" s="6"/>
      <c r="Y99" s="6"/>
      <c r="Z99" s="8"/>
      <c r="AA99" s="8"/>
      <c r="AB99" s="10"/>
      <c r="AC99" s="10"/>
      <c r="AD99" s="15">
        <f t="shared" si="8"/>
        <v>10000</v>
      </c>
      <c r="AE99" s="11"/>
      <c r="AF99" s="11"/>
      <c r="AG99" s="11"/>
      <c r="AH99" s="16">
        <f t="shared" si="9"/>
        <v>10000</v>
      </c>
    </row>
    <row r="100" spans="1:34" ht="30" x14ac:dyDescent="0.25">
      <c r="A100" s="2">
        <v>99</v>
      </c>
      <c r="B100" s="2"/>
      <c r="C100" s="2" t="s">
        <v>243</v>
      </c>
      <c r="D100" s="2" t="s">
        <v>244</v>
      </c>
      <c r="E100" s="2" t="s">
        <v>226</v>
      </c>
      <c r="F100" s="2">
        <v>3028016849</v>
      </c>
      <c r="G100" s="3"/>
      <c r="H100" s="3"/>
      <c r="I100" s="3"/>
      <c r="J100" s="12">
        <f t="shared" si="5"/>
        <v>0</v>
      </c>
      <c r="K100" s="4"/>
      <c r="L100" s="4"/>
      <c r="M100" s="4"/>
      <c r="N100" s="13">
        <f t="shared" si="6"/>
        <v>0</v>
      </c>
      <c r="O100" s="5"/>
      <c r="P100" s="5"/>
      <c r="Q100" s="5"/>
      <c r="R100" s="14">
        <f t="shared" si="7"/>
        <v>0</v>
      </c>
      <c r="S100" s="9"/>
      <c r="T100" s="10">
        <v>5000</v>
      </c>
      <c r="U100" s="10" t="s">
        <v>1072</v>
      </c>
      <c r="V100" s="7"/>
      <c r="W100" s="7"/>
      <c r="X100" s="6"/>
      <c r="Y100" s="6"/>
      <c r="Z100" s="8"/>
      <c r="AA100" s="8"/>
      <c r="AB100" s="10"/>
      <c r="AC100" s="10"/>
      <c r="AD100" s="15">
        <f t="shared" si="8"/>
        <v>-5000</v>
      </c>
      <c r="AE100" s="11"/>
      <c r="AF100" s="11"/>
      <c r="AG100" s="11"/>
      <c r="AH100" s="16">
        <f t="shared" si="9"/>
        <v>-5000</v>
      </c>
    </row>
    <row r="101" spans="1:34" ht="30" x14ac:dyDescent="0.25">
      <c r="A101" s="2">
        <v>100</v>
      </c>
      <c r="B101" s="2"/>
      <c r="C101" s="2" t="s">
        <v>1171</v>
      </c>
      <c r="D101" s="2" t="s">
        <v>1170</v>
      </c>
      <c r="E101" s="2" t="s">
        <v>226</v>
      </c>
      <c r="F101" s="2">
        <v>3047141663</v>
      </c>
      <c r="G101" s="3"/>
      <c r="H101" s="3"/>
      <c r="I101" s="3"/>
      <c r="J101" s="12">
        <f t="shared" si="5"/>
        <v>0</v>
      </c>
      <c r="K101" s="4"/>
      <c r="L101" s="4"/>
      <c r="M101" s="4"/>
      <c r="N101" s="13">
        <f t="shared" si="6"/>
        <v>0</v>
      </c>
      <c r="O101" s="5">
        <v>0</v>
      </c>
      <c r="P101" s="5">
        <v>0</v>
      </c>
      <c r="Q101" s="5"/>
      <c r="R101" s="14">
        <f t="shared" si="7"/>
        <v>0</v>
      </c>
      <c r="S101" s="9">
        <v>24000</v>
      </c>
      <c r="T101" s="10">
        <v>1000</v>
      </c>
      <c r="U101" s="10" t="s">
        <v>1073</v>
      </c>
      <c r="V101" s="7">
        <v>3000</v>
      </c>
      <c r="W101" s="7" t="s">
        <v>1172</v>
      </c>
      <c r="X101" s="6">
        <v>5000</v>
      </c>
      <c r="Y101" s="6" t="s">
        <v>1710</v>
      </c>
      <c r="Z101" s="8"/>
      <c r="AA101" s="8"/>
      <c r="AB101" s="10"/>
      <c r="AC101" s="10"/>
      <c r="AD101" s="15">
        <f t="shared" si="8"/>
        <v>15000</v>
      </c>
      <c r="AE101" s="11"/>
      <c r="AF101" s="11"/>
      <c r="AG101" s="11"/>
      <c r="AH101" s="16">
        <f t="shared" si="9"/>
        <v>15000</v>
      </c>
    </row>
    <row r="102" spans="1:34" ht="30" x14ac:dyDescent="0.25">
      <c r="A102" s="2">
        <v>101</v>
      </c>
      <c r="B102" s="2"/>
      <c r="C102" s="2" t="s">
        <v>245</v>
      </c>
      <c r="D102" s="2" t="s">
        <v>246</v>
      </c>
      <c r="E102" s="2" t="s">
        <v>226</v>
      </c>
      <c r="F102" s="2">
        <v>3427254123</v>
      </c>
      <c r="G102" s="3"/>
      <c r="H102" s="3"/>
      <c r="I102" s="3"/>
      <c r="J102" s="12">
        <f t="shared" si="5"/>
        <v>0</v>
      </c>
      <c r="K102" s="4"/>
      <c r="L102" s="4"/>
      <c r="M102" s="4"/>
      <c r="N102" s="13">
        <f t="shared" si="6"/>
        <v>0</v>
      </c>
      <c r="O102" s="5">
        <v>5000</v>
      </c>
      <c r="P102" s="5">
        <v>0</v>
      </c>
      <c r="Q102" s="5"/>
      <c r="R102" s="14">
        <f t="shared" si="7"/>
        <v>5000</v>
      </c>
      <c r="S102" s="9">
        <v>18000</v>
      </c>
      <c r="T102" s="10">
        <v>5000</v>
      </c>
      <c r="U102" s="10" t="s">
        <v>1080</v>
      </c>
      <c r="V102" s="7">
        <v>5000</v>
      </c>
      <c r="W102" s="7" t="s">
        <v>1738</v>
      </c>
      <c r="X102" s="6"/>
      <c r="Y102" s="6"/>
      <c r="Z102" s="8"/>
      <c r="AA102" s="8"/>
      <c r="AB102" s="10"/>
      <c r="AC102" s="10"/>
      <c r="AD102" s="15">
        <f t="shared" si="8"/>
        <v>8000</v>
      </c>
      <c r="AE102" s="11"/>
      <c r="AF102" s="11"/>
      <c r="AG102" s="11"/>
      <c r="AH102" s="16">
        <f t="shared" si="9"/>
        <v>13000</v>
      </c>
    </row>
    <row r="103" spans="1:34" ht="30" x14ac:dyDescent="0.25">
      <c r="A103" s="2">
        <v>102</v>
      </c>
      <c r="B103" s="2"/>
      <c r="C103" s="2" t="s">
        <v>247</v>
      </c>
      <c r="D103" s="2" t="s">
        <v>248</v>
      </c>
      <c r="E103" s="2" t="s">
        <v>226</v>
      </c>
      <c r="F103" s="2">
        <v>3467928355</v>
      </c>
      <c r="G103" s="3"/>
      <c r="H103" s="3"/>
      <c r="I103" s="3"/>
      <c r="J103" s="12">
        <f t="shared" si="5"/>
        <v>0</v>
      </c>
      <c r="K103" s="4"/>
      <c r="L103" s="4"/>
      <c r="M103" s="4"/>
      <c r="N103" s="13">
        <f t="shared" si="6"/>
        <v>0</v>
      </c>
      <c r="O103" s="5">
        <v>0</v>
      </c>
      <c r="P103" s="5">
        <v>0</v>
      </c>
      <c r="Q103" s="5"/>
      <c r="R103" s="14">
        <f t="shared" si="7"/>
        <v>0</v>
      </c>
      <c r="S103" s="9">
        <v>24000</v>
      </c>
      <c r="T103" s="10">
        <v>5000</v>
      </c>
      <c r="U103" s="10" t="s">
        <v>1009</v>
      </c>
      <c r="V103" s="7">
        <v>5000</v>
      </c>
      <c r="W103" s="7" t="s">
        <v>1307</v>
      </c>
      <c r="X103" s="6"/>
      <c r="Y103" s="6"/>
      <c r="Z103" s="8"/>
      <c r="AA103" s="8"/>
      <c r="AB103" s="10"/>
      <c r="AC103" s="10"/>
      <c r="AD103" s="15">
        <f t="shared" si="8"/>
        <v>14000</v>
      </c>
      <c r="AE103" s="11"/>
      <c r="AF103" s="11"/>
      <c r="AG103" s="11"/>
      <c r="AH103" s="16">
        <f t="shared" si="9"/>
        <v>14000</v>
      </c>
    </row>
    <row r="104" spans="1:34" ht="30" x14ac:dyDescent="0.25">
      <c r="A104" s="2">
        <v>103</v>
      </c>
      <c r="B104" s="2"/>
      <c r="C104" s="2" t="s">
        <v>249</v>
      </c>
      <c r="D104" s="2" t="s">
        <v>250</v>
      </c>
      <c r="E104" s="2" t="s">
        <v>226</v>
      </c>
      <c r="F104" s="2">
        <v>3036490119</v>
      </c>
      <c r="G104" s="3"/>
      <c r="H104" s="3"/>
      <c r="I104" s="3"/>
      <c r="J104" s="12">
        <f t="shared" ref="J104:J112" si="10">G104-H104</f>
        <v>0</v>
      </c>
      <c r="K104" s="4"/>
      <c r="L104" s="4"/>
      <c r="M104" s="4"/>
      <c r="N104" s="13">
        <f t="shared" ref="N104:N112" si="11">K104-L104</f>
        <v>0</v>
      </c>
      <c r="O104" s="5">
        <v>0</v>
      </c>
      <c r="P104" s="5">
        <v>0</v>
      </c>
      <c r="Q104" s="5"/>
      <c r="R104" s="14">
        <f t="shared" ref="R104:R112" si="12">O104-P104</f>
        <v>0</v>
      </c>
      <c r="S104" s="9">
        <v>20000</v>
      </c>
      <c r="T104" s="10">
        <v>1000</v>
      </c>
      <c r="U104" s="10" t="s">
        <v>984</v>
      </c>
      <c r="V104" s="7">
        <v>4000</v>
      </c>
      <c r="W104" s="7" t="s">
        <v>1091</v>
      </c>
      <c r="X104" s="6">
        <v>1000</v>
      </c>
      <c r="Y104" s="6" t="s">
        <v>1699</v>
      </c>
      <c r="Z104" s="8"/>
      <c r="AA104" s="8"/>
      <c r="AB104" s="10"/>
      <c r="AC104" s="10"/>
      <c r="AD104" s="15">
        <f t="shared" ref="AD104:AD112" si="13">S104-T104-V104-X104-Z104-AB104</f>
        <v>14000</v>
      </c>
      <c r="AE104" s="11"/>
      <c r="AF104" s="11"/>
      <c r="AG104" s="11"/>
      <c r="AH104" s="16">
        <f t="shared" ref="AH104:AH112" si="14">AD104+R104+N104+J104-AE104+AF104</f>
        <v>14000</v>
      </c>
    </row>
    <row r="105" spans="1:34" ht="30" x14ac:dyDescent="0.25">
      <c r="A105" s="2">
        <v>104</v>
      </c>
      <c r="B105" s="2"/>
      <c r="C105" s="2" t="s">
        <v>251</v>
      </c>
      <c r="D105" s="2" t="s">
        <v>248</v>
      </c>
      <c r="E105" s="2" t="s">
        <v>226</v>
      </c>
      <c r="F105" s="2">
        <v>3041534350</v>
      </c>
      <c r="G105" s="3"/>
      <c r="H105" s="3"/>
      <c r="I105" s="3"/>
      <c r="J105" s="12">
        <f t="shared" si="10"/>
        <v>0</v>
      </c>
      <c r="K105" s="4"/>
      <c r="L105" s="4"/>
      <c r="M105" s="4"/>
      <c r="N105" s="13">
        <f t="shared" si="11"/>
        <v>0</v>
      </c>
      <c r="O105" s="5">
        <v>0</v>
      </c>
      <c r="P105" s="5">
        <v>0</v>
      </c>
      <c r="Q105" s="5"/>
      <c r="R105" s="14">
        <f t="shared" si="12"/>
        <v>0</v>
      </c>
      <c r="S105" s="9">
        <v>18000</v>
      </c>
      <c r="T105" s="10">
        <v>6000</v>
      </c>
      <c r="U105" s="10" t="s">
        <v>1031</v>
      </c>
      <c r="V105" s="7"/>
      <c r="W105" s="7"/>
      <c r="X105" s="6"/>
      <c r="Y105" s="6"/>
      <c r="Z105" s="8"/>
      <c r="AA105" s="8"/>
      <c r="AB105" s="10"/>
      <c r="AC105" s="10"/>
      <c r="AD105" s="15">
        <f t="shared" si="13"/>
        <v>12000</v>
      </c>
      <c r="AE105" s="11"/>
      <c r="AF105" s="11"/>
      <c r="AG105" s="11"/>
      <c r="AH105" s="16">
        <f t="shared" si="14"/>
        <v>12000</v>
      </c>
    </row>
    <row r="106" spans="1:34" ht="30" x14ac:dyDescent="0.25">
      <c r="A106" s="2">
        <v>105</v>
      </c>
      <c r="B106" s="2"/>
      <c r="C106" s="2" t="s">
        <v>252</v>
      </c>
      <c r="D106" s="2" t="s">
        <v>253</v>
      </c>
      <c r="E106" s="2" t="s">
        <v>226</v>
      </c>
      <c r="F106" s="2">
        <v>3017811010</v>
      </c>
      <c r="G106" s="3"/>
      <c r="H106" s="3"/>
      <c r="I106" s="3"/>
      <c r="J106" s="12">
        <f t="shared" si="10"/>
        <v>0</v>
      </c>
      <c r="K106" s="4"/>
      <c r="L106" s="4"/>
      <c r="M106" s="4"/>
      <c r="N106" s="13">
        <f t="shared" si="11"/>
        <v>0</v>
      </c>
      <c r="O106" s="5">
        <v>0</v>
      </c>
      <c r="P106" s="5">
        <v>0</v>
      </c>
      <c r="Q106" s="5"/>
      <c r="R106" s="14">
        <f t="shared" si="12"/>
        <v>0</v>
      </c>
      <c r="S106" s="9">
        <v>20000</v>
      </c>
      <c r="T106" s="10">
        <v>3000</v>
      </c>
      <c r="U106" s="10" t="s">
        <v>1122</v>
      </c>
      <c r="V106" s="7">
        <v>5000</v>
      </c>
      <c r="W106" s="7" t="s">
        <v>1640</v>
      </c>
      <c r="X106" s="6"/>
      <c r="Y106" s="6"/>
      <c r="Z106" s="8"/>
      <c r="AA106" s="8"/>
      <c r="AB106" s="10"/>
      <c r="AC106" s="10"/>
      <c r="AD106" s="15">
        <f t="shared" si="13"/>
        <v>12000</v>
      </c>
      <c r="AE106" s="11"/>
      <c r="AF106" s="11"/>
      <c r="AG106" s="11"/>
      <c r="AH106" s="16">
        <f t="shared" si="14"/>
        <v>12000</v>
      </c>
    </row>
    <row r="107" spans="1:34" ht="30" x14ac:dyDescent="0.25">
      <c r="A107" s="2">
        <v>106</v>
      </c>
      <c r="B107" s="2"/>
      <c r="C107" s="2" t="s">
        <v>254</v>
      </c>
      <c r="D107" s="2" t="s">
        <v>255</v>
      </c>
      <c r="E107" s="2" t="s">
        <v>226</v>
      </c>
      <c r="F107" s="2">
        <v>3006884462</v>
      </c>
      <c r="G107" s="3"/>
      <c r="H107" s="3"/>
      <c r="I107" s="3"/>
      <c r="J107" s="12">
        <f t="shared" si="10"/>
        <v>0</v>
      </c>
      <c r="K107" s="4"/>
      <c r="L107" s="4"/>
      <c r="M107" s="4"/>
      <c r="N107" s="13">
        <f t="shared" si="11"/>
        <v>0</v>
      </c>
      <c r="O107" s="5">
        <v>0</v>
      </c>
      <c r="P107" s="5">
        <v>0</v>
      </c>
      <c r="Q107" s="5"/>
      <c r="R107" s="14">
        <f t="shared" si="12"/>
        <v>0</v>
      </c>
      <c r="S107" s="9">
        <v>24000</v>
      </c>
      <c r="T107" s="10">
        <v>15000</v>
      </c>
      <c r="U107" s="10" t="s">
        <v>948</v>
      </c>
      <c r="V107" s="7">
        <v>5000</v>
      </c>
      <c r="W107" s="7" t="s">
        <v>1145</v>
      </c>
      <c r="X107" s="6">
        <v>4000</v>
      </c>
      <c r="Y107" s="6" t="s">
        <v>1239</v>
      </c>
      <c r="Z107" s="8"/>
      <c r="AA107" s="8"/>
      <c r="AB107" s="10"/>
      <c r="AC107" s="10"/>
      <c r="AD107" s="15">
        <f t="shared" si="13"/>
        <v>0</v>
      </c>
      <c r="AE107" s="11"/>
      <c r="AF107" s="11"/>
      <c r="AG107" s="11"/>
      <c r="AH107" s="16">
        <f t="shared" si="14"/>
        <v>0</v>
      </c>
    </row>
    <row r="108" spans="1:34" ht="30" x14ac:dyDescent="0.25">
      <c r="A108" s="2">
        <v>107</v>
      </c>
      <c r="B108" s="2"/>
      <c r="C108" s="2" t="s">
        <v>256</v>
      </c>
      <c r="D108" s="2" t="s">
        <v>257</v>
      </c>
      <c r="E108" s="2" t="s">
        <v>226</v>
      </c>
      <c r="F108" s="2">
        <v>3017789100</v>
      </c>
      <c r="G108" s="3"/>
      <c r="H108" s="3"/>
      <c r="I108" s="3"/>
      <c r="J108" s="12">
        <f t="shared" si="10"/>
        <v>0</v>
      </c>
      <c r="K108" s="4"/>
      <c r="L108" s="4"/>
      <c r="M108" s="4"/>
      <c r="N108" s="13">
        <f t="shared" si="11"/>
        <v>0</v>
      </c>
      <c r="O108" s="5">
        <v>0</v>
      </c>
      <c r="P108" s="5">
        <v>0</v>
      </c>
      <c r="Q108" s="5"/>
      <c r="R108" s="14">
        <f t="shared" si="12"/>
        <v>0</v>
      </c>
      <c r="S108" s="9">
        <v>12000</v>
      </c>
      <c r="T108" s="10">
        <v>7000</v>
      </c>
      <c r="U108" s="10" t="s">
        <v>1115</v>
      </c>
      <c r="V108" s="7"/>
      <c r="W108" s="7"/>
      <c r="X108" s="6"/>
      <c r="Y108" s="6"/>
      <c r="Z108" s="8"/>
      <c r="AA108" s="8"/>
      <c r="AB108" s="10"/>
      <c r="AC108" s="10"/>
      <c r="AD108" s="15">
        <f t="shared" si="13"/>
        <v>5000</v>
      </c>
      <c r="AE108" s="11"/>
      <c r="AF108" s="11"/>
      <c r="AG108" s="11"/>
      <c r="AH108" s="16">
        <f t="shared" si="14"/>
        <v>5000</v>
      </c>
    </row>
    <row r="109" spans="1:34" ht="30" x14ac:dyDescent="0.25">
      <c r="A109" s="2">
        <v>108</v>
      </c>
      <c r="B109" s="2"/>
      <c r="C109" s="2" t="s">
        <v>258</v>
      </c>
      <c r="D109" s="2" t="s">
        <v>84</v>
      </c>
      <c r="E109" s="2" t="s">
        <v>226</v>
      </c>
      <c r="F109" s="2">
        <v>3083553633</v>
      </c>
      <c r="G109" s="3"/>
      <c r="H109" s="3"/>
      <c r="I109" s="3"/>
      <c r="J109" s="12">
        <f t="shared" si="10"/>
        <v>0</v>
      </c>
      <c r="K109" s="4"/>
      <c r="L109" s="4"/>
      <c r="M109" s="4"/>
      <c r="N109" s="13">
        <f t="shared" si="11"/>
        <v>0</v>
      </c>
      <c r="O109" s="5">
        <v>5000</v>
      </c>
      <c r="P109" s="5"/>
      <c r="Q109" s="5"/>
      <c r="R109" s="14">
        <f t="shared" si="12"/>
        <v>5000</v>
      </c>
      <c r="S109" s="9">
        <v>20000</v>
      </c>
      <c r="T109" s="10">
        <v>5000</v>
      </c>
      <c r="U109" s="10" t="s">
        <v>1222</v>
      </c>
      <c r="V109" s="7">
        <v>5000</v>
      </c>
      <c r="W109" s="7" t="s">
        <v>1264</v>
      </c>
      <c r="X109" s="6"/>
      <c r="Y109" s="6"/>
      <c r="Z109" s="8"/>
      <c r="AA109" s="8"/>
      <c r="AB109" s="10"/>
      <c r="AC109" s="10"/>
      <c r="AD109" s="15">
        <f t="shared" si="13"/>
        <v>10000</v>
      </c>
      <c r="AE109" s="11"/>
      <c r="AF109" s="11"/>
      <c r="AG109" s="11"/>
      <c r="AH109" s="16">
        <f t="shared" si="14"/>
        <v>15000</v>
      </c>
    </row>
    <row r="110" spans="1:34" ht="30" x14ac:dyDescent="0.25">
      <c r="A110" s="2">
        <v>109</v>
      </c>
      <c r="B110" s="2"/>
      <c r="C110" s="2" t="s">
        <v>259</v>
      </c>
      <c r="D110" s="2" t="s">
        <v>300</v>
      </c>
      <c r="E110" s="2" t="s">
        <v>226</v>
      </c>
      <c r="F110" s="2">
        <v>3437623554</v>
      </c>
      <c r="G110" s="3"/>
      <c r="H110" s="3"/>
      <c r="I110" s="3"/>
      <c r="J110" s="12">
        <f t="shared" si="10"/>
        <v>0</v>
      </c>
      <c r="K110" s="4"/>
      <c r="L110" s="4"/>
      <c r="M110" s="4"/>
      <c r="N110" s="13">
        <f t="shared" si="11"/>
        <v>0</v>
      </c>
      <c r="O110" s="5">
        <v>5000</v>
      </c>
      <c r="P110" s="5"/>
      <c r="Q110" s="5"/>
      <c r="R110" s="14">
        <f t="shared" si="12"/>
        <v>5000</v>
      </c>
      <c r="S110" s="9">
        <v>18000</v>
      </c>
      <c r="T110" s="10">
        <v>5000</v>
      </c>
      <c r="U110" s="10" t="s">
        <v>1101</v>
      </c>
      <c r="V110" s="7">
        <v>5000</v>
      </c>
      <c r="W110" s="7" t="s">
        <v>1575</v>
      </c>
      <c r="X110" s="6"/>
      <c r="Y110" s="6"/>
      <c r="Z110" s="8"/>
      <c r="AA110" s="8"/>
      <c r="AB110" s="10"/>
      <c r="AC110" s="10"/>
      <c r="AD110" s="15">
        <f t="shared" si="13"/>
        <v>8000</v>
      </c>
      <c r="AE110" s="11"/>
      <c r="AF110" s="11"/>
      <c r="AG110" s="11"/>
      <c r="AH110" s="16">
        <f t="shared" si="14"/>
        <v>13000</v>
      </c>
    </row>
    <row r="111" spans="1:34" ht="30" x14ac:dyDescent="0.25">
      <c r="A111" s="2">
        <v>110</v>
      </c>
      <c r="B111" s="2"/>
      <c r="C111" s="2" t="s">
        <v>260</v>
      </c>
      <c r="D111" s="2" t="s">
        <v>130</v>
      </c>
      <c r="E111" s="2" t="s">
        <v>226</v>
      </c>
      <c r="F111" s="2">
        <v>3014406123</v>
      </c>
      <c r="G111" s="3"/>
      <c r="H111" s="3"/>
      <c r="I111" s="3"/>
      <c r="J111" s="12">
        <f t="shared" si="10"/>
        <v>0</v>
      </c>
      <c r="K111" s="4"/>
      <c r="L111" s="4"/>
      <c r="M111" s="4"/>
      <c r="N111" s="13">
        <f t="shared" si="11"/>
        <v>0</v>
      </c>
      <c r="O111" s="5">
        <v>5000</v>
      </c>
      <c r="P111" s="5"/>
      <c r="Q111" s="5"/>
      <c r="R111" s="14">
        <f t="shared" si="12"/>
        <v>5000</v>
      </c>
      <c r="S111" s="9">
        <v>18000</v>
      </c>
      <c r="T111" s="10">
        <v>5000</v>
      </c>
      <c r="U111" s="10" t="s">
        <v>1024</v>
      </c>
      <c r="V111" s="7"/>
      <c r="W111" s="7"/>
      <c r="X111" s="6"/>
      <c r="Y111" s="6"/>
      <c r="Z111" s="8"/>
      <c r="AA111" s="8"/>
      <c r="AB111" s="10"/>
      <c r="AC111" s="10"/>
      <c r="AD111" s="15">
        <f t="shared" si="13"/>
        <v>13000</v>
      </c>
      <c r="AE111" s="11"/>
      <c r="AF111" s="11"/>
      <c r="AG111" s="11"/>
      <c r="AH111" s="16">
        <f t="shared" si="14"/>
        <v>18000</v>
      </c>
    </row>
    <row r="112" spans="1:34" ht="30" x14ac:dyDescent="0.25">
      <c r="A112" s="2">
        <v>111</v>
      </c>
      <c r="B112" s="2"/>
      <c r="C112" s="2" t="s">
        <v>261</v>
      </c>
      <c r="D112" s="2" t="s">
        <v>187</v>
      </c>
      <c r="E112" s="2" t="s">
        <v>226</v>
      </c>
      <c r="F112" s="2">
        <v>3026220142</v>
      </c>
      <c r="G112" s="3"/>
      <c r="H112" s="3"/>
      <c r="I112" s="3"/>
      <c r="J112" s="12">
        <f t="shared" si="10"/>
        <v>0</v>
      </c>
      <c r="K112" s="4"/>
      <c r="L112" s="4"/>
      <c r="M112" s="4"/>
      <c r="N112" s="13">
        <f t="shared" si="11"/>
        <v>0</v>
      </c>
      <c r="O112" s="5">
        <v>0</v>
      </c>
      <c r="P112" s="5">
        <v>0</v>
      </c>
      <c r="Q112" s="5"/>
      <c r="R112" s="14">
        <f t="shared" si="12"/>
        <v>0</v>
      </c>
      <c r="S112" s="9">
        <v>18000</v>
      </c>
      <c r="T112" s="10">
        <v>9000</v>
      </c>
      <c r="U112" s="10" t="s">
        <v>1071</v>
      </c>
      <c r="V112" s="7"/>
      <c r="W112" s="7"/>
      <c r="X112" s="6"/>
      <c r="Y112" s="6"/>
      <c r="Z112" s="8"/>
      <c r="AA112" s="8"/>
      <c r="AB112" s="10"/>
      <c r="AC112" s="10"/>
      <c r="AD112" s="15">
        <f t="shared" si="13"/>
        <v>9000</v>
      </c>
      <c r="AE112" s="11"/>
      <c r="AF112" s="11"/>
      <c r="AG112" s="11"/>
      <c r="AH112" s="16">
        <f t="shared" si="14"/>
        <v>9000</v>
      </c>
    </row>
    <row r="113" spans="1:34" ht="30" x14ac:dyDescent="0.25">
      <c r="A113" s="2">
        <v>112</v>
      </c>
      <c r="B113" s="2"/>
      <c r="C113" s="2" t="s">
        <v>262</v>
      </c>
      <c r="D113" s="2" t="s">
        <v>111</v>
      </c>
      <c r="E113" s="2" t="s">
        <v>226</v>
      </c>
      <c r="F113" s="2">
        <v>3038406948</v>
      </c>
      <c r="G113" s="3"/>
      <c r="H113" s="3"/>
      <c r="I113" s="3"/>
      <c r="J113" s="12">
        <f t="shared" ref="J113:J153" si="15">G113-H113</f>
        <v>0</v>
      </c>
      <c r="K113" s="4"/>
      <c r="L113" s="4"/>
      <c r="M113" s="4"/>
      <c r="N113" s="13">
        <f t="shared" ref="N113:N153" si="16">K113-L113</f>
        <v>0</v>
      </c>
      <c r="O113" s="5">
        <v>5000</v>
      </c>
      <c r="P113" s="5"/>
      <c r="Q113" s="5"/>
      <c r="R113" s="14">
        <f t="shared" ref="R113:R153" si="17">O113-P113</f>
        <v>5000</v>
      </c>
      <c r="S113" s="9">
        <v>18000</v>
      </c>
      <c r="T113" s="10">
        <v>4000</v>
      </c>
      <c r="U113" s="10" t="s">
        <v>1033</v>
      </c>
      <c r="V113" s="7">
        <v>4000</v>
      </c>
      <c r="W113" s="7" t="s">
        <v>1251</v>
      </c>
      <c r="X113" s="6"/>
      <c r="Y113" s="6"/>
      <c r="Z113" s="8"/>
      <c r="AA113" s="8"/>
      <c r="AB113" s="10"/>
      <c r="AC113" s="10"/>
      <c r="AD113" s="15">
        <f t="shared" ref="AD113:AD153" si="18">S113-T113-V113-X113-Z113-AB113</f>
        <v>10000</v>
      </c>
      <c r="AE113" s="11"/>
      <c r="AF113" s="11"/>
      <c r="AG113" s="11"/>
      <c r="AH113" s="16">
        <f t="shared" ref="AH113:AH153" si="19">AD113+R113+N113+J113-AE113+AF113</f>
        <v>15000</v>
      </c>
    </row>
    <row r="114" spans="1:34" ht="30" x14ac:dyDescent="0.25">
      <c r="A114" s="2">
        <v>113</v>
      </c>
      <c r="B114" s="2"/>
      <c r="C114" s="2" t="s">
        <v>263</v>
      </c>
      <c r="D114" s="2" t="s">
        <v>306</v>
      </c>
      <c r="E114" s="2" t="s">
        <v>226</v>
      </c>
      <c r="F114" s="2">
        <v>3030745153</v>
      </c>
      <c r="G114" s="3"/>
      <c r="H114" s="3"/>
      <c r="I114" s="3"/>
      <c r="J114" s="12">
        <f t="shared" si="15"/>
        <v>0</v>
      </c>
      <c r="K114" s="4"/>
      <c r="L114" s="4"/>
      <c r="M114" s="4"/>
      <c r="N114" s="13">
        <f t="shared" si="16"/>
        <v>0</v>
      </c>
      <c r="O114" s="5">
        <v>0</v>
      </c>
      <c r="P114" s="5">
        <v>0</v>
      </c>
      <c r="Q114" s="5"/>
      <c r="R114" s="14">
        <f t="shared" si="17"/>
        <v>0</v>
      </c>
      <c r="S114" s="9">
        <v>15000</v>
      </c>
      <c r="T114" s="10">
        <v>5000</v>
      </c>
      <c r="U114" s="10" t="s">
        <v>1227</v>
      </c>
      <c r="V114" s="7">
        <v>5000</v>
      </c>
      <c r="W114" s="7" t="s">
        <v>1444</v>
      </c>
      <c r="X114" s="6"/>
      <c r="Y114" s="6"/>
      <c r="Z114" s="8"/>
      <c r="AA114" s="8"/>
      <c r="AB114" s="10"/>
      <c r="AC114" s="10"/>
      <c r="AD114" s="15">
        <f t="shared" si="18"/>
        <v>5000</v>
      </c>
      <c r="AE114" s="11"/>
      <c r="AF114" s="11"/>
      <c r="AG114" s="11"/>
      <c r="AH114" s="16">
        <f t="shared" si="19"/>
        <v>5000</v>
      </c>
    </row>
    <row r="115" spans="1:34" ht="30" x14ac:dyDescent="0.25">
      <c r="A115" s="2">
        <v>114</v>
      </c>
      <c r="B115" s="2"/>
      <c r="C115" s="2" t="s">
        <v>264</v>
      </c>
      <c r="D115" s="2" t="s">
        <v>303</v>
      </c>
      <c r="E115" s="2" t="s">
        <v>226</v>
      </c>
      <c r="F115" s="2">
        <v>3068814801</v>
      </c>
      <c r="G115" s="3"/>
      <c r="H115" s="3"/>
      <c r="I115" s="3"/>
      <c r="J115" s="12">
        <f t="shared" si="15"/>
        <v>0</v>
      </c>
      <c r="K115" s="4"/>
      <c r="L115" s="4"/>
      <c r="M115" s="4"/>
      <c r="N115" s="13">
        <f t="shared" si="16"/>
        <v>0</v>
      </c>
      <c r="O115" s="5">
        <v>5000</v>
      </c>
      <c r="P115" s="5"/>
      <c r="Q115" s="5"/>
      <c r="R115" s="14">
        <f t="shared" si="17"/>
        <v>5000</v>
      </c>
      <c r="S115" s="9">
        <v>10000</v>
      </c>
      <c r="T115" s="10">
        <v>5000</v>
      </c>
      <c r="U115" s="10" t="s">
        <v>1109</v>
      </c>
      <c r="V115" s="7"/>
      <c r="W115" s="7"/>
      <c r="X115" s="6"/>
      <c r="Y115" s="6"/>
      <c r="Z115" s="8"/>
      <c r="AA115" s="8"/>
      <c r="AB115" s="10"/>
      <c r="AC115" s="10"/>
      <c r="AD115" s="15">
        <f t="shared" si="18"/>
        <v>5000</v>
      </c>
      <c r="AE115" s="11"/>
      <c r="AF115" s="11"/>
      <c r="AG115" s="11"/>
      <c r="AH115" s="16">
        <f t="shared" si="19"/>
        <v>10000</v>
      </c>
    </row>
    <row r="116" spans="1:34" ht="30" x14ac:dyDescent="0.25">
      <c r="A116" s="2">
        <v>115</v>
      </c>
      <c r="B116" s="2"/>
      <c r="C116" s="2" t="s">
        <v>265</v>
      </c>
      <c r="D116" s="2" t="s">
        <v>159</v>
      </c>
      <c r="E116" s="2" t="s">
        <v>226</v>
      </c>
      <c r="F116" s="2">
        <v>3068655727</v>
      </c>
      <c r="G116" s="3"/>
      <c r="H116" s="3"/>
      <c r="I116" s="3"/>
      <c r="J116" s="12">
        <f t="shared" si="15"/>
        <v>0</v>
      </c>
      <c r="K116" s="4"/>
      <c r="L116" s="4"/>
      <c r="M116" s="4"/>
      <c r="N116" s="13">
        <f t="shared" si="16"/>
        <v>0</v>
      </c>
      <c r="O116" s="5">
        <v>0</v>
      </c>
      <c r="P116" s="5">
        <v>0</v>
      </c>
      <c r="Q116" s="5"/>
      <c r="R116" s="14">
        <f t="shared" si="17"/>
        <v>0</v>
      </c>
      <c r="S116" s="9">
        <v>15000</v>
      </c>
      <c r="T116" s="10">
        <v>5000</v>
      </c>
      <c r="U116" s="10" t="s">
        <v>1032</v>
      </c>
      <c r="V116" s="7"/>
      <c r="W116" s="7"/>
      <c r="X116" s="6"/>
      <c r="Y116" s="6"/>
      <c r="Z116" s="8"/>
      <c r="AA116" s="8"/>
      <c r="AB116" s="10"/>
      <c r="AC116" s="10"/>
      <c r="AD116" s="15">
        <f t="shared" si="18"/>
        <v>10000</v>
      </c>
      <c r="AE116" s="11"/>
      <c r="AF116" s="11"/>
      <c r="AG116" s="11"/>
      <c r="AH116" s="16">
        <f t="shared" si="19"/>
        <v>10000</v>
      </c>
    </row>
    <row r="117" spans="1:34" ht="30" x14ac:dyDescent="0.25">
      <c r="A117" s="2">
        <v>116</v>
      </c>
      <c r="B117" s="2"/>
      <c r="C117" s="2" t="s">
        <v>266</v>
      </c>
      <c r="D117" s="2" t="s">
        <v>98</v>
      </c>
      <c r="E117" s="2" t="s">
        <v>226</v>
      </c>
      <c r="F117" s="2">
        <v>3437307596</v>
      </c>
      <c r="G117" s="3"/>
      <c r="H117" s="3"/>
      <c r="I117" s="3"/>
      <c r="J117" s="12">
        <f t="shared" si="15"/>
        <v>0</v>
      </c>
      <c r="K117" s="4"/>
      <c r="L117" s="4"/>
      <c r="M117" s="4"/>
      <c r="N117" s="13">
        <f t="shared" si="16"/>
        <v>0</v>
      </c>
      <c r="O117" s="5">
        <v>0</v>
      </c>
      <c r="P117" s="5">
        <v>0</v>
      </c>
      <c r="Q117" s="5"/>
      <c r="R117" s="14">
        <f t="shared" si="17"/>
        <v>0</v>
      </c>
      <c r="S117" s="9">
        <v>25000</v>
      </c>
      <c r="T117" s="10">
        <v>5000</v>
      </c>
      <c r="U117" s="10" t="s">
        <v>1035</v>
      </c>
      <c r="V117" s="7">
        <v>5000</v>
      </c>
      <c r="W117" s="7" t="s">
        <v>1680</v>
      </c>
      <c r="X117" s="6"/>
      <c r="Y117" s="6"/>
      <c r="Z117" s="8"/>
      <c r="AA117" s="8"/>
      <c r="AB117" s="10"/>
      <c r="AC117" s="10"/>
      <c r="AD117" s="15">
        <f t="shared" si="18"/>
        <v>15000</v>
      </c>
      <c r="AE117" s="11"/>
      <c r="AF117" s="11"/>
      <c r="AG117" s="11"/>
      <c r="AH117" s="16">
        <f t="shared" si="19"/>
        <v>15000</v>
      </c>
    </row>
    <row r="118" spans="1:34" ht="30" x14ac:dyDescent="0.25">
      <c r="A118" s="2">
        <v>117</v>
      </c>
      <c r="B118" s="2"/>
      <c r="C118" s="2" t="s">
        <v>267</v>
      </c>
      <c r="D118" s="2" t="s">
        <v>644</v>
      </c>
      <c r="E118" s="2" t="s">
        <v>226</v>
      </c>
      <c r="F118" s="2">
        <v>3060613084</v>
      </c>
      <c r="G118" s="3"/>
      <c r="H118" s="3"/>
      <c r="I118" s="3"/>
      <c r="J118" s="12">
        <f t="shared" si="15"/>
        <v>0</v>
      </c>
      <c r="K118" s="4"/>
      <c r="L118" s="4"/>
      <c r="M118" s="4"/>
      <c r="N118" s="13">
        <f t="shared" si="16"/>
        <v>0</v>
      </c>
      <c r="O118" s="5">
        <v>5000</v>
      </c>
      <c r="P118" s="5">
        <v>0</v>
      </c>
      <c r="Q118" s="5"/>
      <c r="R118" s="14">
        <f t="shared" si="17"/>
        <v>5000</v>
      </c>
      <c r="S118" s="9">
        <v>18000</v>
      </c>
      <c r="T118" s="10">
        <v>3500</v>
      </c>
      <c r="U118" s="10" t="s">
        <v>1130</v>
      </c>
      <c r="V118" s="7">
        <v>5000</v>
      </c>
      <c r="W118" s="7" t="s">
        <v>1451</v>
      </c>
      <c r="X118" s="6"/>
      <c r="Y118" s="6"/>
      <c r="Z118" s="8"/>
      <c r="AA118" s="8"/>
      <c r="AB118" s="10"/>
      <c r="AC118" s="10"/>
      <c r="AD118" s="15">
        <f t="shared" si="18"/>
        <v>9500</v>
      </c>
      <c r="AE118" s="11"/>
      <c r="AF118" s="11"/>
      <c r="AG118" s="11"/>
      <c r="AH118" s="16">
        <f t="shared" si="19"/>
        <v>14500</v>
      </c>
    </row>
    <row r="119" spans="1:34" ht="30" x14ac:dyDescent="0.25">
      <c r="A119" s="2">
        <v>118</v>
      </c>
      <c r="B119" s="2"/>
      <c r="C119" s="2" t="s">
        <v>268</v>
      </c>
      <c r="D119" s="2" t="s">
        <v>1255</v>
      </c>
      <c r="E119" s="2" t="s">
        <v>226</v>
      </c>
      <c r="F119" s="2">
        <v>3027941360</v>
      </c>
      <c r="G119" s="3"/>
      <c r="H119" s="3"/>
      <c r="I119" s="3"/>
      <c r="J119" s="12">
        <f t="shared" si="15"/>
        <v>0</v>
      </c>
      <c r="K119" s="4"/>
      <c r="L119" s="4"/>
      <c r="M119" s="4"/>
      <c r="N119" s="13">
        <f t="shared" si="16"/>
        <v>0</v>
      </c>
      <c r="O119" s="5">
        <v>5000</v>
      </c>
      <c r="P119" s="5"/>
      <c r="Q119" s="5"/>
      <c r="R119" s="14">
        <f t="shared" si="17"/>
        <v>5000</v>
      </c>
      <c r="S119" s="9"/>
      <c r="T119" s="10">
        <v>5000</v>
      </c>
      <c r="U119" s="10" t="s">
        <v>1256</v>
      </c>
      <c r="V119" s="7"/>
      <c r="W119" s="7"/>
      <c r="X119" s="6"/>
      <c r="Y119" s="6"/>
      <c r="Z119" s="8"/>
      <c r="AA119" s="8"/>
      <c r="AB119" s="10"/>
      <c r="AC119" s="10"/>
      <c r="AD119" s="15">
        <f t="shared" si="18"/>
        <v>-5000</v>
      </c>
      <c r="AE119" s="11"/>
      <c r="AF119" s="11"/>
      <c r="AG119" s="11"/>
      <c r="AH119" s="16">
        <f t="shared" si="19"/>
        <v>0</v>
      </c>
    </row>
    <row r="120" spans="1:34" ht="30" x14ac:dyDescent="0.25">
      <c r="A120" s="2">
        <v>119</v>
      </c>
      <c r="B120" s="2"/>
      <c r="C120" s="2" t="s">
        <v>270</v>
      </c>
      <c r="D120" s="2" t="s">
        <v>302</v>
      </c>
      <c r="E120" s="2" t="s">
        <v>226</v>
      </c>
      <c r="F120" s="2">
        <v>3413335518</v>
      </c>
      <c r="G120" s="3"/>
      <c r="H120" s="3"/>
      <c r="I120" s="3"/>
      <c r="J120" s="12">
        <f t="shared" si="15"/>
        <v>0</v>
      </c>
      <c r="K120" s="4"/>
      <c r="L120" s="4"/>
      <c r="M120" s="4"/>
      <c r="N120" s="13">
        <f t="shared" si="16"/>
        <v>0</v>
      </c>
      <c r="O120" s="5">
        <v>0</v>
      </c>
      <c r="P120" s="5">
        <v>0</v>
      </c>
      <c r="Q120" s="5"/>
      <c r="R120" s="14">
        <f t="shared" si="17"/>
        <v>0</v>
      </c>
      <c r="S120" s="9">
        <v>20000</v>
      </c>
      <c r="T120" s="10">
        <v>8000</v>
      </c>
      <c r="U120" s="10" t="s">
        <v>1036</v>
      </c>
      <c r="V120" s="7">
        <v>5000</v>
      </c>
      <c r="W120" s="7" t="s">
        <v>1709</v>
      </c>
      <c r="X120" s="6"/>
      <c r="Y120" s="6"/>
      <c r="Z120" s="8"/>
      <c r="AA120" s="8"/>
      <c r="AB120" s="10"/>
      <c r="AC120" s="10"/>
      <c r="AD120" s="15">
        <f t="shared" si="18"/>
        <v>7000</v>
      </c>
      <c r="AE120" s="11"/>
      <c r="AF120" s="11"/>
      <c r="AG120" s="11"/>
      <c r="AH120" s="16">
        <f t="shared" si="19"/>
        <v>7000</v>
      </c>
    </row>
    <row r="121" spans="1:34" ht="30" x14ac:dyDescent="0.25">
      <c r="A121" s="2">
        <v>120</v>
      </c>
      <c r="B121" s="2"/>
      <c r="C121" s="2" t="s">
        <v>271</v>
      </c>
      <c r="D121" s="2" t="s">
        <v>309</v>
      </c>
      <c r="E121" s="2" t="s">
        <v>226</v>
      </c>
      <c r="F121" s="2">
        <v>3035582867</v>
      </c>
      <c r="G121" s="3"/>
      <c r="H121" s="3"/>
      <c r="I121" s="3"/>
      <c r="J121" s="12">
        <f t="shared" si="15"/>
        <v>0</v>
      </c>
      <c r="K121" s="4"/>
      <c r="L121" s="4"/>
      <c r="M121" s="4"/>
      <c r="N121" s="13">
        <f t="shared" si="16"/>
        <v>0</v>
      </c>
      <c r="O121" s="5">
        <v>5000</v>
      </c>
      <c r="P121" s="5"/>
      <c r="Q121" s="5"/>
      <c r="R121" s="14">
        <f t="shared" si="17"/>
        <v>5000</v>
      </c>
      <c r="S121" s="9">
        <v>25000</v>
      </c>
      <c r="T121" s="10">
        <v>5000</v>
      </c>
      <c r="U121" s="10" t="s">
        <v>1117</v>
      </c>
      <c r="V121" s="7">
        <v>9000</v>
      </c>
      <c r="W121" s="7" t="s">
        <v>1507</v>
      </c>
      <c r="X121" s="6"/>
      <c r="Y121" s="6"/>
      <c r="Z121" s="8"/>
      <c r="AA121" s="8"/>
      <c r="AB121" s="10"/>
      <c r="AC121" s="10"/>
      <c r="AD121" s="15">
        <f t="shared" si="18"/>
        <v>11000</v>
      </c>
      <c r="AE121" s="11"/>
      <c r="AF121" s="11"/>
      <c r="AG121" s="11"/>
      <c r="AH121" s="16">
        <f t="shared" si="19"/>
        <v>16000</v>
      </c>
    </row>
    <row r="122" spans="1:34" ht="21" x14ac:dyDescent="0.25">
      <c r="A122" s="2">
        <v>121</v>
      </c>
      <c r="B122" s="2"/>
      <c r="C122" s="2" t="s">
        <v>272</v>
      </c>
      <c r="D122" s="2" t="s">
        <v>273</v>
      </c>
      <c r="E122" s="2" t="s">
        <v>226</v>
      </c>
      <c r="F122" s="2">
        <v>3000691465</v>
      </c>
      <c r="G122" s="3"/>
      <c r="H122" s="3"/>
      <c r="I122" s="3"/>
      <c r="J122" s="12">
        <f t="shared" si="15"/>
        <v>0</v>
      </c>
      <c r="K122" s="4"/>
      <c r="L122" s="4"/>
      <c r="M122" s="4"/>
      <c r="N122" s="13">
        <f t="shared" si="16"/>
        <v>0</v>
      </c>
      <c r="O122" s="5">
        <v>5000</v>
      </c>
      <c r="P122" s="5"/>
      <c r="Q122" s="5"/>
      <c r="R122" s="14">
        <f t="shared" si="17"/>
        <v>5000</v>
      </c>
      <c r="S122" s="9">
        <v>25000</v>
      </c>
      <c r="T122" s="10"/>
      <c r="U122" s="10"/>
      <c r="V122" s="7"/>
      <c r="W122" s="7"/>
      <c r="X122" s="6"/>
      <c r="Y122" s="6"/>
      <c r="Z122" s="8"/>
      <c r="AA122" s="8"/>
      <c r="AB122" s="10"/>
      <c r="AC122" s="10"/>
      <c r="AD122" s="15">
        <f t="shared" si="18"/>
        <v>25000</v>
      </c>
      <c r="AE122" s="11"/>
      <c r="AF122" s="11"/>
      <c r="AG122" s="11"/>
      <c r="AH122" s="16">
        <f t="shared" si="19"/>
        <v>30000</v>
      </c>
    </row>
    <row r="123" spans="1:34" ht="30" x14ac:dyDescent="0.25">
      <c r="A123" s="2">
        <v>122</v>
      </c>
      <c r="B123" s="2"/>
      <c r="C123" s="2" t="s">
        <v>274</v>
      </c>
      <c r="D123" s="2" t="s">
        <v>98</v>
      </c>
      <c r="E123" s="2" t="s">
        <v>226</v>
      </c>
      <c r="F123" s="2">
        <v>3015435957</v>
      </c>
      <c r="G123" s="3"/>
      <c r="H123" s="3"/>
      <c r="I123" s="3"/>
      <c r="J123" s="12">
        <f t="shared" si="15"/>
        <v>0</v>
      </c>
      <c r="K123" s="4"/>
      <c r="L123" s="4"/>
      <c r="M123" s="4"/>
      <c r="N123" s="13">
        <f t="shared" si="16"/>
        <v>0</v>
      </c>
      <c r="O123" s="5">
        <v>5000</v>
      </c>
      <c r="P123" s="5">
        <v>5000</v>
      </c>
      <c r="Q123" s="5" t="s">
        <v>304</v>
      </c>
      <c r="R123" s="14">
        <f t="shared" si="17"/>
        <v>0</v>
      </c>
      <c r="S123" s="9">
        <v>17000</v>
      </c>
      <c r="T123" s="10">
        <v>3000</v>
      </c>
      <c r="U123" s="10" t="s">
        <v>1700</v>
      </c>
      <c r="V123" s="7"/>
      <c r="W123" s="7"/>
      <c r="X123" s="6"/>
      <c r="Y123" s="6"/>
      <c r="Z123" s="8"/>
      <c r="AA123" s="8"/>
      <c r="AB123" s="10"/>
      <c r="AC123" s="10"/>
      <c r="AD123" s="15">
        <f t="shared" si="18"/>
        <v>14000</v>
      </c>
      <c r="AE123" s="11"/>
      <c r="AF123" s="11"/>
      <c r="AG123" s="11"/>
      <c r="AH123" s="16">
        <f t="shared" si="19"/>
        <v>14000</v>
      </c>
    </row>
    <row r="124" spans="1:34" ht="30" x14ac:dyDescent="0.25">
      <c r="A124" s="2">
        <v>123</v>
      </c>
      <c r="B124" s="2"/>
      <c r="C124" s="2" t="s">
        <v>275</v>
      </c>
      <c r="D124" s="2" t="s">
        <v>68</v>
      </c>
      <c r="E124" s="2" t="s">
        <v>226</v>
      </c>
      <c r="F124" s="2">
        <v>3444249521</v>
      </c>
      <c r="G124" s="3"/>
      <c r="H124" s="3"/>
      <c r="I124" s="3"/>
      <c r="J124" s="12">
        <f t="shared" si="15"/>
        <v>0</v>
      </c>
      <c r="K124" s="4"/>
      <c r="L124" s="4"/>
      <c r="M124" s="4"/>
      <c r="N124" s="13">
        <f t="shared" si="16"/>
        <v>0</v>
      </c>
      <c r="O124" s="5">
        <v>5000</v>
      </c>
      <c r="P124" s="5"/>
      <c r="Q124" s="5"/>
      <c r="R124" s="14">
        <f t="shared" si="17"/>
        <v>5000</v>
      </c>
      <c r="S124" s="9">
        <v>20000</v>
      </c>
      <c r="T124" s="10">
        <v>4000</v>
      </c>
      <c r="U124" s="10" t="s">
        <v>1128</v>
      </c>
      <c r="V124" s="7">
        <v>5000</v>
      </c>
      <c r="W124" s="7" t="s">
        <v>1238</v>
      </c>
      <c r="X124" s="6"/>
      <c r="Y124" s="6"/>
      <c r="Z124" s="8"/>
      <c r="AA124" s="8"/>
      <c r="AB124" s="10"/>
      <c r="AC124" s="10"/>
      <c r="AD124" s="15">
        <f t="shared" si="18"/>
        <v>11000</v>
      </c>
      <c r="AE124" s="11"/>
      <c r="AF124" s="11"/>
      <c r="AG124" s="11"/>
      <c r="AH124" s="16">
        <f t="shared" si="19"/>
        <v>16000</v>
      </c>
    </row>
    <row r="125" spans="1:34" ht="30" x14ac:dyDescent="0.25">
      <c r="A125" s="2">
        <v>124</v>
      </c>
      <c r="B125" s="2"/>
      <c r="C125" s="2" t="s">
        <v>276</v>
      </c>
      <c r="D125" s="2" t="s">
        <v>305</v>
      </c>
      <c r="E125" s="2" t="s">
        <v>226</v>
      </c>
      <c r="F125" s="2">
        <v>3400167497</v>
      </c>
      <c r="G125" s="3"/>
      <c r="H125" s="3"/>
      <c r="I125" s="3"/>
      <c r="J125" s="12">
        <f t="shared" si="15"/>
        <v>0</v>
      </c>
      <c r="K125" s="4"/>
      <c r="L125" s="4"/>
      <c r="M125" s="4"/>
      <c r="N125" s="13">
        <f t="shared" si="16"/>
        <v>0</v>
      </c>
      <c r="O125" s="5">
        <v>5000</v>
      </c>
      <c r="P125" s="5"/>
      <c r="Q125" s="5"/>
      <c r="R125" s="14">
        <f t="shared" si="17"/>
        <v>5000</v>
      </c>
      <c r="S125" s="9">
        <v>27000</v>
      </c>
      <c r="T125" s="10">
        <v>5000</v>
      </c>
      <c r="U125" s="10" t="s">
        <v>1132</v>
      </c>
      <c r="V125" s="7">
        <v>5000</v>
      </c>
      <c r="W125" s="7" t="s">
        <v>1325</v>
      </c>
      <c r="X125" s="6">
        <v>5000</v>
      </c>
      <c r="Y125" s="6" t="s">
        <v>1829</v>
      </c>
      <c r="Z125" s="8"/>
      <c r="AA125" s="8"/>
      <c r="AB125" s="10"/>
      <c r="AC125" s="10"/>
      <c r="AD125" s="15">
        <f t="shared" si="18"/>
        <v>12000</v>
      </c>
      <c r="AE125" s="11"/>
      <c r="AF125" s="11"/>
      <c r="AG125" s="11"/>
      <c r="AH125" s="16">
        <f t="shared" si="19"/>
        <v>17000</v>
      </c>
    </row>
    <row r="126" spans="1:34" ht="30" x14ac:dyDescent="0.25">
      <c r="A126" s="2">
        <v>125</v>
      </c>
      <c r="B126" s="2"/>
      <c r="C126" s="2" t="s">
        <v>277</v>
      </c>
      <c r="D126" s="2" t="s">
        <v>204</v>
      </c>
      <c r="E126" s="2" t="s">
        <v>226</v>
      </c>
      <c r="F126" s="2">
        <v>3347735911</v>
      </c>
      <c r="G126" s="3"/>
      <c r="H126" s="3"/>
      <c r="I126" s="3"/>
      <c r="J126" s="12">
        <f t="shared" si="15"/>
        <v>0</v>
      </c>
      <c r="K126" s="4"/>
      <c r="L126" s="4"/>
      <c r="M126" s="4"/>
      <c r="N126" s="13">
        <f t="shared" si="16"/>
        <v>0</v>
      </c>
      <c r="O126" s="5">
        <v>5000</v>
      </c>
      <c r="P126" s="5"/>
      <c r="Q126" s="5"/>
      <c r="R126" s="14">
        <f t="shared" si="17"/>
        <v>5000</v>
      </c>
      <c r="S126" s="9">
        <v>10000</v>
      </c>
      <c r="T126" s="10">
        <v>5000</v>
      </c>
      <c r="U126" s="10" t="s">
        <v>1134</v>
      </c>
      <c r="V126" s="7"/>
      <c r="W126" s="7"/>
      <c r="X126" s="6"/>
      <c r="Y126" s="6"/>
      <c r="Z126" s="8"/>
      <c r="AA126" s="8"/>
      <c r="AB126" s="10"/>
      <c r="AC126" s="10"/>
      <c r="AD126" s="15">
        <f t="shared" si="18"/>
        <v>5000</v>
      </c>
      <c r="AE126" s="11"/>
      <c r="AF126" s="11"/>
      <c r="AG126" s="11"/>
      <c r="AH126" s="16">
        <f t="shared" si="19"/>
        <v>10000</v>
      </c>
    </row>
    <row r="127" spans="1:34" ht="30" x14ac:dyDescent="0.25">
      <c r="A127" s="2">
        <v>126</v>
      </c>
      <c r="B127" s="2"/>
      <c r="C127" s="2" t="s">
        <v>278</v>
      </c>
      <c r="D127" s="2" t="s">
        <v>279</v>
      </c>
      <c r="E127" s="2" t="s">
        <v>226</v>
      </c>
      <c r="F127" s="2">
        <v>3017591317</v>
      </c>
      <c r="G127" s="3"/>
      <c r="H127" s="3"/>
      <c r="I127" s="3"/>
      <c r="J127" s="12">
        <f t="shared" si="15"/>
        <v>0</v>
      </c>
      <c r="K127" s="4"/>
      <c r="L127" s="4"/>
      <c r="M127" s="4"/>
      <c r="N127" s="13">
        <f t="shared" si="16"/>
        <v>0</v>
      </c>
      <c r="O127" s="5">
        <v>5000</v>
      </c>
      <c r="P127" s="5">
        <v>5000</v>
      </c>
      <c r="Q127" s="5" t="s">
        <v>307</v>
      </c>
      <c r="R127" s="14">
        <f t="shared" si="17"/>
        <v>0</v>
      </c>
      <c r="S127" s="9">
        <v>15000</v>
      </c>
      <c r="T127" s="10"/>
      <c r="U127" s="10"/>
      <c r="V127" s="7"/>
      <c r="W127" s="7"/>
      <c r="X127" s="6"/>
      <c r="Y127" s="6"/>
      <c r="Z127" s="8"/>
      <c r="AA127" s="8"/>
      <c r="AB127" s="10"/>
      <c r="AC127" s="10"/>
      <c r="AD127" s="15">
        <f t="shared" si="18"/>
        <v>15000</v>
      </c>
      <c r="AE127" s="11"/>
      <c r="AF127" s="11"/>
      <c r="AG127" s="11"/>
      <c r="AH127" s="16">
        <f t="shared" si="19"/>
        <v>15000</v>
      </c>
    </row>
    <row r="128" spans="1:34" ht="30" x14ac:dyDescent="0.25">
      <c r="A128" s="2">
        <v>127</v>
      </c>
      <c r="B128" s="2"/>
      <c r="C128" s="2" t="s">
        <v>280</v>
      </c>
      <c r="D128" s="2" t="s">
        <v>281</v>
      </c>
      <c r="E128" s="2" t="s">
        <v>226</v>
      </c>
      <c r="F128" s="2">
        <v>3446935522</v>
      </c>
      <c r="G128" s="3"/>
      <c r="H128" s="3"/>
      <c r="I128" s="3"/>
      <c r="J128" s="12">
        <f t="shared" si="15"/>
        <v>0</v>
      </c>
      <c r="K128" s="4"/>
      <c r="L128" s="4"/>
      <c r="M128" s="4"/>
      <c r="N128" s="13">
        <f t="shared" si="16"/>
        <v>0</v>
      </c>
      <c r="O128" s="5">
        <v>5000</v>
      </c>
      <c r="P128" s="5"/>
      <c r="Q128" s="5"/>
      <c r="R128" s="14">
        <f t="shared" si="17"/>
        <v>5000</v>
      </c>
      <c r="S128" s="9">
        <v>20000</v>
      </c>
      <c r="T128" s="10">
        <v>4000</v>
      </c>
      <c r="U128" s="10" t="s">
        <v>1123</v>
      </c>
      <c r="V128" s="7">
        <v>6000</v>
      </c>
      <c r="W128" s="7" t="s">
        <v>1236</v>
      </c>
      <c r="X128" s="6"/>
      <c r="Y128" s="6"/>
      <c r="Z128" s="8"/>
      <c r="AA128" s="8"/>
      <c r="AB128" s="10"/>
      <c r="AC128" s="10"/>
      <c r="AD128" s="15">
        <f t="shared" si="18"/>
        <v>10000</v>
      </c>
      <c r="AE128" s="11"/>
      <c r="AF128" s="11"/>
      <c r="AG128" s="11"/>
      <c r="AH128" s="16">
        <f t="shared" si="19"/>
        <v>15000</v>
      </c>
    </row>
    <row r="129" spans="1:34" ht="30" x14ac:dyDescent="0.25">
      <c r="A129" s="2">
        <v>128</v>
      </c>
      <c r="B129" s="2"/>
      <c r="C129" s="2" t="s">
        <v>282</v>
      </c>
      <c r="D129" s="2" t="s">
        <v>283</v>
      </c>
      <c r="E129" s="2" t="s">
        <v>226</v>
      </c>
      <c r="F129" s="2">
        <v>3004103118</v>
      </c>
      <c r="G129" s="3"/>
      <c r="H129" s="3"/>
      <c r="I129" s="3"/>
      <c r="J129" s="12">
        <f t="shared" si="15"/>
        <v>0</v>
      </c>
      <c r="K129" s="4"/>
      <c r="L129" s="4"/>
      <c r="M129" s="4"/>
      <c r="N129" s="13">
        <f t="shared" si="16"/>
        <v>0</v>
      </c>
      <c r="O129" s="5">
        <v>5000</v>
      </c>
      <c r="P129" s="5"/>
      <c r="Q129" s="5"/>
      <c r="R129" s="14">
        <f t="shared" si="17"/>
        <v>5000</v>
      </c>
      <c r="S129" s="9">
        <v>15000</v>
      </c>
      <c r="T129" s="10">
        <v>5000</v>
      </c>
      <c r="U129" s="10" t="s">
        <v>1142</v>
      </c>
      <c r="V129" s="7"/>
      <c r="W129" s="7"/>
      <c r="X129" s="6"/>
      <c r="Y129" s="6"/>
      <c r="Z129" s="8"/>
      <c r="AA129" s="8"/>
      <c r="AB129" s="10"/>
      <c r="AC129" s="10"/>
      <c r="AD129" s="15">
        <f t="shared" si="18"/>
        <v>10000</v>
      </c>
      <c r="AE129" s="11"/>
      <c r="AF129" s="11"/>
      <c r="AG129" s="11"/>
      <c r="AH129" s="16">
        <f t="shared" si="19"/>
        <v>15000</v>
      </c>
    </row>
    <row r="130" spans="1:34" ht="30" x14ac:dyDescent="0.25">
      <c r="A130" s="2">
        <v>129</v>
      </c>
      <c r="B130" s="2"/>
      <c r="C130" s="2" t="s">
        <v>284</v>
      </c>
      <c r="D130" s="2" t="s">
        <v>285</v>
      </c>
      <c r="E130" s="2" t="s">
        <v>226</v>
      </c>
      <c r="F130" s="2">
        <v>3006898220</v>
      </c>
      <c r="G130" s="3"/>
      <c r="H130" s="3"/>
      <c r="I130" s="3"/>
      <c r="J130" s="12">
        <f t="shared" si="15"/>
        <v>0</v>
      </c>
      <c r="K130" s="4"/>
      <c r="L130" s="4"/>
      <c r="M130" s="4"/>
      <c r="N130" s="13">
        <f t="shared" si="16"/>
        <v>0</v>
      </c>
      <c r="O130" s="5">
        <v>5000</v>
      </c>
      <c r="P130" s="5"/>
      <c r="Q130" s="5"/>
      <c r="R130" s="14">
        <f t="shared" si="17"/>
        <v>5000</v>
      </c>
      <c r="S130" s="9">
        <v>20000</v>
      </c>
      <c r="T130" s="10">
        <v>2000</v>
      </c>
      <c r="U130" s="36" t="s">
        <v>1407</v>
      </c>
      <c r="V130" s="7">
        <v>5000</v>
      </c>
      <c r="W130" s="7" t="s">
        <v>1465</v>
      </c>
      <c r="X130" s="6"/>
      <c r="Y130" s="6"/>
      <c r="Z130" s="8"/>
      <c r="AA130" s="8"/>
      <c r="AB130" s="10"/>
      <c r="AC130" s="10"/>
      <c r="AD130" s="15">
        <f t="shared" si="18"/>
        <v>13000</v>
      </c>
      <c r="AE130" s="11"/>
      <c r="AF130" s="11"/>
      <c r="AG130" s="11"/>
      <c r="AH130" s="16">
        <f t="shared" si="19"/>
        <v>18000</v>
      </c>
    </row>
    <row r="131" spans="1:34" ht="30" x14ac:dyDescent="0.25">
      <c r="A131" s="2">
        <v>130</v>
      </c>
      <c r="B131" s="2"/>
      <c r="C131" s="2" t="s">
        <v>286</v>
      </c>
      <c r="D131" s="2" t="s">
        <v>287</v>
      </c>
      <c r="E131" s="2" t="s">
        <v>226</v>
      </c>
      <c r="F131" s="2">
        <v>3457622407</v>
      </c>
      <c r="G131" s="3"/>
      <c r="H131" s="3"/>
      <c r="I131" s="3"/>
      <c r="J131" s="12">
        <f t="shared" si="15"/>
        <v>0</v>
      </c>
      <c r="K131" s="4"/>
      <c r="L131" s="4"/>
      <c r="M131" s="4"/>
      <c r="N131" s="13">
        <f t="shared" si="16"/>
        <v>0</v>
      </c>
      <c r="O131" s="5">
        <v>5000</v>
      </c>
      <c r="P131" s="5"/>
      <c r="Q131" s="5"/>
      <c r="R131" s="14">
        <f t="shared" si="17"/>
        <v>5000</v>
      </c>
      <c r="S131" s="9">
        <v>15000</v>
      </c>
      <c r="T131" s="10">
        <v>3000</v>
      </c>
      <c r="U131" s="10" t="s">
        <v>1143</v>
      </c>
      <c r="V131" s="7"/>
      <c r="W131" s="7"/>
      <c r="X131" s="6"/>
      <c r="Y131" s="6"/>
      <c r="Z131" s="8"/>
      <c r="AA131" s="8"/>
      <c r="AB131" s="10"/>
      <c r="AC131" s="10"/>
      <c r="AD131" s="15">
        <f t="shared" si="18"/>
        <v>12000</v>
      </c>
      <c r="AE131" s="11"/>
      <c r="AF131" s="11"/>
      <c r="AG131" s="11"/>
      <c r="AH131" s="16">
        <f t="shared" si="19"/>
        <v>17000</v>
      </c>
    </row>
    <row r="132" spans="1:34" ht="30" x14ac:dyDescent="0.25">
      <c r="A132" s="2">
        <v>131</v>
      </c>
      <c r="B132" s="2"/>
      <c r="C132" s="2" t="s">
        <v>288</v>
      </c>
      <c r="D132" s="2" t="s">
        <v>289</v>
      </c>
      <c r="E132" s="2" t="s">
        <v>226</v>
      </c>
      <c r="F132" s="2">
        <v>3014689532</v>
      </c>
      <c r="G132" s="3"/>
      <c r="H132" s="3"/>
      <c r="I132" s="3"/>
      <c r="J132" s="12">
        <f t="shared" si="15"/>
        <v>0</v>
      </c>
      <c r="K132" s="4"/>
      <c r="L132" s="4"/>
      <c r="M132" s="4"/>
      <c r="N132" s="13">
        <f t="shared" si="16"/>
        <v>0</v>
      </c>
      <c r="O132" s="5">
        <v>5000</v>
      </c>
      <c r="P132" s="5"/>
      <c r="Q132" s="5"/>
      <c r="R132" s="14">
        <f t="shared" si="17"/>
        <v>5000</v>
      </c>
      <c r="S132" s="9">
        <v>20000</v>
      </c>
      <c r="T132" s="10">
        <v>5000</v>
      </c>
      <c r="U132" s="10" t="s">
        <v>1226</v>
      </c>
      <c r="V132" s="7"/>
      <c r="W132" s="7"/>
      <c r="X132" s="6"/>
      <c r="Y132" s="6"/>
      <c r="Z132" s="8"/>
      <c r="AA132" s="8"/>
      <c r="AB132" s="10"/>
      <c r="AC132" s="10"/>
      <c r="AD132" s="15">
        <f t="shared" si="18"/>
        <v>15000</v>
      </c>
      <c r="AE132" s="11"/>
      <c r="AF132" s="11"/>
      <c r="AG132" s="11"/>
      <c r="AH132" s="16">
        <f t="shared" si="19"/>
        <v>20000</v>
      </c>
    </row>
    <row r="133" spans="1:34" ht="30" x14ac:dyDescent="0.25">
      <c r="A133" s="2">
        <v>132</v>
      </c>
      <c r="B133" s="2"/>
      <c r="C133" s="2" t="s">
        <v>1282</v>
      </c>
      <c r="D133" s="2" t="s">
        <v>290</v>
      </c>
      <c r="E133" s="2" t="s">
        <v>226</v>
      </c>
      <c r="F133" s="2">
        <v>3061759113</v>
      </c>
      <c r="G133" s="3"/>
      <c r="H133" s="3"/>
      <c r="I133" s="3"/>
      <c r="J133" s="12">
        <f t="shared" si="15"/>
        <v>0</v>
      </c>
      <c r="K133" s="4"/>
      <c r="L133" s="4"/>
      <c r="M133" s="4"/>
      <c r="N133" s="13">
        <f t="shared" si="16"/>
        <v>0</v>
      </c>
      <c r="O133" s="5">
        <v>5000</v>
      </c>
      <c r="P133" s="5"/>
      <c r="Q133" s="5"/>
      <c r="R133" s="14">
        <f t="shared" si="17"/>
        <v>5000</v>
      </c>
      <c r="S133" s="9">
        <v>25000</v>
      </c>
      <c r="T133" s="10">
        <v>5000</v>
      </c>
      <c r="U133" s="10" t="s">
        <v>1283</v>
      </c>
      <c r="V133" s="7"/>
      <c r="W133" s="7"/>
      <c r="X133" s="6"/>
      <c r="Y133" s="6"/>
      <c r="Z133" s="8"/>
      <c r="AA133" s="8"/>
      <c r="AB133" s="10"/>
      <c r="AC133" s="10"/>
      <c r="AD133" s="15">
        <f t="shared" si="18"/>
        <v>20000</v>
      </c>
      <c r="AE133" s="11"/>
      <c r="AF133" s="11"/>
      <c r="AG133" s="11"/>
      <c r="AH133" s="16">
        <f t="shared" si="19"/>
        <v>25000</v>
      </c>
    </row>
    <row r="134" spans="1:34" ht="30" x14ac:dyDescent="0.25">
      <c r="A134" s="2">
        <v>133</v>
      </c>
      <c r="B134" s="2"/>
      <c r="C134" s="2" t="s">
        <v>291</v>
      </c>
      <c r="D134" s="2" t="s">
        <v>231</v>
      </c>
      <c r="E134" s="2" t="s">
        <v>226</v>
      </c>
      <c r="F134" s="2">
        <v>3017824340</v>
      </c>
      <c r="G134" s="3"/>
      <c r="H134" s="3"/>
      <c r="I134" s="3"/>
      <c r="J134" s="12">
        <f t="shared" si="15"/>
        <v>0</v>
      </c>
      <c r="K134" s="4"/>
      <c r="L134" s="4"/>
      <c r="M134" s="4"/>
      <c r="N134" s="13">
        <f t="shared" si="16"/>
        <v>0</v>
      </c>
      <c r="O134" s="5">
        <v>5000</v>
      </c>
      <c r="P134" s="5"/>
      <c r="Q134" s="5"/>
      <c r="R134" s="14">
        <f t="shared" si="17"/>
        <v>5000</v>
      </c>
      <c r="S134" s="9">
        <v>15000</v>
      </c>
      <c r="T134" s="10">
        <v>5000</v>
      </c>
      <c r="U134" s="10" t="s">
        <v>1312</v>
      </c>
      <c r="V134" s="7">
        <v>5000</v>
      </c>
      <c r="W134" s="7" t="s">
        <v>1695</v>
      </c>
      <c r="X134" s="6"/>
      <c r="Y134" s="6"/>
      <c r="Z134" s="8"/>
      <c r="AA134" s="8"/>
      <c r="AB134" s="10"/>
      <c r="AC134" s="10"/>
      <c r="AD134" s="15">
        <f t="shared" si="18"/>
        <v>5000</v>
      </c>
      <c r="AE134" s="11"/>
      <c r="AF134" s="11"/>
      <c r="AG134" s="11"/>
      <c r="AH134" s="16">
        <f t="shared" si="19"/>
        <v>10000</v>
      </c>
    </row>
    <row r="135" spans="1:34" ht="30" x14ac:dyDescent="0.25">
      <c r="A135" s="2">
        <v>134</v>
      </c>
      <c r="B135" s="2"/>
      <c r="C135" s="2" t="s">
        <v>292</v>
      </c>
      <c r="D135" s="2"/>
      <c r="E135" s="2" t="s">
        <v>226</v>
      </c>
      <c r="F135" s="2"/>
      <c r="G135" s="3"/>
      <c r="H135" s="3"/>
      <c r="I135" s="3"/>
      <c r="J135" s="12">
        <f t="shared" si="15"/>
        <v>0</v>
      </c>
      <c r="K135" s="4"/>
      <c r="L135" s="4"/>
      <c r="M135" s="4"/>
      <c r="N135" s="13">
        <f t="shared" si="16"/>
        <v>0</v>
      </c>
      <c r="O135" s="5"/>
      <c r="P135" s="5"/>
      <c r="Q135" s="5"/>
      <c r="R135" s="14">
        <f t="shared" si="17"/>
        <v>0</v>
      </c>
      <c r="S135" s="9"/>
      <c r="T135" s="10"/>
      <c r="U135" s="10"/>
      <c r="V135" s="7"/>
      <c r="W135" s="7"/>
      <c r="X135" s="6"/>
      <c r="Y135" s="6"/>
      <c r="Z135" s="8"/>
      <c r="AA135" s="8"/>
      <c r="AB135" s="10"/>
      <c r="AC135" s="10"/>
      <c r="AD135" s="15">
        <f t="shared" si="18"/>
        <v>0</v>
      </c>
      <c r="AE135" s="11"/>
      <c r="AF135" s="11"/>
      <c r="AG135" s="11"/>
      <c r="AH135" s="16">
        <f t="shared" si="19"/>
        <v>0</v>
      </c>
    </row>
    <row r="136" spans="1:34" ht="30" x14ac:dyDescent="0.25">
      <c r="A136" s="3">
        <v>135</v>
      </c>
      <c r="B136" s="3"/>
      <c r="C136" s="3" t="s">
        <v>293</v>
      </c>
      <c r="D136" s="3" t="s">
        <v>231</v>
      </c>
      <c r="E136" s="3" t="s">
        <v>226</v>
      </c>
      <c r="F136" s="3">
        <v>3081453150</v>
      </c>
      <c r="G136" s="3"/>
      <c r="H136" s="3"/>
      <c r="I136" s="3"/>
      <c r="J136" s="12">
        <f t="shared" si="15"/>
        <v>0</v>
      </c>
      <c r="K136" s="3"/>
      <c r="L136" s="3"/>
      <c r="M136" s="3"/>
      <c r="N136" s="12">
        <f t="shared" si="16"/>
        <v>0</v>
      </c>
      <c r="O136" s="3">
        <v>5000</v>
      </c>
      <c r="P136" s="3"/>
      <c r="Q136" s="3"/>
      <c r="R136" s="12">
        <f t="shared" si="17"/>
        <v>5000</v>
      </c>
      <c r="S136" s="3">
        <v>15000</v>
      </c>
      <c r="T136" s="3">
        <v>10000</v>
      </c>
      <c r="U136" s="3" t="s">
        <v>1670</v>
      </c>
      <c r="V136" s="3">
        <v>5000</v>
      </c>
      <c r="W136" s="3" t="s">
        <v>1777</v>
      </c>
      <c r="X136" s="6"/>
      <c r="Y136" s="6"/>
      <c r="Z136" s="8"/>
      <c r="AA136" s="8"/>
      <c r="AB136" s="10"/>
      <c r="AC136" s="10"/>
      <c r="AD136" s="15">
        <f t="shared" si="18"/>
        <v>0</v>
      </c>
      <c r="AE136" s="11"/>
      <c r="AF136" s="11"/>
      <c r="AG136" s="11"/>
      <c r="AH136" s="16">
        <f t="shared" si="19"/>
        <v>5000</v>
      </c>
    </row>
    <row r="137" spans="1:34" ht="30" x14ac:dyDescent="0.25">
      <c r="A137" s="2">
        <v>136</v>
      </c>
      <c r="B137" s="2"/>
      <c r="C137" s="2" t="s">
        <v>294</v>
      </c>
      <c r="D137" s="2" t="s">
        <v>295</v>
      </c>
      <c r="E137" s="2" t="s">
        <v>226</v>
      </c>
      <c r="F137" s="2">
        <v>3467928355</v>
      </c>
      <c r="G137" s="3"/>
      <c r="H137" s="3"/>
      <c r="I137" s="3"/>
      <c r="J137" s="12">
        <f t="shared" si="15"/>
        <v>0</v>
      </c>
      <c r="K137" s="4"/>
      <c r="L137" s="4"/>
      <c r="M137" s="4"/>
      <c r="N137" s="13">
        <f t="shared" si="16"/>
        <v>0</v>
      </c>
      <c r="O137" s="5">
        <v>0</v>
      </c>
      <c r="P137" s="5">
        <v>0</v>
      </c>
      <c r="Q137" s="5"/>
      <c r="R137" s="14">
        <f t="shared" si="17"/>
        <v>0</v>
      </c>
      <c r="S137" s="9">
        <v>24000</v>
      </c>
      <c r="T137" s="10">
        <v>5000</v>
      </c>
      <c r="U137" s="10" t="s">
        <v>1008</v>
      </c>
      <c r="V137" s="7">
        <v>5000</v>
      </c>
      <c r="W137" s="7" t="s">
        <v>1306</v>
      </c>
      <c r="X137" s="6"/>
      <c r="Y137" s="6"/>
      <c r="Z137" s="8"/>
      <c r="AA137" s="8"/>
      <c r="AB137" s="10"/>
      <c r="AC137" s="10"/>
      <c r="AD137" s="15">
        <f t="shared" si="18"/>
        <v>14000</v>
      </c>
      <c r="AE137" s="11"/>
      <c r="AF137" s="11"/>
      <c r="AG137" s="11"/>
      <c r="AH137" s="16">
        <f t="shared" si="19"/>
        <v>14000</v>
      </c>
    </row>
    <row r="138" spans="1:34" ht="30" x14ac:dyDescent="0.25">
      <c r="A138" s="2">
        <v>137</v>
      </c>
      <c r="B138" s="2"/>
      <c r="C138" s="2" t="s">
        <v>296</v>
      </c>
      <c r="D138" s="2" t="s">
        <v>1620</v>
      </c>
      <c r="E138" s="2" t="s">
        <v>226</v>
      </c>
      <c r="F138" s="2">
        <v>3009586325</v>
      </c>
      <c r="G138" s="3"/>
      <c r="H138" s="3"/>
      <c r="I138" s="3"/>
      <c r="J138" s="12">
        <f t="shared" si="15"/>
        <v>0</v>
      </c>
      <c r="K138" s="4"/>
      <c r="L138" s="4"/>
      <c r="M138" s="4"/>
      <c r="N138" s="13">
        <f t="shared" si="16"/>
        <v>0</v>
      </c>
      <c r="O138" s="5">
        <v>5000</v>
      </c>
      <c r="P138" s="5"/>
      <c r="Q138" s="5"/>
      <c r="R138" s="14">
        <f t="shared" si="17"/>
        <v>5000</v>
      </c>
      <c r="S138" s="9">
        <v>20000</v>
      </c>
      <c r="T138" s="10">
        <v>5000</v>
      </c>
      <c r="U138" s="10" t="s">
        <v>1326</v>
      </c>
      <c r="V138" s="7">
        <v>5000</v>
      </c>
      <c r="W138" s="7" t="s">
        <v>1621</v>
      </c>
      <c r="X138" s="6"/>
      <c r="Y138" s="6"/>
      <c r="Z138" s="8"/>
      <c r="AA138" s="8"/>
      <c r="AB138" s="10"/>
      <c r="AC138" s="10"/>
      <c r="AD138" s="15">
        <f t="shared" si="18"/>
        <v>10000</v>
      </c>
      <c r="AE138" s="11"/>
      <c r="AF138" s="11"/>
      <c r="AG138" s="11"/>
      <c r="AH138" s="16">
        <f t="shared" si="19"/>
        <v>15000</v>
      </c>
    </row>
    <row r="139" spans="1:34" ht="30" x14ac:dyDescent="0.25">
      <c r="A139" s="2">
        <v>138</v>
      </c>
      <c r="B139" s="2"/>
      <c r="C139" s="2" t="s">
        <v>297</v>
      </c>
      <c r="D139" s="2" t="s">
        <v>308</v>
      </c>
      <c r="E139" s="2" t="s">
        <v>226</v>
      </c>
      <c r="F139" s="2">
        <v>3017600708</v>
      </c>
      <c r="G139" s="3"/>
      <c r="H139" s="3"/>
      <c r="I139" s="3"/>
      <c r="J139" s="12">
        <f t="shared" si="15"/>
        <v>0</v>
      </c>
      <c r="K139" s="4"/>
      <c r="L139" s="4"/>
      <c r="M139" s="4"/>
      <c r="N139" s="13">
        <f t="shared" si="16"/>
        <v>0</v>
      </c>
      <c r="O139" s="5">
        <v>5000</v>
      </c>
      <c r="P139" s="5"/>
      <c r="Q139" s="5"/>
      <c r="R139" s="14">
        <f t="shared" si="17"/>
        <v>5000</v>
      </c>
      <c r="S139" s="9">
        <v>15000</v>
      </c>
      <c r="T139" s="10">
        <v>10000</v>
      </c>
      <c r="U139" s="10" t="s">
        <v>1343</v>
      </c>
      <c r="V139" s="7"/>
      <c r="W139" s="7"/>
      <c r="X139" s="6"/>
      <c r="Y139" s="6"/>
      <c r="Z139" s="8"/>
      <c r="AA139" s="8"/>
      <c r="AB139" s="10"/>
      <c r="AC139" s="10"/>
      <c r="AD139" s="15">
        <f t="shared" si="18"/>
        <v>5000</v>
      </c>
      <c r="AE139" s="11"/>
      <c r="AF139" s="11"/>
      <c r="AG139" s="11"/>
      <c r="AH139" s="16">
        <f t="shared" si="19"/>
        <v>10000</v>
      </c>
    </row>
    <row r="140" spans="1:34" ht="75" x14ac:dyDescent="0.25">
      <c r="A140" s="2">
        <v>139</v>
      </c>
      <c r="B140" s="2"/>
      <c r="C140" s="2" t="s">
        <v>298</v>
      </c>
      <c r="D140" s="2" t="s">
        <v>1483</v>
      </c>
      <c r="E140" s="2" t="s">
        <v>226</v>
      </c>
      <c r="F140" s="2">
        <v>3036893524</v>
      </c>
      <c r="G140" s="3"/>
      <c r="H140" s="3"/>
      <c r="I140" s="3"/>
      <c r="J140" s="12">
        <f t="shared" si="15"/>
        <v>0</v>
      </c>
      <c r="K140" s="4"/>
      <c r="L140" s="4"/>
      <c r="M140" s="4"/>
      <c r="N140" s="13">
        <f t="shared" si="16"/>
        <v>0</v>
      </c>
      <c r="O140" s="5">
        <v>5000</v>
      </c>
      <c r="P140" s="5"/>
      <c r="Q140" s="5"/>
      <c r="R140" s="14">
        <f t="shared" si="17"/>
        <v>5000</v>
      </c>
      <c r="S140" s="9">
        <v>10000</v>
      </c>
      <c r="T140" s="10">
        <v>15000</v>
      </c>
      <c r="U140" s="10" t="s">
        <v>1484</v>
      </c>
      <c r="V140" s="7"/>
      <c r="W140" s="7"/>
      <c r="X140" s="6"/>
      <c r="Y140" s="3" t="s">
        <v>1770</v>
      </c>
      <c r="Z140" s="8"/>
      <c r="AA140" s="8"/>
      <c r="AB140" s="10"/>
      <c r="AC140" s="10"/>
      <c r="AD140" s="15">
        <f t="shared" si="18"/>
        <v>-5000</v>
      </c>
      <c r="AE140" s="11"/>
      <c r="AF140" s="11"/>
      <c r="AG140" s="11"/>
      <c r="AH140" s="16">
        <f t="shared" si="19"/>
        <v>0</v>
      </c>
    </row>
    <row r="141" spans="1:34" ht="21" x14ac:dyDescent="0.25">
      <c r="A141" s="2">
        <v>140</v>
      </c>
      <c r="B141" s="2"/>
      <c r="C141" s="2" t="s">
        <v>299</v>
      </c>
      <c r="D141" s="2"/>
      <c r="E141" s="2" t="s">
        <v>226</v>
      </c>
      <c r="F141" s="2"/>
      <c r="G141" s="3"/>
      <c r="H141" s="3"/>
      <c r="I141" s="3"/>
      <c r="J141" s="12">
        <f t="shared" si="15"/>
        <v>0</v>
      </c>
      <c r="K141" s="4"/>
      <c r="L141" s="4"/>
      <c r="M141" s="4"/>
      <c r="N141" s="13">
        <f t="shared" si="16"/>
        <v>0</v>
      </c>
      <c r="O141" s="5"/>
      <c r="P141" s="5"/>
      <c r="Q141" s="5"/>
      <c r="R141" s="14">
        <f t="shared" si="17"/>
        <v>0</v>
      </c>
      <c r="S141" s="9"/>
      <c r="T141" s="10"/>
      <c r="U141" s="10"/>
      <c r="V141" s="7"/>
      <c r="W141" s="7"/>
      <c r="X141" s="6"/>
      <c r="Y141" s="6"/>
      <c r="Z141" s="8"/>
      <c r="AA141" s="8"/>
      <c r="AB141" s="10"/>
      <c r="AC141" s="10"/>
      <c r="AD141" s="15">
        <f t="shared" si="18"/>
        <v>0</v>
      </c>
      <c r="AE141" s="11"/>
      <c r="AF141" s="11"/>
      <c r="AG141" s="11"/>
      <c r="AH141" s="16">
        <f t="shared" si="19"/>
        <v>0</v>
      </c>
    </row>
    <row r="142" spans="1:34" ht="30" x14ac:dyDescent="0.25">
      <c r="A142" s="2">
        <v>141</v>
      </c>
      <c r="B142" s="2"/>
      <c r="C142" s="2" t="s">
        <v>311</v>
      </c>
      <c r="D142" s="2" t="s">
        <v>1772</v>
      </c>
      <c r="E142" s="2" t="s">
        <v>336</v>
      </c>
      <c r="F142" s="2">
        <v>3034313104</v>
      </c>
      <c r="G142" s="3"/>
      <c r="H142" s="3"/>
      <c r="I142" s="3"/>
      <c r="J142" s="12">
        <f t="shared" si="15"/>
        <v>0</v>
      </c>
      <c r="K142" s="4"/>
      <c r="L142" s="4"/>
      <c r="M142" s="4"/>
      <c r="N142" s="13">
        <f t="shared" si="16"/>
        <v>0</v>
      </c>
      <c r="O142" s="5">
        <v>5000</v>
      </c>
      <c r="P142" s="5"/>
      <c r="Q142" s="5"/>
      <c r="R142" s="14">
        <f t="shared" si="17"/>
        <v>5000</v>
      </c>
      <c r="S142" s="9">
        <v>20000</v>
      </c>
      <c r="T142" s="10"/>
      <c r="U142" s="10"/>
      <c r="V142" s="7"/>
      <c r="W142" s="7"/>
      <c r="X142" s="6"/>
      <c r="Y142" s="6"/>
      <c r="Z142" s="8"/>
      <c r="AA142" s="8"/>
      <c r="AB142" s="10"/>
      <c r="AC142" s="10"/>
      <c r="AD142" s="15">
        <f t="shared" si="18"/>
        <v>20000</v>
      </c>
      <c r="AE142" s="11"/>
      <c r="AF142" s="11"/>
      <c r="AG142" s="11"/>
      <c r="AH142" s="16">
        <f t="shared" si="19"/>
        <v>25000</v>
      </c>
    </row>
    <row r="143" spans="1:34" ht="21" x14ac:dyDescent="0.25">
      <c r="A143" s="2">
        <v>142</v>
      </c>
      <c r="B143" s="2"/>
      <c r="C143" s="2" t="s">
        <v>312</v>
      </c>
      <c r="D143" s="2"/>
      <c r="E143" s="2" t="s">
        <v>336</v>
      </c>
      <c r="F143" s="2"/>
      <c r="G143" s="3"/>
      <c r="H143" s="3"/>
      <c r="I143" s="3"/>
      <c r="J143" s="12">
        <f t="shared" si="15"/>
        <v>0</v>
      </c>
      <c r="K143" s="4"/>
      <c r="L143" s="4"/>
      <c r="M143" s="4"/>
      <c r="N143" s="13">
        <f t="shared" si="16"/>
        <v>0</v>
      </c>
      <c r="O143" s="5"/>
      <c r="P143" s="5"/>
      <c r="Q143" s="5"/>
      <c r="R143" s="14">
        <f t="shared" si="17"/>
        <v>0</v>
      </c>
      <c r="S143" s="9"/>
      <c r="T143" s="10"/>
      <c r="U143" s="10"/>
      <c r="V143" s="7"/>
      <c r="W143" s="7"/>
      <c r="X143" s="6"/>
      <c r="Y143" s="6"/>
      <c r="Z143" s="8"/>
      <c r="AA143" s="8"/>
      <c r="AB143" s="10"/>
      <c r="AC143" s="10"/>
      <c r="AD143" s="15">
        <f t="shared" si="18"/>
        <v>0</v>
      </c>
      <c r="AE143" s="11"/>
      <c r="AF143" s="11"/>
      <c r="AG143" s="11"/>
      <c r="AH143" s="16">
        <f t="shared" si="19"/>
        <v>0</v>
      </c>
    </row>
    <row r="144" spans="1:34" ht="30" x14ac:dyDescent="0.25">
      <c r="A144" s="2">
        <v>143</v>
      </c>
      <c r="B144" s="2"/>
      <c r="C144" s="2" t="s">
        <v>223</v>
      </c>
      <c r="D144" s="2" t="s">
        <v>313</v>
      </c>
      <c r="E144" s="2" t="s">
        <v>336</v>
      </c>
      <c r="F144" s="2"/>
      <c r="G144" s="3"/>
      <c r="H144" s="3"/>
      <c r="I144" s="3"/>
      <c r="J144" s="12">
        <f t="shared" si="15"/>
        <v>0</v>
      </c>
      <c r="K144" s="4"/>
      <c r="L144" s="4"/>
      <c r="M144" s="4"/>
      <c r="N144" s="13">
        <f t="shared" si="16"/>
        <v>0</v>
      </c>
      <c r="O144" s="5"/>
      <c r="P144" s="5"/>
      <c r="Q144" s="5"/>
      <c r="R144" s="14">
        <f t="shared" si="17"/>
        <v>0</v>
      </c>
      <c r="S144" s="9"/>
      <c r="T144" s="10">
        <v>5000</v>
      </c>
      <c r="U144" s="10" t="s">
        <v>1353</v>
      </c>
      <c r="V144" s="7"/>
      <c r="W144" s="7"/>
      <c r="X144" s="6"/>
      <c r="Y144" s="6"/>
      <c r="Z144" s="8"/>
      <c r="AA144" s="8"/>
      <c r="AB144" s="10"/>
      <c r="AC144" s="10"/>
      <c r="AD144" s="15">
        <f t="shared" si="18"/>
        <v>-5000</v>
      </c>
      <c r="AE144" s="11"/>
      <c r="AF144" s="11"/>
      <c r="AG144" s="11"/>
      <c r="AH144" s="16">
        <f t="shared" si="19"/>
        <v>-5000</v>
      </c>
    </row>
    <row r="145" spans="1:34" ht="45" x14ac:dyDescent="0.25">
      <c r="A145" s="2">
        <v>144</v>
      </c>
      <c r="B145" s="2"/>
      <c r="C145" s="2" t="s">
        <v>314</v>
      </c>
      <c r="D145" s="2" t="s">
        <v>1373</v>
      </c>
      <c r="E145" s="2" t="s">
        <v>336</v>
      </c>
      <c r="F145" s="2">
        <v>3017576811</v>
      </c>
      <c r="G145" s="3"/>
      <c r="H145" s="3"/>
      <c r="I145" s="3"/>
      <c r="J145" s="12">
        <f t="shared" si="15"/>
        <v>0</v>
      </c>
      <c r="K145" s="4"/>
      <c r="L145" s="4"/>
      <c r="M145" s="4"/>
      <c r="N145" s="13">
        <f t="shared" si="16"/>
        <v>0</v>
      </c>
      <c r="O145" s="5">
        <v>5000</v>
      </c>
      <c r="P145" s="5"/>
      <c r="Q145" s="5"/>
      <c r="R145" s="14">
        <f t="shared" si="17"/>
        <v>5000</v>
      </c>
      <c r="S145" s="9">
        <v>25000</v>
      </c>
      <c r="T145" s="10">
        <v>5000</v>
      </c>
      <c r="U145" s="10" t="s">
        <v>1374</v>
      </c>
      <c r="V145" s="7"/>
      <c r="W145" s="7"/>
      <c r="X145" s="6"/>
      <c r="Y145" s="6"/>
      <c r="Z145" s="8"/>
      <c r="AA145" s="8"/>
      <c r="AB145" s="10"/>
      <c r="AC145" s="10"/>
      <c r="AD145" s="15">
        <f t="shared" si="18"/>
        <v>20000</v>
      </c>
      <c r="AE145" s="11"/>
      <c r="AF145" s="11"/>
      <c r="AG145" s="11"/>
      <c r="AH145" s="16">
        <f t="shared" si="19"/>
        <v>25000</v>
      </c>
    </row>
    <row r="146" spans="1:34" ht="30" x14ac:dyDescent="0.25">
      <c r="A146" s="2">
        <v>145</v>
      </c>
      <c r="B146" s="2"/>
      <c r="C146" s="2" t="s">
        <v>315</v>
      </c>
      <c r="D146" s="2" t="s">
        <v>340</v>
      </c>
      <c r="E146" s="2" t="s">
        <v>336</v>
      </c>
      <c r="F146" s="2">
        <v>3036570177</v>
      </c>
      <c r="G146" s="3"/>
      <c r="H146" s="3"/>
      <c r="I146" s="3"/>
      <c r="J146" s="12">
        <f t="shared" si="15"/>
        <v>0</v>
      </c>
      <c r="K146" s="4"/>
      <c r="L146" s="4"/>
      <c r="M146" s="4"/>
      <c r="N146" s="13">
        <f t="shared" si="16"/>
        <v>0</v>
      </c>
      <c r="O146" s="5">
        <v>5000</v>
      </c>
      <c r="P146" s="5"/>
      <c r="Q146" s="5"/>
      <c r="R146" s="14">
        <f t="shared" si="17"/>
        <v>5000</v>
      </c>
      <c r="S146" s="9">
        <v>13000</v>
      </c>
      <c r="T146" s="10">
        <v>3000</v>
      </c>
      <c r="U146" s="10" t="s">
        <v>1334</v>
      </c>
      <c r="V146" s="7"/>
      <c r="W146" s="7"/>
      <c r="X146" s="6"/>
      <c r="Y146" s="6"/>
      <c r="Z146" s="8"/>
      <c r="AA146" s="8"/>
      <c r="AB146" s="10"/>
      <c r="AC146" s="10"/>
      <c r="AD146" s="15">
        <f t="shared" si="18"/>
        <v>10000</v>
      </c>
      <c r="AE146" s="11"/>
      <c r="AF146" s="11"/>
      <c r="AG146" s="11"/>
      <c r="AH146" s="16">
        <f t="shared" si="19"/>
        <v>15000</v>
      </c>
    </row>
    <row r="147" spans="1:34" ht="30" x14ac:dyDescent="0.25">
      <c r="A147" s="2">
        <v>146</v>
      </c>
      <c r="B147" s="2"/>
      <c r="C147" s="2" t="s">
        <v>316</v>
      </c>
      <c r="D147" s="2" t="s">
        <v>340</v>
      </c>
      <c r="E147" s="2" t="s">
        <v>336</v>
      </c>
      <c r="F147" s="2">
        <v>3036570177</v>
      </c>
      <c r="G147" s="3"/>
      <c r="H147" s="3"/>
      <c r="I147" s="3"/>
      <c r="J147" s="12">
        <f t="shared" si="15"/>
        <v>0</v>
      </c>
      <c r="K147" s="4"/>
      <c r="L147" s="4"/>
      <c r="M147" s="4"/>
      <c r="N147" s="13">
        <f t="shared" si="16"/>
        <v>0</v>
      </c>
      <c r="O147" s="5">
        <v>5000</v>
      </c>
      <c r="P147" s="5"/>
      <c r="Q147" s="5"/>
      <c r="R147" s="14">
        <f t="shared" si="17"/>
        <v>5000</v>
      </c>
      <c r="S147" s="9">
        <v>13000</v>
      </c>
      <c r="T147" s="10">
        <v>3000</v>
      </c>
      <c r="U147" s="10" t="s">
        <v>1333</v>
      </c>
      <c r="V147" s="7"/>
      <c r="W147" s="7"/>
      <c r="X147" s="6"/>
      <c r="Y147" s="6"/>
      <c r="Z147" s="8"/>
      <c r="AA147" s="8"/>
      <c r="AB147" s="10"/>
      <c r="AC147" s="10"/>
      <c r="AD147" s="15">
        <f t="shared" si="18"/>
        <v>10000</v>
      </c>
      <c r="AE147" s="11"/>
      <c r="AF147" s="11"/>
      <c r="AG147" s="11"/>
      <c r="AH147" s="16">
        <f t="shared" si="19"/>
        <v>15000</v>
      </c>
    </row>
    <row r="148" spans="1:34" ht="30" x14ac:dyDescent="0.25">
      <c r="A148" s="2">
        <v>147</v>
      </c>
      <c r="B148" s="2"/>
      <c r="C148" s="2" t="s">
        <v>317</v>
      </c>
      <c r="D148" s="2" t="s">
        <v>368</v>
      </c>
      <c r="E148" s="2" t="s">
        <v>336</v>
      </c>
      <c r="F148" s="2">
        <v>3006785317</v>
      </c>
      <c r="G148" s="3"/>
      <c r="H148" s="3"/>
      <c r="I148" s="3"/>
      <c r="J148" s="12">
        <f t="shared" si="15"/>
        <v>0</v>
      </c>
      <c r="K148" s="4"/>
      <c r="L148" s="4"/>
      <c r="M148" s="4"/>
      <c r="N148" s="13">
        <f t="shared" si="16"/>
        <v>0</v>
      </c>
      <c r="O148" s="5">
        <v>5000</v>
      </c>
      <c r="P148" s="5"/>
      <c r="Q148" s="5"/>
      <c r="R148" s="14">
        <f t="shared" si="17"/>
        <v>5000</v>
      </c>
      <c r="S148" s="9">
        <v>17000</v>
      </c>
      <c r="T148" s="10">
        <v>17000</v>
      </c>
      <c r="U148" s="10" t="s">
        <v>1372</v>
      </c>
      <c r="V148" s="7"/>
      <c r="W148" s="7"/>
      <c r="X148" s="6"/>
      <c r="Y148" s="6"/>
      <c r="Z148" s="8"/>
      <c r="AA148" s="8"/>
      <c r="AB148" s="10"/>
      <c r="AC148" s="10"/>
      <c r="AD148" s="15">
        <f t="shared" si="18"/>
        <v>0</v>
      </c>
      <c r="AE148" s="11"/>
      <c r="AF148" s="11"/>
      <c r="AG148" s="11"/>
      <c r="AH148" s="16">
        <f t="shared" si="19"/>
        <v>5000</v>
      </c>
    </row>
    <row r="149" spans="1:34" ht="30" x14ac:dyDescent="0.25">
      <c r="A149" s="2">
        <v>148</v>
      </c>
      <c r="B149" s="2"/>
      <c r="C149" s="2" t="s">
        <v>1436</v>
      </c>
      <c r="D149" s="2" t="s">
        <v>1338</v>
      </c>
      <c r="E149" s="2" t="s">
        <v>336</v>
      </c>
      <c r="F149" s="2"/>
      <c r="G149" s="3"/>
      <c r="H149" s="3"/>
      <c r="I149" s="3"/>
      <c r="J149" s="12">
        <f t="shared" si="15"/>
        <v>0</v>
      </c>
      <c r="K149" s="4"/>
      <c r="L149" s="4"/>
      <c r="M149" s="4"/>
      <c r="N149" s="13">
        <f t="shared" si="16"/>
        <v>0</v>
      </c>
      <c r="O149" s="5"/>
      <c r="P149" s="5"/>
      <c r="Q149" s="5"/>
      <c r="R149" s="14">
        <f t="shared" si="17"/>
        <v>0</v>
      </c>
      <c r="S149" s="9"/>
      <c r="T149" s="10">
        <v>13000</v>
      </c>
      <c r="U149" s="10" t="s">
        <v>1437</v>
      </c>
      <c r="V149" s="7"/>
      <c r="W149" s="7"/>
      <c r="X149" s="6"/>
      <c r="Y149" s="6"/>
      <c r="Z149" s="8"/>
      <c r="AA149" s="8"/>
      <c r="AB149" s="10"/>
      <c r="AC149" s="10"/>
      <c r="AD149" s="15">
        <f t="shared" si="18"/>
        <v>-13000</v>
      </c>
      <c r="AE149" s="11"/>
      <c r="AF149" s="11"/>
      <c r="AG149" s="11"/>
      <c r="AH149" s="16">
        <f t="shared" si="19"/>
        <v>-13000</v>
      </c>
    </row>
    <row r="150" spans="1:34" ht="30" x14ac:dyDescent="0.25">
      <c r="A150" s="2">
        <v>149</v>
      </c>
      <c r="B150" s="2"/>
      <c r="C150" s="2" t="s">
        <v>318</v>
      </c>
      <c r="D150" s="2" t="s">
        <v>257</v>
      </c>
      <c r="E150" s="2" t="s">
        <v>336</v>
      </c>
      <c r="F150" s="2">
        <v>3036794694</v>
      </c>
      <c r="G150" s="3"/>
      <c r="H150" s="3"/>
      <c r="I150" s="3"/>
      <c r="J150" s="12">
        <f t="shared" si="15"/>
        <v>0</v>
      </c>
      <c r="K150" s="4"/>
      <c r="L150" s="4"/>
      <c r="M150" s="4"/>
      <c r="N150" s="13">
        <f t="shared" si="16"/>
        <v>0</v>
      </c>
      <c r="O150" s="5">
        <v>5000</v>
      </c>
      <c r="P150" s="5"/>
      <c r="Q150" s="5"/>
      <c r="R150" s="14">
        <f t="shared" si="17"/>
        <v>5000</v>
      </c>
      <c r="S150" s="9">
        <v>15000</v>
      </c>
      <c r="T150" s="10">
        <v>5000</v>
      </c>
      <c r="U150" s="10" t="s">
        <v>1399</v>
      </c>
      <c r="V150" s="7"/>
      <c r="W150" s="7"/>
      <c r="X150" s="6"/>
      <c r="Y150" s="6"/>
      <c r="Z150" s="8"/>
      <c r="AA150" s="8"/>
      <c r="AB150" s="10"/>
      <c r="AC150" s="10"/>
      <c r="AD150" s="15">
        <f t="shared" si="18"/>
        <v>10000</v>
      </c>
      <c r="AE150" s="11"/>
      <c r="AF150" s="11"/>
      <c r="AG150" s="11"/>
      <c r="AH150" s="16">
        <f t="shared" si="19"/>
        <v>15000</v>
      </c>
    </row>
    <row r="151" spans="1:34" ht="30" x14ac:dyDescent="0.25">
      <c r="A151" s="2">
        <v>150</v>
      </c>
      <c r="B151" s="2"/>
      <c r="C151" s="2" t="s">
        <v>319</v>
      </c>
      <c r="D151" s="2" t="s">
        <v>504</v>
      </c>
      <c r="E151" s="2" t="s">
        <v>336</v>
      </c>
      <c r="F151" s="2">
        <v>3036772240</v>
      </c>
      <c r="G151" s="3"/>
      <c r="H151" s="3"/>
      <c r="I151" s="3"/>
      <c r="J151" s="12">
        <f t="shared" si="15"/>
        <v>0</v>
      </c>
      <c r="K151" s="4"/>
      <c r="L151" s="4"/>
      <c r="M151" s="4"/>
      <c r="N151" s="13">
        <f t="shared" si="16"/>
        <v>0</v>
      </c>
      <c r="O151" s="5">
        <v>5000</v>
      </c>
      <c r="P151" s="5"/>
      <c r="Q151" s="5"/>
      <c r="R151" s="14">
        <f t="shared" si="17"/>
        <v>5000</v>
      </c>
      <c r="S151" s="9">
        <v>20000</v>
      </c>
      <c r="T151" s="10">
        <v>10000</v>
      </c>
      <c r="U151" s="10" t="s">
        <v>1265</v>
      </c>
      <c r="V151" s="7">
        <v>5000</v>
      </c>
      <c r="W151" s="7" t="s">
        <v>1613</v>
      </c>
      <c r="X151" s="6"/>
      <c r="Y151" s="6"/>
      <c r="Z151" s="8"/>
      <c r="AA151" s="8"/>
      <c r="AB151" s="10"/>
      <c r="AC151" s="10"/>
      <c r="AD151" s="15">
        <f t="shared" si="18"/>
        <v>5000</v>
      </c>
      <c r="AE151" s="11"/>
      <c r="AF151" s="11"/>
      <c r="AG151" s="11"/>
      <c r="AH151" s="16">
        <f t="shared" si="19"/>
        <v>10000</v>
      </c>
    </row>
    <row r="152" spans="1:34" ht="30" x14ac:dyDescent="0.25">
      <c r="A152" s="2">
        <v>151</v>
      </c>
      <c r="B152" s="2"/>
      <c r="C152" s="2" t="s">
        <v>320</v>
      </c>
      <c r="D152" s="2" t="s">
        <v>731</v>
      </c>
      <c r="E152" s="2" t="s">
        <v>336</v>
      </c>
      <c r="F152" s="2">
        <v>3049432059</v>
      </c>
      <c r="G152" s="3"/>
      <c r="H152" s="3"/>
      <c r="I152" s="3"/>
      <c r="J152" s="12">
        <f t="shared" si="15"/>
        <v>0</v>
      </c>
      <c r="K152" s="4"/>
      <c r="L152" s="4"/>
      <c r="M152" s="4"/>
      <c r="N152" s="13">
        <f t="shared" si="16"/>
        <v>0</v>
      </c>
      <c r="O152" s="5">
        <v>5000</v>
      </c>
      <c r="P152" s="5"/>
      <c r="Q152" s="5"/>
      <c r="R152" s="14">
        <f t="shared" si="17"/>
        <v>5000</v>
      </c>
      <c r="S152" s="9">
        <v>20000</v>
      </c>
      <c r="T152" s="10">
        <v>10000</v>
      </c>
      <c r="U152" s="10" t="s">
        <v>1336</v>
      </c>
      <c r="V152" s="7">
        <v>5000</v>
      </c>
      <c r="W152" s="7" t="s">
        <v>1541</v>
      </c>
      <c r="X152" s="6"/>
      <c r="Y152" s="6"/>
      <c r="Z152" s="8"/>
      <c r="AA152" s="8"/>
      <c r="AB152" s="10"/>
      <c r="AC152" s="10"/>
      <c r="AD152" s="15">
        <f t="shared" si="18"/>
        <v>5000</v>
      </c>
      <c r="AE152" s="11"/>
      <c r="AF152" s="11"/>
      <c r="AG152" s="11"/>
      <c r="AH152" s="16">
        <f t="shared" si="19"/>
        <v>10000</v>
      </c>
    </row>
    <row r="153" spans="1:34" ht="30" x14ac:dyDescent="0.25">
      <c r="A153" s="2">
        <v>152</v>
      </c>
      <c r="B153" s="2"/>
      <c r="C153" s="2" t="s">
        <v>321</v>
      </c>
      <c r="D153" s="2" t="s">
        <v>341</v>
      </c>
      <c r="E153" s="2" t="s">
        <v>336</v>
      </c>
      <c r="F153" s="2">
        <v>3045837730</v>
      </c>
      <c r="G153" s="3"/>
      <c r="H153" s="3"/>
      <c r="I153" s="3"/>
      <c r="J153" s="12">
        <f t="shared" si="15"/>
        <v>0</v>
      </c>
      <c r="K153" s="4"/>
      <c r="L153" s="4"/>
      <c r="M153" s="4"/>
      <c r="N153" s="13">
        <f t="shared" si="16"/>
        <v>0</v>
      </c>
      <c r="O153" s="5">
        <v>5000</v>
      </c>
      <c r="P153" s="5"/>
      <c r="Q153" s="5"/>
      <c r="R153" s="14">
        <f t="shared" si="17"/>
        <v>5000</v>
      </c>
      <c r="S153" s="9">
        <v>15000</v>
      </c>
      <c r="T153" s="10">
        <v>2000</v>
      </c>
      <c r="U153" s="10" t="s">
        <v>1586</v>
      </c>
      <c r="V153" s="7">
        <v>3000</v>
      </c>
      <c r="W153" s="7" t="s">
        <v>1580</v>
      </c>
      <c r="X153" s="6">
        <v>2000</v>
      </c>
      <c r="Y153" s="6" t="s">
        <v>1682</v>
      </c>
      <c r="Z153" s="8"/>
      <c r="AA153" s="8"/>
      <c r="AB153" s="10"/>
      <c r="AC153" s="10"/>
      <c r="AD153" s="15">
        <f t="shared" si="18"/>
        <v>8000</v>
      </c>
      <c r="AE153" s="11"/>
      <c r="AF153" s="11"/>
      <c r="AG153" s="11"/>
      <c r="AH153" s="16">
        <f t="shared" si="19"/>
        <v>13000</v>
      </c>
    </row>
    <row r="154" spans="1:34" ht="30" x14ac:dyDescent="0.25">
      <c r="A154" s="2">
        <v>153</v>
      </c>
      <c r="B154" s="2"/>
      <c r="C154" s="2" t="s">
        <v>322</v>
      </c>
      <c r="D154" s="2" t="s">
        <v>42</v>
      </c>
      <c r="E154" s="2" t="s">
        <v>336</v>
      </c>
      <c r="F154" s="2">
        <v>3014634884</v>
      </c>
      <c r="G154" s="3"/>
      <c r="H154" s="3"/>
      <c r="I154" s="3"/>
      <c r="J154" s="12">
        <f t="shared" ref="J154:J200" si="20">G154-H154</f>
        <v>0</v>
      </c>
      <c r="K154" s="4"/>
      <c r="L154" s="4"/>
      <c r="M154" s="4"/>
      <c r="N154" s="13">
        <f t="shared" ref="N154:N200" si="21">K154-L154</f>
        <v>0</v>
      </c>
      <c r="O154" s="5">
        <v>5000</v>
      </c>
      <c r="P154" s="5"/>
      <c r="Q154" s="5"/>
      <c r="R154" s="14">
        <f t="shared" ref="R154:R200" si="22">O154-P154</f>
        <v>5000</v>
      </c>
      <c r="S154" s="9">
        <v>15000</v>
      </c>
      <c r="T154" s="10">
        <v>2000</v>
      </c>
      <c r="U154" s="10" t="s">
        <v>1384</v>
      </c>
      <c r="V154" s="7">
        <v>3000</v>
      </c>
      <c r="W154" s="7" t="s">
        <v>1389</v>
      </c>
      <c r="X154" s="6"/>
      <c r="Y154" s="6"/>
      <c r="Z154" s="8"/>
      <c r="AA154" s="8"/>
      <c r="AB154" s="10"/>
      <c r="AC154" s="10"/>
      <c r="AD154" s="15">
        <f t="shared" ref="AD154:AD200" si="23">S154-T154-V154-X154-Z154-AB154</f>
        <v>10000</v>
      </c>
      <c r="AE154" s="11"/>
      <c r="AF154" s="11"/>
      <c r="AG154" s="11"/>
      <c r="AH154" s="16">
        <f t="shared" ref="AH154:AH200" si="24">AD154+R154+N154+J154-AE154+AF154</f>
        <v>15000</v>
      </c>
    </row>
    <row r="155" spans="1:34" ht="30" x14ac:dyDescent="0.25">
      <c r="A155" s="2">
        <v>154</v>
      </c>
      <c r="B155" s="2"/>
      <c r="C155" s="2" t="s">
        <v>323</v>
      </c>
      <c r="D155" s="2" t="s">
        <v>339</v>
      </c>
      <c r="E155" s="2" t="s">
        <v>336</v>
      </c>
      <c r="F155" s="2">
        <v>3017822035</v>
      </c>
      <c r="G155" s="3"/>
      <c r="H155" s="3"/>
      <c r="I155" s="3"/>
      <c r="J155" s="12">
        <f t="shared" si="20"/>
        <v>0</v>
      </c>
      <c r="K155" s="4"/>
      <c r="L155" s="4"/>
      <c r="M155" s="4"/>
      <c r="N155" s="13">
        <f t="shared" si="21"/>
        <v>0</v>
      </c>
      <c r="O155" s="5">
        <v>5000</v>
      </c>
      <c r="P155" s="5"/>
      <c r="Q155" s="5"/>
      <c r="R155" s="14">
        <f t="shared" si="22"/>
        <v>5000</v>
      </c>
      <c r="S155" s="9">
        <v>17000</v>
      </c>
      <c r="T155" s="10">
        <v>17000</v>
      </c>
      <c r="U155" s="10" t="s">
        <v>1591</v>
      </c>
      <c r="V155" s="7"/>
      <c r="W155" s="7"/>
      <c r="X155" s="6"/>
      <c r="Y155" s="6"/>
      <c r="Z155" s="8"/>
      <c r="AA155" s="8"/>
      <c r="AB155" s="10"/>
      <c r="AC155" s="10"/>
      <c r="AD155" s="15">
        <f t="shared" si="23"/>
        <v>0</v>
      </c>
      <c r="AE155" s="11"/>
      <c r="AF155" s="11"/>
      <c r="AG155" s="11"/>
      <c r="AH155" s="16">
        <f t="shared" si="24"/>
        <v>5000</v>
      </c>
    </row>
    <row r="156" spans="1:34" ht="30" x14ac:dyDescent="0.25">
      <c r="A156" s="2">
        <v>155</v>
      </c>
      <c r="B156" s="2"/>
      <c r="C156" s="2" t="s">
        <v>324</v>
      </c>
      <c r="D156" s="2" t="s">
        <v>1338</v>
      </c>
      <c r="E156" s="2" t="s">
        <v>336</v>
      </c>
      <c r="F156" s="2">
        <v>3017772353</v>
      </c>
      <c r="G156" s="3"/>
      <c r="H156" s="3"/>
      <c r="I156" s="3"/>
      <c r="J156" s="12">
        <f t="shared" si="20"/>
        <v>0</v>
      </c>
      <c r="K156" s="4"/>
      <c r="L156" s="4"/>
      <c r="M156" s="4"/>
      <c r="N156" s="13">
        <f t="shared" si="21"/>
        <v>0</v>
      </c>
      <c r="O156" s="5">
        <v>5000</v>
      </c>
      <c r="P156" s="5"/>
      <c r="Q156" s="5"/>
      <c r="R156" s="14">
        <f t="shared" si="22"/>
        <v>5000</v>
      </c>
      <c r="S156" s="9">
        <v>20000</v>
      </c>
      <c r="T156" s="10">
        <v>13000</v>
      </c>
      <c r="U156" s="10" t="s">
        <v>1435</v>
      </c>
      <c r="V156" s="7"/>
      <c r="W156" s="7"/>
      <c r="X156" s="6"/>
      <c r="Y156" s="6"/>
      <c r="Z156" s="8"/>
      <c r="AA156" s="8"/>
      <c r="AB156" s="10"/>
      <c r="AC156" s="10"/>
      <c r="AD156" s="15">
        <f t="shared" si="23"/>
        <v>7000</v>
      </c>
      <c r="AE156" s="11"/>
      <c r="AF156" s="11"/>
      <c r="AG156" s="11"/>
      <c r="AH156" s="16">
        <f t="shared" si="24"/>
        <v>12000</v>
      </c>
    </row>
    <row r="157" spans="1:34" ht="30" x14ac:dyDescent="0.25">
      <c r="A157" s="2">
        <v>156</v>
      </c>
      <c r="B157" s="2"/>
      <c r="C157" s="2" t="s">
        <v>325</v>
      </c>
      <c r="D157" s="2" t="s">
        <v>1771</v>
      </c>
      <c r="E157" s="2" t="s">
        <v>336</v>
      </c>
      <c r="F157" s="2">
        <v>3037851188</v>
      </c>
      <c r="G157" s="3"/>
      <c r="H157" s="3"/>
      <c r="I157" s="3"/>
      <c r="J157" s="12">
        <f t="shared" si="20"/>
        <v>0</v>
      </c>
      <c r="K157" s="4"/>
      <c r="L157" s="4"/>
      <c r="M157" s="4"/>
      <c r="N157" s="13">
        <f t="shared" si="21"/>
        <v>0</v>
      </c>
      <c r="O157" s="5">
        <v>5000</v>
      </c>
      <c r="P157" s="5"/>
      <c r="Q157" s="5"/>
      <c r="R157" s="14">
        <f t="shared" si="22"/>
        <v>5000</v>
      </c>
      <c r="S157" s="9">
        <v>25000</v>
      </c>
      <c r="T157" s="10"/>
      <c r="U157" s="10"/>
      <c r="V157" s="7"/>
      <c r="W157" s="7"/>
      <c r="X157" s="6"/>
      <c r="Y157" s="6"/>
      <c r="Z157" s="8"/>
      <c r="AA157" s="8"/>
      <c r="AB157" s="10"/>
      <c r="AC157" s="10"/>
      <c r="AD157" s="15">
        <f t="shared" si="23"/>
        <v>25000</v>
      </c>
      <c r="AE157" s="11"/>
      <c r="AF157" s="11"/>
      <c r="AG157" s="11"/>
      <c r="AH157" s="16">
        <f t="shared" si="24"/>
        <v>30000</v>
      </c>
    </row>
    <row r="158" spans="1:34" ht="30" x14ac:dyDescent="0.25">
      <c r="A158" s="2">
        <v>157</v>
      </c>
      <c r="B158" s="2"/>
      <c r="C158" s="2" t="s">
        <v>326</v>
      </c>
      <c r="D158" s="2" t="s">
        <v>119</v>
      </c>
      <c r="E158" s="2" t="s">
        <v>336</v>
      </c>
      <c r="F158" s="2"/>
      <c r="G158" s="3"/>
      <c r="H158" s="3"/>
      <c r="I158" s="3"/>
      <c r="J158" s="12">
        <f t="shared" si="20"/>
        <v>0</v>
      </c>
      <c r="K158" s="4"/>
      <c r="L158" s="4"/>
      <c r="M158" s="4"/>
      <c r="N158" s="13">
        <f t="shared" si="21"/>
        <v>0</v>
      </c>
      <c r="O158" s="5"/>
      <c r="P158" s="5"/>
      <c r="Q158" s="5"/>
      <c r="R158" s="14">
        <f>O158-P158</f>
        <v>0</v>
      </c>
      <c r="S158" s="9"/>
      <c r="T158" s="10">
        <v>8000</v>
      </c>
      <c r="U158" s="10" t="s">
        <v>1316</v>
      </c>
      <c r="V158" s="7">
        <v>8000</v>
      </c>
      <c r="W158" s="7" t="s">
        <v>1467</v>
      </c>
      <c r="X158" s="6"/>
      <c r="Y158" s="6"/>
      <c r="Z158" s="8"/>
      <c r="AA158" s="8"/>
      <c r="AB158" s="10"/>
      <c r="AC158" s="10"/>
      <c r="AD158" s="15">
        <f t="shared" si="23"/>
        <v>-16000</v>
      </c>
      <c r="AE158" s="11"/>
      <c r="AF158" s="11"/>
      <c r="AG158" s="11"/>
      <c r="AH158" s="16">
        <f t="shared" si="24"/>
        <v>-16000</v>
      </c>
    </row>
    <row r="159" spans="1:34" ht="30" x14ac:dyDescent="0.25">
      <c r="A159" s="2">
        <v>158</v>
      </c>
      <c r="B159" s="2"/>
      <c r="C159" s="2" t="s">
        <v>327</v>
      </c>
      <c r="D159" s="2"/>
      <c r="E159" s="2" t="s">
        <v>336</v>
      </c>
      <c r="F159" s="2"/>
      <c r="G159" s="3"/>
      <c r="H159" s="3"/>
      <c r="I159" s="3"/>
      <c r="J159" s="12">
        <f t="shared" si="20"/>
        <v>0</v>
      </c>
      <c r="K159" s="4"/>
      <c r="L159" s="4"/>
      <c r="M159" s="4"/>
      <c r="N159" s="13">
        <f t="shared" si="21"/>
        <v>0</v>
      </c>
      <c r="O159" s="5"/>
      <c r="P159" s="5"/>
      <c r="Q159" s="5"/>
      <c r="R159" s="14">
        <f t="shared" si="22"/>
        <v>0</v>
      </c>
      <c r="S159" s="9"/>
      <c r="T159" s="10"/>
      <c r="U159" s="10"/>
      <c r="V159" s="7"/>
      <c r="W159" s="7"/>
      <c r="X159" s="6"/>
      <c r="Y159" s="6"/>
      <c r="Z159" s="8"/>
      <c r="AA159" s="8"/>
      <c r="AB159" s="10"/>
      <c r="AC159" s="10"/>
      <c r="AD159" s="15">
        <f t="shared" si="23"/>
        <v>0</v>
      </c>
      <c r="AE159" s="11"/>
      <c r="AF159" s="11"/>
      <c r="AG159" s="11"/>
      <c r="AH159" s="16">
        <f t="shared" si="24"/>
        <v>0</v>
      </c>
    </row>
    <row r="160" spans="1:34" ht="30" x14ac:dyDescent="0.25">
      <c r="A160" s="2">
        <v>159</v>
      </c>
      <c r="B160" s="2"/>
      <c r="C160" s="2" t="s">
        <v>1429</v>
      </c>
      <c r="D160" s="2" t="s">
        <v>1430</v>
      </c>
      <c r="E160" s="2" t="s">
        <v>336</v>
      </c>
      <c r="F160" s="2"/>
      <c r="G160" s="3"/>
      <c r="H160" s="3"/>
      <c r="I160" s="3"/>
      <c r="J160" s="12">
        <f t="shared" si="20"/>
        <v>0</v>
      </c>
      <c r="K160" s="4"/>
      <c r="L160" s="4"/>
      <c r="M160" s="4"/>
      <c r="N160" s="13">
        <f t="shared" si="21"/>
        <v>0</v>
      </c>
      <c r="O160" s="5"/>
      <c r="P160" s="5"/>
      <c r="Q160" s="5"/>
      <c r="R160" s="14">
        <f t="shared" si="22"/>
        <v>0</v>
      </c>
      <c r="S160" s="9"/>
      <c r="T160" s="10">
        <v>5000</v>
      </c>
      <c r="U160" s="10" t="s">
        <v>1431</v>
      </c>
      <c r="V160" s="7">
        <v>2000</v>
      </c>
      <c r="W160" s="7" t="s">
        <v>1807</v>
      </c>
      <c r="X160" s="6"/>
      <c r="Y160" s="6"/>
      <c r="Z160" s="8"/>
      <c r="AA160" s="8"/>
      <c r="AB160" s="10"/>
      <c r="AC160" s="10"/>
      <c r="AD160" s="15">
        <f t="shared" si="23"/>
        <v>-7000</v>
      </c>
      <c r="AE160" s="11"/>
      <c r="AF160" s="11"/>
      <c r="AG160" s="11"/>
      <c r="AH160" s="16">
        <f t="shared" si="24"/>
        <v>-7000</v>
      </c>
    </row>
    <row r="161" spans="1:34" ht="30" x14ac:dyDescent="0.25">
      <c r="A161" s="2">
        <v>160</v>
      </c>
      <c r="B161" s="2"/>
      <c r="C161" s="2" t="s">
        <v>1778</v>
      </c>
      <c r="D161" s="2" t="s">
        <v>1779</v>
      </c>
      <c r="E161" s="2" t="s">
        <v>336</v>
      </c>
      <c r="F161" s="2">
        <v>3076347961</v>
      </c>
      <c r="G161" s="3"/>
      <c r="H161" s="3"/>
      <c r="I161" s="3"/>
      <c r="J161" s="12">
        <f t="shared" si="20"/>
        <v>0</v>
      </c>
      <c r="K161" s="4"/>
      <c r="L161" s="4"/>
      <c r="M161" s="4"/>
      <c r="N161" s="13">
        <f t="shared" si="21"/>
        <v>0</v>
      </c>
      <c r="O161" s="5">
        <v>5000</v>
      </c>
      <c r="P161" s="5"/>
      <c r="Q161" s="5"/>
      <c r="R161" s="14">
        <f t="shared" si="22"/>
        <v>5000</v>
      </c>
      <c r="S161" s="9">
        <v>23000</v>
      </c>
      <c r="T161" s="10">
        <v>8380</v>
      </c>
      <c r="U161" s="10" t="s">
        <v>1780</v>
      </c>
      <c r="V161" s="7"/>
      <c r="W161" s="7"/>
      <c r="X161" s="6"/>
      <c r="Y161" s="6"/>
      <c r="Z161" s="8"/>
      <c r="AA161" s="8"/>
      <c r="AB161" s="10"/>
      <c r="AC161" s="10"/>
      <c r="AD161" s="15">
        <f t="shared" si="23"/>
        <v>14620</v>
      </c>
      <c r="AE161" s="11"/>
      <c r="AF161" s="11"/>
      <c r="AG161" s="11"/>
      <c r="AH161" s="16">
        <f t="shared" si="24"/>
        <v>19620</v>
      </c>
    </row>
    <row r="162" spans="1:34" ht="30" x14ac:dyDescent="0.25">
      <c r="A162" s="2">
        <v>161</v>
      </c>
      <c r="B162" s="2"/>
      <c r="C162" s="2" t="s">
        <v>328</v>
      </c>
      <c r="D162" s="2" t="s">
        <v>621</v>
      </c>
      <c r="E162" s="2" t="s">
        <v>336</v>
      </c>
      <c r="F162" s="2">
        <v>3346214143</v>
      </c>
      <c r="G162" s="3"/>
      <c r="H162" s="3"/>
      <c r="I162" s="3"/>
      <c r="J162" s="12">
        <f t="shared" si="20"/>
        <v>0</v>
      </c>
      <c r="K162" s="4"/>
      <c r="L162" s="4"/>
      <c r="M162" s="4"/>
      <c r="N162" s="13">
        <f t="shared" si="21"/>
        <v>0</v>
      </c>
      <c r="O162" s="5">
        <v>5000</v>
      </c>
      <c r="P162" s="5"/>
      <c r="Q162" s="5"/>
      <c r="R162" s="14">
        <f t="shared" si="22"/>
        <v>5000</v>
      </c>
      <c r="S162" s="9">
        <v>22000</v>
      </c>
      <c r="T162" s="10">
        <v>5000</v>
      </c>
      <c r="U162" s="10" t="s">
        <v>1498</v>
      </c>
      <c r="V162" s="7"/>
      <c r="W162" s="7"/>
      <c r="X162" s="6"/>
      <c r="Y162" s="6"/>
      <c r="Z162" s="8"/>
      <c r="AA162" s="8"/>
      <c r="AB162" s="10"/>
      <c r="AC162" s="10"/>
      <c r="AD162" s="15">
        <f t="shared" si="23"/>
        <v>17000</v>
      </c>
      <c r="AE162" s="11"/>
      <c r="AF162" s="11"/>
      <c r="AG162" s="11"/>
      <c r="AH162" s="16">
        <f t="shared" si="24"/>
        <v>22000</v>
      </c>
    </row>
    <row r="163" spans="1:34" ht="30" x14ac:dyDescent="0.25">
      <c r="A163" s="2">
        <v>162</v>
      </c>
      <c r="B163" s="2"/>
      <c r="C163" s="2" t="s">
        <v>1494</v>
      </c>
      <c r="D163" s="2" t="s">
        <v>1495</v>
      </c>
      <c r="E163" s="2" t="s">
        <v>336</v>
      </c>
      <c r="F163" s="2"/>
      <c r="G163" s="3"/>
      <c r="H163" s="3"/>
      <c r="I163" s="3"/>
      <c r="J163" s="12">
        <f t="shared" si="20"/>
        <v>0</v>
      </c>
      <c r="K163" s="4"/>
      <c r="L163" s="4"/>
      <c r="M163" s="4"/>
      <c r="N163" s="13">
        <f t="shared" si="21"/>
        <v>0</v>
      </c>
      <c r="O163" s="5"/>
      <c r="P163" s="5"/>
      <c r="Q163" s="5"/>
      <c r="R163" s="14">
        <f t="shared" si="22"/>
        <v>0</v>
      </c>
      <c r="S163" s="9"/>
      <c r="T163" s="10">
        <v>3000</v>
      </c>
      <c r="U163" s="10" t="s">
        <v>1496</v>
      </c>
      <c r="V163" s="7"/>
      <c r="W163" s="7"/>
      <c r="X163" s="6"/>
      <c r="Y163" s="6"/>
      <c r="Z163" s="8"/>
      <c r="AA163" s="8"/>
      <c r="AB163" s="10"/>
      <c r="AC163" s="10"/>
      <c r="AD163" s="15">
        <f t="shared" si="23"/>
        <v>-3000</v>
      </c>
      <c r="AE163" s="11"/>
      <c r="AF163" s="11"/>
      <c r="AG163" s="11"/>
      <c r="AH163" s="16">
        <f t="shared" si="24"/>
        <v>-3000</v>
      </c>
    </row>
    <row r="164" spans="1:34" ht="30" x14ac:dyDescent="0.25">
      <c r="A164" s="2">
        <v>163</v>
      </c>
      <c r="B164" s="2"/>
      <c r="C164" s="2" t="s">
        <v>329</v>
      </c>
      <c r="D164" s="2" t="s">
        <v>250</v>
      </c>
      <c r="E164" s="2" t="s">
        <v>336</v>
      </c>
      <c r="F164" s="2">
        <v>3067732257</v>
      </c>
      <c r="G164" s="3"/>
      <c r="H164" s="3"/>
      <c r="I164" s="3"/>
      <c r="J164" s="12">
        <f t="shared" si="20"/>
        <v>0</v>
      </c>
      <c r="K164" s="4"/>
      <c r="L164" s="4"/>
      <c r="M164" s="4"/>
      <c r="N164" s="13">
        <f t="shared" si="21"/>
        <v>0</v>
      </c>
      <c r="O164" s="5"/>
      <c r="P164" s="5"/>
      <c r="Q164" s="5"/>
      <c r="R164" s="14">
        <f t="shared" si="22"/>
        <v>0</v>
      </c>
      <c r="S164" s="9"/>
      <c r="T164" s="10">
        <v>2400</v>
      </c>
      <c r="U164" s="10" t="s">
        <v>1608</v>
      </c>
      <c r="V164" s="7"/>
      <c r="W164" s="7"/>
      <c r="X164" s="6"/>
      <c r="Y164" s="6"/>
      <c r="Z164" s="8"/>
      <c r="AA164" s="8"/>
      <c r="AB164" s="10"/>
      <c r="AC164" s="10"/>
      <c r="AD164" s="15">
        <f t="shared" si="23"/>
        <v>-2400</v>
      </c>
      <c r="AE164" s="11"/>
      <c r="AF164" s="11"/>
      <c r="AG164" s="11"/>
      <c r="AH164" s="16">
        <f t="shared" si="24"/>
        <v>-2400</v>
      </c>
    </row>
    <row r="165" spans="1:34" ht="30" x14ac:dyDescent="0.25">
      <c r="A165" s="2">
        <v>164</v>
      </c>
      <c r="B165" s="2"/>
      <c r="C165" s="2" t="s">
        <v>330</v>
      </c>
      <c r="D165" s="2" t="s">
        <v>337</v>
      </c>
      <c r="E165" s="2" t="s">
        <v>336</v>
      </c>
      <c r="F165" s="2">
        <v>307280024</v>
      </c>
      <c r="G165" s="3"/>
      <c r="H165" s="3"/>
      <c r="I165" s="3"/>
      <c r="J165" s="12">
        <f t="shared" si="20"/>
        <v>0</v>
      </c>
      <c r="K165" s="4"/>
      <c r="L165" s="4"/>
      <c r="M165" s="4"/>
      <c r="N165" s="13">
        <f t="shared" si="21"/>
        <v>0</v>
      </c>
      <c r="O165" s="5">
        <v>5000</v>
      </c>
      <c r="P165" s="5"/>
      <c r="Q165" s="5"/>
      <c r="R165" s="14">
        <f t="shared" si="22"/>
        <v>5000</v>
      </c>
      <c r="S165" s="9">
        <v>25000</v>
      </c>
      <c r="T165" s="10">
        <v>5000</v>
      </c>
      <c r="U165" s="10" t="s">
        <v>1478</v>
      </c>
      <c r="V165" s="7"/>
      <c r="W165" s="7"/>
      <c r="X165" s="6"/>
      <c r="Y165" s="6"/>
      <c r="Z165" s="8"/>
      <c r="AA165" s="8"/>
      <c r="AB165" s="10"/>
      <c r="AC165" s="10"/>
      <c r="AD165" s="15">
        <f t="shared" si="23"/>
        <v>20000</v>
      </c>
      <c r="AE165" s="11"/>
      <c r="AF165" s="11"/>
      <c r="AG165" s="11"/>
      <c r="AH165" s="16">
        <f t="shared" si="24"/>
        <v>25000</v>
      </c>
    </row>
    <row r="166" spans="1:34" ht="30" x14ac:dyDescent="0.25">
      <c r="A166" s="2">
        <v>165</v>
      </c>
      <c r="B166" s="2"/>
      <c r="C166" s="2" t="s">
        <v>331</v>
      </c>
      <c r="D166" s="2" t="s">
        <v>28</v>
      </c>
      <c r="E166" s="2" t="s">
        <v>336</v>
      </c>
      <c r="F166" s="2">
        <v>3002711717</v>
      </c>
      <c r="G166" s="3"/>
      <c r="H166" s="3"/>
      <c r="I166" s="3"/>
      <c r="J166" s="12">
        <f t="shared" si="20"/>
        <v>0</v>
      </c>
      <c r="K166" s="4"/>
      <c r="L166" s="4"/>
      <c r="M166" s="4"/>
      <c r="N166" s="13">
        <f t="shared" si="21"/>
        <v>0</v>
      </c>
      <c r="O166" s="5">
        <v>5000</v>
      </c>
      <c r="P166" s="5"/>
      <c r="Q166" s="5"/>
      <c r="R166" s="14">
        <f t="shared" si="22"/>
        <v>5000</v>
      </c>
      <c r="S166" s="9">
        <v>23000</v>
      </c>
      <c r="T166" s="10">
        <v>15000</v>
      </c>
      <c r="U166" s="10" t="s">
        <v>1116</v>
      </c>
      <c r="V166" s="7"/>
      <c r="W166" s="7"/>
      <c r="X166" s="6"/>
      <c r="Y166" s="6"/>
      <c r="Z166" s="8"/>
      <c r="AA166" s="8"/>
      <c r="AB166" s="10"/>
      <c r="AC166" s="10"/>
      <c r="AD166" s="15">
        <f t="shared" si="23"/>
        <v>8000</v>
      </c>
      <c r="AE166" s="11"/>
      <c r="AF166" s="11"/>
      <c r="AG166" s="11"/>
      <c r="AH166" s="16">
        <f t="shared" si="24"/>
        <v>13000</v>
      </c>
    </row>
    <row r="167" spans="1:34" ht="30" x14ac:dyDescent="0.25">
      <c r="A167" s="2">
        <v>166</v>
      </c>
      <c r="B167" s="2"/>
      <c r="C167" s="2" t="s">
        <v>332</v>
      </c>
      <c r="D167" s="2" t="s">
        <v>338</v>
      </c>
      <c r="E167" s="2" t="s">
        <v>336</v>
      </c>
      <c r="F167" s="2">
        <v>3465631603</v>
      </c>
      <c r="G167" s="3"/>
      <c r="H167" s="3"/>
      <c r="I167" s="3"/>
      <c r="J167" s="12">
        <f t="shared" si="20"/>
        <v>0</v>
      </c>
      <c r="K167" s="4"/>
      <c r="L167" s="4"/>
      <c r="M167" s="4"/>
      <c r="N167" s="13">
        <f t="shared" si="21"/>
        <v>0</v>
      </c>
      <c r="O167" s="5">
        <v>5000</v>
      </c>
      <c r="P167" s="5"/>
      <c r="Q167" s="5"/>
      <c r="R167" s="14">
        <f t="shared" si="22"/>
        <v>5000</v>
      </c>
      <c r="S167" s="9">
        <v>25000</v>
      </c>
      <c r="T167" s="10">
        <v>5000</v>
      </c>
      <c r="U167" s="10" t="s">
        <v>1489</v>
      </c>
      <c r="V167" s="7"/>
      <c r="W167" s="7"/>
      <c r="X167" s="6"/>
      <c r="Y167" s="6"/>
      <c r="Z167" s="8"/>
      <c r="AA167" s="8"/>
      <c r="AB167" s="10"/>
      <c r="AC167" s="10"/>
      <c r="AD167" s="15">
        <f t="shared" si="23"/>
        <v>20000</v>
      </c>
      <c r="AE167" s="11"/>
      <c r="AF167" s="11"/>
      <c r="AG167" s="11"/>
      <c r="AH167" s="16">
        <f t="shared" si="24"/>
        <v>25000</v>
      </c>
    </row>
    <row r="168" spans="1:34" ht="30" x14ac:dyDescent="0.25">
      <c r="A168" s="2">
        <v>167</v>
      </c>
      <c r="B168" s="2"/>
      <c r="C168" s="2" t="s">
        <v>333</v>
      </c>
      <c r="D168" s="2" t="s">
        <v>310</v>
      </c>
      <c r="E168" s="2" t="s">
        <v>336</v>
      </c>
      <c r="F168" s="2">
        <v>3047701349</v>
      </c>
      <c r="G168" s="3"/>
      <c r="H168" s="3"/>
      <c r="I168" s="3"/>
      <c r="J168" s="12">
        <f t="shared" si="20"/>
        <v>0</v>
      </c>
      <c r="K168" s="4"/>
      <c r="L168" s="4"/>
      <c r="M168" s="4"/>
      <c r="N168" s="13">
        <f t="shared" si="21"/>
        <v>0</v>
      </c>
      <c r="O168" s="5">
        <v>5000</v>
      </c>
      <c r="P168" s="5"/>
      <c r="Q168" s="5"/>
      <c r="R168" s="14">
        <f t="shared" si="22"/>
        <v>5000</v>
      </c>
      <c r="S168" s="9">
        <v>20000</v>
      </c>
      <c r="T168" s="10">
        <v>2880</v>
      </c>
      <c r="U168" s="10" t="s">
        <v>1768</v>
      </c>
      <c r="V168" s="7"/>
      <c r="W168" s="7"/>
      <c r="X168" s="6"/>
      <c r="Y168" s="6"/>
      <c r="Z168" s="8"/>
      <c r="AA168" s="8"/>
      <c r="AB168" s="10"/>
      <c r="AC168" s="10"/>
      <c r="AD168" s="15">
        <f t="shared" si="23"/>
        <v>17120</v>
      </c>
      <c r="AE168" s="11"/>
      <c r="AF168" s="11"/>
      <c r="AG168" s="11"/>
      <c r="AH168" s="16">
        <f t="shared" si="24"/>
        <v>22120</v>
      </c>
    </row>
    <row r="169" spans="1:34" ht="30" x14ac:dyDescent="0.25">
      <c r="A169" s="2">
        <v>168</v>
      </c>
      <c r="B169" s="2"/>
      <c r="C169" s="2" t="s">
        <v>334</v>
      </c>
      <c r="D169" s="2" t="s">
        <v>42</v>
      </c>
      <c r="E169" s="2" t="s">
        <v>336</v>
      </c>
      <c r="F169" s="2">
        <v>3036742950</v>
      </c>
      <c r="G169" s="3"/>
      <c r="H169" s="3"/>
      <c r="I169" s="3"/>
      <c r="J169" s="12">
        <f t="shared" si="20"/>
        <v>0</v>
      </c>
      <c r="K169" s="4"/>
      <c r="L169" s="4"/>
      <c r="M169" s="4"/>
      <c r="N169" s="13">
        <f t="shared" si="21"/>
        <v>0</v>
      </c>
      <c r="O169" s="5">
        <v>5000</v>
      </c>
      <c r="P169" s="5"/>
      <c r="Q169" s="5"/>
      <c r="R169" s="14">
        <f t="shared" si="22"/>
        <v>5000</v>
      </c>
      <c r="S169" s="9">
        <v>15000</v>
      </c>
      <c r="T169" s="10">
        <v>5000</v>
      </c>
      <c r="U169" s="10" t="s">
        <v>1813</v>
      </c>
      <c r="V169" s="7">
        <v>1620</v>
      </c>
      <c r="W169" s="7" t="s">
        <v>2567</v>
      </c>
      <c r="X169" s="6"/>
      <c r="Y169" s="6"/>
      <c r="Z169" s="8"/>
      <c r="AA169" s="8"/>
      <c r="AB169" s="10"/>
      <c r="AC169" s="10"/>
      <c r="AD169" s="15">
        <f t="shared" si="23"/>
        <v>8380</v>
      </c>
      <c r="AE169" s="11"/>
      <c r="AF169" s="11"/>
      <c r="AG169" s="11"/>
      <c r="AH169" s="16">
        <f t="shared" si="24"/>
        <v>13380</v>
      </c>
    </row>
    <row r="170" spans="1:34" ht="30" x14ac:dyDescent="0.25">
      <c r="A170" s="2">
        <v>169</v>
      </c>
      <c r="B170" s="2"/>
      <c r="C170" s="2" t="s">
        <v>335</v>
      </c>
      <c r="D170" s="2" t="s">
        <v>628</v>
      </c>
      <c r="E170" s="2" t="s">
        <v>336</v>
      </c>
      <c r="F170" s="2">
        <v>3002966114</v>
      </c>
      <c r="G170" s="3"/>
      <c r="H170" s="3"/>
      <c r="I170" s="3"/>
      <c r="J170" s="12">
        <f t="shared" si="20"/>
        <v>0</v>
      </c>
      <c r="K170" s="4"/>
      <c r="L170" s="4"/>
      <c r="M170" s="4"/>
      <c r="N170" s="13">
        <f t="shared" si="21"/>
        <v>0</v>
      </c>
      <c r="O170" s="5">
        <v>5000</v>
      </c>
      <c r="P170" s="5"/>
      <c r="Q170" s="5"/>
      <c r="R170" s="14">
        <f t="shared" si="22"/>
        <v>5000</v>
      </c>
      <c r="S170" s="9">
        <v>15000</v>
      </c>
      <c r="T170" s="10">
        <v>10000</v>
      </c>
      <c r="U170" s="10" t="s">
        <v>1651</v>
      </c>
      <c r="V170" s="7"/>
      <c r="W170" s="7"/>
      <c r="X170" s="6"/>
      <c r="Y170" s="6"/>
      <c r="Z170" s="8"/>
      <c r="AA170" s="8"/>
      <c r="AB170" s="10"/>
      <c r="AC170" s="10"/>
      <c r="AD170" s="15">
        <f t="shared" si="23"/>
        <v>5000</v>
      </c>
      <c r="AE170" s="11"/>
      <c r="AF170" s="11"/>
      <c r="AG170" s="11"/>
      <c r="AH170" s="16">
        <f t="shared" si="24"/>
        <v>10000</v>
      </c>
    </row>
    <row r="171" spans="1:34" ht="30" x14ac:dyDescent="0.25">
      <c r="A171" s="2">
        <v>170</v>
      </c>
      <c r="B171" s="2"/>
      <c r="C171" s="2" t="s">
        <v>343</v>
      </c>
      <c r="D171" s="2" t="s">
        <v>42</v>
      </c>
      <c r="E171" s="2" t="s">
        <v>342</v>
      </c>
      <c r="F171" s="2">
        <v>3040705509</v>
      </c>
      <c r="G171" s="3"/>
      <c r="H171" s="3"/>
      <c r="I171" s="3"/>
      <c r="J171" s="12">
        <f t="shared" si="20"/>
        <v>0</v>
      </c>
      <c r="K171" s="4"/>
      <c r="L171" s="4"/>
      <c r="M171" s="4"/>
      <c r="N171" s="13">
        <f t="shared" si="21"/>
        <v>0</v>
      </c>
      <c r="O171" s="5">
        <v>0</v>
      </c>
      <c r="P171" s="5">
        <v>0</v>
      </c>
      <c r="Q171" s="5"/>
      <c r="R171" s="14">
        <f t="shared" si="22"/>
        <v>0</v>
      </c>
      <c r="S171" s="9">
        <v>24000</v>
      </c>
      <c r="T171" s="10">
        <v>5000</v>
      </c>
      <c r="U171" s="10" t="s">
        <v>1098</v>
      </c>
      <c r="V171" s="7">
        <v>5000</v>
      </c>
      <c r="W171" s="7" t="s">
        <v>1595</v>
      </c>
      <c r="X171" s="6"/>
      <c r="Y171" s="6"/>
      <c r="Z171" s="8"/>
      <c r="AA171" s="8"/>
      <c r="AB171" s="10"/>
      <c r="AC171" s="10"/>
      <c r="AD171" s="15">
        <f t="shared" si="23"/>
        <v>14000</v>
      </c>
      <c r="AE171" s="11"/>
      <c r="AF171" s="11"/>
      <c r="AG171" s="11"/>
      <c r="AH171" s="16">
        <f t="shared" si="24"/>
        <v>14000</v>
      </c>
    </row>
    <row r="172" spans="1:34" ht="30" x14ac:dyDescent="0.25">
      <c r="A172" s="2">
        <v>171</v>
      </c>
      <c r="B172" s="2"/>
      <c r="C172" s="2" t="s">
        <v>344</v>
      </c>
      <c r="D172" s="2" t="s">
        <v>366</v>
      </c>
      <c r="E172" s="2" t="s">
        <v>342</v>
      </c>
      <c r="F172" s="2"/>
      <c r="G172" s="3"/>
      <c r="H172" s="3"/>
      <c r="I172" s="3"/>
      <c r="J172" s="12">
        <f t="shared" si="20"/>
        <v>0</v>
      </c>
      <c r="K172" s="4"/>
      <c r="L172" s="4"/>
      <c r="M172" s="4"/>
      <c r="N172" s="13">
        <f t="shared" si="21"/>
        <v>0</v>
      </c>
      <c r="O172" s="5"/>
      <c r="P172" s="5"/>
      <c r="Q172" s="5"/>
      <c r="R172" s="14">
        <f t="shared" si="22"/>
        <v>0</v>
      </c>
      <c r="S172" s="9"/>
      <c r="T172" s="10"/>
      <c r="U172" s="10"/>
      <c r="V172" s="7"/>
      <c r="W172" s="7"/>
      <c r="X172" s="6"/>
      <c r="Y172" s="6"/>
      <c r="Z172" s="8"/>
      <c r="AA172" s="8"/>
      <c r="AB172" s="10"/>
      <c r="AC172" s="10"/>
      <c r="AD172" s="15">
        <f t="shared" si="23"/>
        <v>0</v>
      </c>
      <c r="AE172" s="11"/>
      <c r="AF172" s="11"/>
      <c r="AG172" s="11"/>
      <c r="AH172" s="16">
        <f t="shared" si="24"/>
        <v>0</v>
      </c>
    </row>
    <row r="173" spans="1:34" ht="30" x14ac:dyDescent="0.25">
      <c r="A173" s="2">
        <v>173</v>
      </c>
      <c r="B173" s="2"/>
      <c r="C173" s="2" t="s">
        <v>345</v>
      </c>
      <c r="D173" s="2" t="s">
        <v>367</v>
      </c>
      <c r="E173" s="2" t="s">
        <v>342</v>
      </c>
      <c r="F173" s="2">
        <v>3236427724</v>
      </c>
      <c r="G173" s="3"/>
      <c r="H173" s="3"/>
      <c r="I173" s="3"/>
      <c r="J173" s="12">
        <f t="shared" si="20"/>
        <v>0</v>
      </c>
      <c r="K173" s="4"/>
      <c r="L173" s="4"/>
      <c r="M173" s="4"/>
      <c r="N173" s="13">
        <f t="shared" si="21"/>
        <v>0</v>
      </c>
      <c r="O173" s="5">
        <v>0</v>
      </c>
      <c r="P173" s="5">
        <v>0</v>
      </c>
      <c r="Q173" s="5"/>
      <c r="R173" s="14">
        <f t="shared" si="22"/>
        <v>0</v>
      </c>
      <c r="S173" s="9">
        <v>15000</v>
      </c>
      <c r="T173" s="10">
        <v>5000</v>
      </c>
      <c r="U173" s="10" t="s">
        <v>1783</v>
      </c>
      <c r="V173" s="7"/>
      <c r="W173" s="7"/>
      <c r="X173" s="6"/>
      <c r="Y173" s="6"/>
      <c r="Z173" s="8"/>
      <c r="AA173" s="8"/>
      <c r="AB173" s="10"/>
      <c r="AC173" s="10"/>
      <c r="AD173" s="15">
        <f t="shared" si="23"/>
        <v>10000</v>
      </c>
      <c r="AE173" s="11"/>
      <c r="AF173" s="11"/>
      <c r="AG173" s="11"/>
      <c r="AH173" s="16">
        <f t="shared" si="24"/>
        <v>10000</v>
      </c>
    </row>
    <row r="174" spans="1:34" ht="30" x14ac:dyDescent="0.25">
      <c r="A174" s="2">
        <v>174</v>
      </c>
      <c r="B174" s="2"/>
      <c r="C174" s="2" t="s">
        <v>346</v>
      </c>
      <c r="D174" s="2" t="s">
        <v>368</v>
      </c>
      <c r="E174" s="2" t="s">
        <v>342</v>
      </c>
      <c r="F174" s="2">
        <v>3027340485</v>
      </c>
      <c r="G174" s="3"/>
      <c r="H174" s="3"/>
      <c r="I174" s="3"/>
      <c r="J174" s="12">
        <f t="shared" si="20"/>
        <v>0</v>
      </c>
      <c r="K174" s="4"/>
      <c r="L174" s="4"/>
      <c r="M174" s="4"/>
      <c r="N174" s="13">
        <f t="shared" si="21"/>
        <v>0</v>
      </c>
      <c r="O174" s="5">
        <v>0</v>
      </c>
      <c r="P174" s="5">
        <v>0</v>
      </c>
      <c r="Q174" s="5"/>
      <c r="R174" s="14">
        <f t="shared" si="22"/>
        <v>0</v>
      </c>
      <c r="S174" s="9">
        <v>20000</v>
      </c>
      <c r="T174" s="10">
        <v>5000</v>
      </c>
      <c r="U174" s="10" t="s">
        <v>1013</v>
      </c>
      <c r="V174" s="7">
        <v>5000</v>
      </c>
      <c r="W174" s="7" t="s">
        <v>1707</v>
      </c>
      <c r="X174" s="6"/>
      <c r="Y174" s="6"/>
      <c r="Z174" s="8"/>
      <c r="AA174" s="8"/>
      <c r="AB174" s="10"/>
      <c r="AC174" s="10"/>
      <c r="AD174" s="15">
        <f t="shared" si="23"/>
        <v>10000</v>
      </c>
      <c r="AE174" s="11"/>
      <c r="AF174" s="11"/>
      <c r="AG174" s="11"/>
      <c r="AH174" s="16">
        <f t="shared" si="24"/>
        <v>10000</v>
      </c>
    </row>
    <row r="175" spans="1:34" ht="30" x14ac:dyDescent="0.25">
      <c r="A175" s="2">
        <v>175</v>
      </c>
      <c r="B175" s="2"/>
      <c r="C175" s="2" t="s">
        <v>347</v>
      </c>
      <c r="D175" s="2" t="s">
        <v>240</v>
      </c>
      <c r="E175" s="2" t="s">
        <v>342</v>
      </c>
      <c r="F175" s="2">
        <v>3060078353</v>
      </c>
      <c r="G175" s="3"/>
      <c r="H175" s="3"/>
      <c r="I175" s="3"/>
      <c r="J175" s="12">
        <f t="shared" si="20"/>
        <v>0</v>
      </c>
      <c r="K175" s="4"/>
      <c r="L175" s="4"/>
      <c r="M175" s="4"/>
      <c r="N175" s="13">
        <f t="shared" si="21"/>
        <v>0</v>
      </c>
      <c r="O175" s="5">
        <v>0</v>
      </c>
      <c r="P175" s="5"/>
      <c r="Q175" s="5"/>
      <c r="R175" s="14">
        <f t="shared" si="22"/>
        <v>0</v>
      </c>
      <c r="S175" s="9">
        <v>24000</v>
      </c>
      <c r="T175" s="10">
        <v>24000</v>
      </c>
      <c r="U175" s="10" t="s">
        <v>1016</v>
      </c>
      <c r="V175" s="7"/>
      <c r="W175" s="7"/>
      <c r="X175" s="6"/>
      <c r="Y175" s="6"/>
      <c r="Z175" s="8"/>
      <c r="AA175" s="8"/>
      <c r="AB175" s="10"/>
      <c r="AC175" s="10"/>
      <c r="AD175" s="15">
        <f t="shared" si="23"/>
        <v>0</v>
      </c>
      <c r="AE175" s="11"/>
      <c r="AF175" s="11"/>
      <c r="AG175" s="11"/>
      <c r="AH175" s="16">
        <f t="shared" si="24"/>
        <v>0</v>
      </c>
    </row>
    <row r="176" spans="1:34" ht="30" x14ac:dyDescent="0.25">
      <c r="A176" s="2">
        <v>176</v>
      </c>
      <c r="B176" s="2"/>
      <c r="C176" s="2" t="s">
        <v>348</v>
      </c>
      <c r="D176" s="2" t="s">
        <v>369</v>
      </c>
      <c r="E176" s="2" t="s">
        <v>342</v>
      </c>
      <c r="F176" s="2">
        <v>3027605031</v>
      </c>
      <c r="G176" s="3"/>
      <c r="H176" s="3"/>
      <c r="I176" s="3"/>
      <c r="J176" s="12">
        <f t="shared" si="20"/>
        <v>0</v>
      </c>
      <c r="K176" s="4"/>
      <c r="L176" s="4"/>
      <c r="M176" s="4"/>
      <c r="N176" s="13">
        <f t="shared" si="21"/>
        <v>0</v>
      </c>
      <c r="O176" s="5">
        <v>0</v>
      </c>
      <c r="P176" s="5"/>
      <c r="Q176" s="5">
        <v>0</v>
      </c>
      <c r="R176" s="14">
        <f t="shared" si="22"/>
        <v>0</v>
      </c>
      <c r="S176" s="9">
        <v>25000</v>
      </c>
      <c r="T176" s="10">
        <v>5000</v>
      </c>
      <c r="U176" s="10" t="s">
        <v>1087</v>
      </c>
      <c r="V176" s="7">
        <v>10000</v>
      </c>
      <c r="W176" s="7" t="s">
        <v>1263</v>
      </c>
      <c r="X176" s="6"/>
      <c r="Y176" s="6"/>
      <c r="Z176" s="8"/>
      <c r="AA176" s="8"/>
      <c r="AB176" s="10"/>
      <c r="AC176" s="10"/>
      <c r="AD176" s="15">
        <f t="shared" si="23"/>
        <v>10000</v>
      </c>
      <c r="AE176" s="11"/>
      <c r="AF176" s="11"/>
      <c r="AG176" s="11"/>
      <c r="AH176" s="16">
        <f t="shared" si="24"/>
        <v>10000</v>
      </c>
    </row>
    <row r="177" spans="1:34" ht="30" x14ac:dyDescent="0.25">
      <c r="A177" s="2">
        <v>177</v>
      </c>
      <c r="B177" s="2"/>
      <c r="C177" s="2" t="s">
        <v>349</v>
      </c>
      <c r="D177" s="2" t="s">
        <v>47</v>
      </c>
      <c r="E177" s="2" t="s">
        <v>342</v>
      </c>
      <c r="F177" s="2">
        <v>3047807754</v>
      </c>
      <c r="G177" s="3"/>
      <c r="H177" s="3"/>
      <c r="I177" s="3"/>
      <c r="J177" s="12">
        <f t="shared" si="20"/>
        <v>0</v>
      </c>
      <c r="K177" s="4"/>
      <c r="L177" s="4"/>
      <c r="M177" s="4"/>
      <c r="N177" s="13">
        <f t="shared" si="21"/>
        <v>0</v>
      </c>
      <c r="O177" s="5">
        <v>0</v>
      </c>
      <c r="P177" s="5">
        <v>0</v>
      </c>
      <c r="Q177" s="5"/>
      <c r="R177" s="14">
        <f t="shared" si="22"/>
        <v>0</v>
      </c>
      <c r="S177" s="9">
        <v>18000</v>
      </c>
      <c r="T177" s="10">
        <v>3000</v>
      </c>
      <c r="U177" s="10" t="s">
        <v>1258</v>
      </c>
      <c r="V177" s="7">
        <v>10000</v>
      </c>
      <c r="W177" s="7" t="s">
        <v>1596</v>
      </c>
      <c r="X177" s="6"/>
      <c r="Y177" s="6"/>
      <c r="Z177" s="8"/>
      <c r="AA177" s="8"/>
      <c r="AB177" s="10"/>
      <c r="AC177" s="10"/>
      <c r="AD177" s="15">
        <f t="shared" si="23"/>
        <v>5000</v>
      </c>
      <c r="AE177" s="11"/>
      <c r="AF177" s="11"/>
      <c r="AG177" s="11"/>
      <c r="AH177" s="16">
        <f t="shared" si="24"/>
        <v>5000</v>
      </c>
    </row>
    <row r="178" spans="1:34" ht="21" x14ac:dyDescent="0.25">
      <c r="A178" s="2">
        <v>178</v>
      </c>
      <c r="B178" s="2"/>
      <c r="C178" s="2" t="s">
        <v>350</v>
      </c>
      <c r="D178" s="2" t="s">
        <v>240</v>
      </c>
      <c r="E178" s="2" t="s">
        <v>342</v>
      </c>
      <c r="F178" s="2">
        <v>3367022459</v>
      </c>
      <c r="G178" s="3"/>
      <c r="H178" s="3"/>
      <c r="I178" s="3"/>
      <c r="J178" s="12">
        <f t="shared" si="20"/>
        <v>0</v>
      </c>
      <c r="K178" s="4"/>
      <c r="L178" s="4"/>
      <c r="M178" s="4"/>
      <c r="N178" s="13">
        <f t="shared" si="21"/>
        <v>0</v>
      </c>
      <c r="O178" s="5">
        <v>2000</v>
      </c>
      <c r="P178" s="5">
        <v>0</v>
      </c>
      <c r="Q178" s="5"/>
      <c r="R178" s="14">
        <f t="shared" si="22"/>
        <v>2000</v>
      </c>
      <c r="S178" s="9">
        <v>0</v>
      </c>
      <c r="T178" s="10">
        <v>0</v>
      </c>
      <c r="U178" s="10">
        <v>0</v>
      </c>
      <c r="V178" s="7"/>
      <c r="W178" s="7"/>
      <c r="X178" s="6"/>
      <c r="Y178" s="6"/>
      <c r="Z178" s="8"/>
      <c r="AA178" s="8"/>
      <c r="AB178" s="10"/>
      <c r="AC178" s="10"/>
      <c r="AD178" s="15">
        <f t="shared" si="23"/>
        <v>0</v>
      </c>
      <c r="AE178" s="11"/>
      <c r="AF178" s="11"/>
      <c r="AG178" s="11"/>
      <c r="AH178" s="16">
        <f t="shared" si="24"/>
        <v>2000</v>
      </c>
    </row>
    <row r="179" spans="1:34" ht="30" x14ac:dyDescent="0.25">
      <c r="A179" s="2">
        <v>179</v>
      </c>
      <c r="B179" s="2"/>
      <c r="C179" s="2" t="s">
        <v>351</v>
      </c>
      <c r="D179" s="2" t="s">
        <v>162</v>
      </c>
      <c r="E179" s="2" t="s">
        <v>342</v>
      </c>
      <c r="F179" s="2">
        <v>3055022284</v>
      </c>
      <c r="G179" s="3"/>
      <c r="H179" s="3"/>
      <c r="I179" s="3"/>
      <c r="J179" s="12">
        <f t="shared" si="20"/>
        <v>0</v>
      </c>
      <c r="K179" s="4"/>
      <c r="L179" s="4"/>
      <c r="M179" s="4"/>
      <c r="N179" s="13">
        <f t="shared" si="21"/>
        <v>0</v>
      </c>
      <c r="O179" s="5">
        <v>5000</v>
      </c>
      <c r="P179" s="5"/>
      <c r="Q179" s="5"/>
      <c r="R179" s="14">
        <f t="shared" si="22"/>
        <v>5000</v>
      </c>
      <c r="S179" s="9">
        <v>12000</v>
      </c>
      <c r="T179" s="10"/>
      <c r="U179" s="10"/>
      <c r="V179" s="7"/>
      <c r="W179" s="7"/>
      <c r="X179" s="6"/>
      <c r="Y179" s="6"/>
      <c r="Z179" s="8"/>
      <c r="AA179" s="8"/>
      <c r="AB179" s="10"/>
      <c r="AC179" s="10"/>
      <c r="AD179" s="15">
        <f t="shared" si="23"/>
        <v>12000</v>
      </c>
      <c r="AE179" s="11"/>
      <c r="AF179" s="11"/>
      <c r="AG179" s="11"/>
      <c r="AH179" s="16">
        <f t="shared" si="24"/>
        <v>17000</v>
      </c>
    </row>
    <row r="180" spans="1:34" ht="30" x14ac:dyDescent="0.25">
      <c r="A180" s="2">
        <v>180</v>
      </c>
      <c r="B180" s="2"/>
      <c r="C180" s="2" t="s">
        <v>352</v>
      </c>
      <c r="D180" s="2" t="s">
        <v>1067</v>
      </c>
      <c r="E180" s="2" t="s">
        <v>342</v>
      </c>
      <c r="F180" s="2"/>
      <c r="G180" s="3"/>
      <c r="H180" s="3"/>
      <c r="I180" s="3"/>
      <c r="J180" s="12">
        <f t="shared" si="20"/>
        <v>0</v>
      </c>
      <c r="K180" s="4"/>
      <c r="L180" s="4"/>
      <c r="M180" s="4"/>
      <c r="N180" s="13">
        <f t="shared" si="21"/>
        <v>0</v>
      </c>
      <c r="O180" s="5"/>
      <c r="P180" s="5"/>
      <c r="Q180" s="5"/>
      <c r="R180" s="14">
        <f t="shared" si="22"/>
        <v>0</v>
      </c>
      <c r="S180" s="9"/>
      <c r="T180" s="10">
        <v>5000</v>
      </c>
      <c r="U180" s="10" t="s">
        <v>1068</v>
      </c>
      <c r="V180" s="7">
        <v>10000</v>
      </c>
      <c r="W180" s="7" t="s">
        <v>1614</v>
      </c>
      <c r="X180" s="6"/>
      <c r="Y180" s="6"/>
      <c r="Z180" s="8"/>
      <c r="AA180" s="8"/>
      <c r="AB180" s="10"/>
      <c r="AC180" s="10"/>
      <c r="AD180" s="15">
        <f t="shared" si="23"/>
        <v>-15000</v>
      </c>
      <c r="AE180" s="11"/>
      <c r="AF180" s="11"/>
      <c r="AG180" s="11"/>
      <c r="AH180" s="16">
        <f t="shared" si="24"/>
        <v>-15000</v>
      </c>
    </row>
    <row r="181" spans="1:34" ht="30" x14ac:dyDescent="0.25">
      <c r="A181" s="2">
        <v>181</v>
      </c>
      <c r="B181" s="2"/>
      <c r="C181" s="2" t="s">
        <v>353</v>
      </c>
      <c r="D181" s="2" t="s">
        <v>111</v>
      </c>
      <c r="E181" s="2" t="s">
        <v>342</v>
      </c>
      <c r="F181" s="2">
        <v>3014777290</v>
      </c>
      <c r="G181" s="3"/>
      <c r="H181" s="3"/>
      <c r="I181" s="3"/>
      <c r="J181" s="12">
        <f t="shared" si="20"/>
        <v>0</v>
      </c>
      <c r="K181" s="4"/>
      <c r="L181" s="4"/>
      <c r="M181" s="4"/>
      <c r="N181" s="13">
        <f t="shared" si="21"/>
        <v>0</v>
      </c>
      <c r="O181" s="5">
        <v>5000</v>
      </c>
      <c r="P181" s="5"/>
      <c r="Q181" s="5"/>
      <c r="R181" s="14">
        <f t="shared" si="22"/>
        <v>5000</v>
      </c>
      <c r="S181" s="9">
        <v>20000</v>
      </c>
      <c r="T181" s="10">
        <v>5000</v>
      </c>
      <c r="U181" s="10" t="s">
        <v>1224</v>
      </c>
      <c r="V181" s="7">
        <v>5000</v>
      </c>
      <c r="W181" s="7" t="s">
        <v>1603</v>
      </c>
      <c r="X181" s="6"/>
      <c r="Y181" s="6"/>
      <c r="Z181" s="8"/>
      <c r="AA181" s="8"/>
      <c r="AB181" s="10"/>
      <c r="AC181" s="10"/>
      <c r="AD181" s="15">
        <f t="shared" si="23"/>
        <v>10000</v>
      </c>
      <c r="AE181" s="11"/>
      <c r="AF181" s="11"/>
      <c r="AG181" s="11"/>
      <c r="AH181" s="16">
        <f t="shared" si="24"/>
        <v>15000</v>
      </c>
    </row>
    <row r="182" spans="1:34" ht="30" x14ac:dyDescent="0.25">
      <c r="A182" s="2">
        <v>182</v>
      </c>
      <c r="B182" s="2"/>
      <c r="C182" s="2" t="s">
        <v>354</v>
      </c>
      <c r="D182" s="2" t="s">
        <v>113</v>
      </c>
      <c r="E182" s="2" t="s">
        <v>342</v>
      </c>
      <c r="F182" s="2">
        <v>3012291687</v>
      </c>
      <c r="G182" s="3"/>
      <c r="H182" s="3"/>
      <c r="I182" s="3"/>
      <c r="J182" s="12">
        <f t="shared" si="20"/>
        <v>0</v>
      </c>
      <c r="K182" s="4"/>
      <c r="L182" s="4"/>
      <c r="M182" s="4"/>
      <c r="N182" s="13">
        <f t="shared" si="21"/>
        <v>0</v>
      </c>
      <c r="O182" s="5">
        <v>0</v>
      </c>
      <c r="P182" s="5"/>
      <c r="Q182" s="5"/>
      <c r="R182" s="14">
        <f t="shared" si="22"/>
        <v>0</v>
      </c>
      <c r="S182" s="9">
        <v>15000</v>
      </c>
      <c r="T182" s="10">
        <v>5000</v>
      </c>
      <c r="U182" s="10" t="s">
        <v>1290</v>
      </c>
      <c r="V182" s="7">
        <v>5000</v>
      </c>
      <c r="W182" s="7" t="s">
        <v>1681</v>
      </c>
      <c r="X182" s="6"/>
      <c r="Y182" s="6"/>
      <c r="Z182" s="8"/>
      <c r="AA182" s="8"/>
      <c r="AB182" s="10"/>
      <c r="AC182" s="10"/>
      <c r="AD182" s="15">
        <f t="shared" si="23"/>
        <v>5000</v>
      </c>
      <c r="AE182" s="11"/>
      <c r="AF182" s="11"/>
      <c r="AG182" s="11"/>
      <c r="AH182" s="16">
        <f t="shared" si="24"/>
        <v>5000</v>
      </c>
    </row>
    <row r="183" spans="1:34" ht="30" x14ac:dyDescent="0.25">
      <c r="A183" s="2">
        <v>183</v>
      </c>
      <c r="B183" s="2"/>
      <c r="C183" s="2" t="s">
        <v>355</v>
      </c>
      <c r="D183" s="2" t="s">
        <v>167</v>
      </c>
      <c r="E183" s="2" t="s">
        <v>342</v>
      </c>
      <c r="F183" s="2">
        <v>3077888158</v>
      </c>
      <c r="G183" s="3"/>
      <c r="H183" s="3"/>
      <c r="I183" s="3"/>
      <c r="J183" s="12">
        <f t="shared" si="20"/>
        <v>0</v>
      </c>
      <c r="K183" s="4"/>
      <c r="L183" s="4"/>
      <c r="M183" s="4"/>
      <c r="N183" s="13">
        <f t="shared" si="21"/>
        <v>0</v>
      </c>
      <c r="O183" s="5">
        <v>5000</v>
      </c>
      <c r="P183" s="5"/>
      <c r="Q183" s="5"/>
      <c r="R183" s="14">
        <f t="shared" si="22"/>
        <v>5000</v>
      </c>
      <c r="S183" s="9">
        <v>19000</v>
      </c>
      <c r="T183" s="10">
        <v>7000</v>
      </c>
      <c r="U183" s="10" t="s">
        <v>1177</v>
      </c>
      <c r="V183" s="7">
        <v>5000</v>
      </c>
      <c r="W183" s="7" t="s">
        <v>1604</v>
      </c>
      <c r="X183" s="6"/>
      <c r="Y183" s="6"/>
      <c r="Z183" s="8"/>
      <c r="AA183" s="8"/>
      <c r="AB183" s="10"/>
      <c r="AC183" s="10"/>
      <c r="AD183" s="15">
        <f t="shared" si="23"/>
        <v>7000</v>
      </c>
      <c r="AE183" s="11"/>
      <c r="AF183" s="11"/>
      <c r="AG183" s="11"/>
      <c r="AH183" s="16">
        <f t="shared" si="24"/>
        <v>12000</v>
      </c>
    </row>
    <row r="184" spans="1:34" ht="30" x14ac:dyDescent="0.25">
      <c r="A184" s="2">
        <v>184</v>
      </c>
      <c r="B184" s="2"/>
      <c r="C184" s="2" t="s">
        <v>356</v>
      </c>
      <c r="D184" s="2" t="s">
        <v>1589</v>
      </c>
      <c r="E184" s="2" t="s">
        <v>342</v>
      </c>
      <c r="F184" s="2"/>
      <c r="G184" s="3"/>
      <c r="H184" s="3"/>
      <c r="I184" s="3"/>
      <c r="J184" s="12">
        <f t="shared" si="20"/>
        <v>0</v>
      </c>
      <c r="K184" s="4"/>
      <c r="L184" s="4"/>
      <c r="M184" s="4"/>
      <c r="N184" s="13">
        <f t="shared" si="21"/>
        <v>0</v>
      </c>
      <c r="O184" s="5"/>
      <c r="P184" s="5"/>
      <c r="Q184" s="5"/>
      <c r="R184" s="14">
        <f t="shared" si="22"/>
        <v>0</v>
      </c>
      <c r="S184" s="9"/>
      <c r="T184" s="10">
        <v>5000</v>
      </c>
      <c r="U184" s="10" t="s">
        <v>1590</v>
      </c>
      <c r="V184" s="7"/>
      <c r="W184" s="7"/>
      <c r="X184" s="6"/>
      <c r="Y184" s="6"/>
      <c r="Z184" s="8"/>
      <c r="AA184" s="8"/>
      <c r="AB184" s="10"/>
      <c r="AC184" s="10"/>
      <c r="AD184" s="15">
        <f t="shared" si="23"/>
        <v>-5000</v>
      </c>
      <c r="AE184" s="11"/>
      <c r="AF184" s="11"/>
      <c r="AG184" s="11"/>
      <c r="AH184" s="16">
        <f t="shared" si="24"/>
        <v>-5000</v>
      </c>
    </row>
    <row r="185" spans="1:34" ht="30" x14ac:dyDescent="0.25">
      <c r="A185" s="2">
        <v>185</v>
      </c>
      <c r="B185" s="2"/>
      <c r="C185" s="2" t="s">
        <v>357</v>
      </c>
      <c r="D185" s="2" t="s">
        <v>103</v>
      </c>
      <c r="E185" s="2" t="s">
        <v>342</v>
      </c>
      <c r="F185" s="2">
        <v>3006309799</v>
      </c>
      <c r="G185" s="3"/>
      <c r="H185" s="3"/>
      <c r="I185" s="3"/>
      <c r="J185" s="12">
        <f t="shared" si="20"/>
        <v>0</v>
      </c>
      <c r="K185" s="4"/>
      <c r="L185" s="4"/>
      <c r="M185" s="4"/>
      <c r="N185" s="13">
        <f t="shared" si="21"/>
        <v>0</v>
      </c>
      <c r="O185" s="5">
        <v>5000</v>
      </c>
      <c r="P185" s="5"/>
      <c r="Q185" s="5"/>
      <c r="R185" s="14">
        <f t="shared" si="22"/>
        <v>5000</v>
      </c>
      <c r="S185" s="9">
        <v>12000</v>
      </c>
      <c r="T185" s="10">
        <v>5000</v>
      </c>
      <c r="U185" s="10" t="s">
        <v>1289</v>
      </c>
      <c r="V185" s="7"/>
      <c r="W185" s="7"/>
      <c r="X185" s="6"/>
      <c r="Y185" s="6"/>
      <c r="Z185" s="8"/>
      <c r="AA185" s="8"/>
      <c r="AB185" s="10"/>
      <c r="AC185" s="10"/>
      <c r="AD185" s="15">
        <f t="shared" si="23"/>
        <v>7000</v>
      </c>
      <c r="AE185" s="11"/>
      <c r="AF185" s="11"/>
      <c r="AG185" s="11"/>
      <c r="AH185" s="16">
        <f t="shared" si="24"/>
        <v>12000</v>
      </c>
    </row>
    <row r="186" spans="1:34" ht="30" x14ac:dyDescent="0.25">
      <c r="A186" s="2">
        <v>186</v>
      </c>
      <c r="B186" s="2"/>
      <c r="C186" s="2" t="s">
        <v>358</v>
      </c>
      <c r="D186" s="2" t="s">
        <v>359</v>
      </c>
      <c r="E186" s="2" t="s">
        <v>342</v>
      </c>
      <c r="F186" s="2">
        <v>3067425759</v>
      </c>
      <c r="G186" s="3"/>
      <c r="H186" s="3"/>
      <c r="I186" s="3"/>
      <c r="J186" s="12">
        <f t="shared" si="20"/>
        <v>0</v>
      </c>
      <c r="K186" s="4"/>
      <c r="L186" s="4"/>
      <c r="M186" s="4"/>
      <c r="N186" s="13">
        <f t="shared" si="21"/>
        <v>0</v>
      </c>
      <c r="O186" s="5">
        <v>5000</v>
      </c>
      <c r="P186" s="5"/>
      <c r="Q186" s="5"/>
      <c r="R186" s="14">
        <f t="shared" si="22"/>
        <v>5000</v>
      </c>
      <c r="S186" s="9">
        <v>25000</v>
      </c>
      <c r="T186" s="10">
        <v>7000</v>
      </c>
      <c r="U186" s="10" t="s">
        <v>1294</v>
      </c>
      <c r="V186" s="7">
        <v>7000</v>
      </c>
      <c r="W186" s="7" t="s">
        <v>1546</v>
      </c>
      <c r="X186" s="6"/>
      <c r="Y186" s="6"/>
      <c r="Z186" s="8"/>
      <c r="AA186" s="8"/>
      <c r="AB186" s="10"/>
      <c r="AC186" s="10"/>
      <c r="AD186" s="15">
        <f t="shared" si="23"/>
        <v>11000</v>
      </c>
      <c r="AE186" s="11"/>
      <c r="AF186" s="11"/>
      <c r="AG186" s="11"/>
      <c r="AH186" s="16">
        <f t="shared" si="24"/>
        <v>16000</v>
      </c>
    </row>
    <row r="187" spans="1:34" ht="30" x14ac:dyDescent="0.25">
      <c r="A187" s="2">
        <v>187</v>
      </c>
      <c r="B187" s="2"/>
      <c r="C187" s="2" t="s">
        <v>360</v>
      </c>
      <c r="D187" s="2" t="s">
        <v>361</v>
      </c>
      <c r="E187" s="2" t="s">
        <v>342</v>
      </c>
      <c r="F187" s="2">
        <v>3077347005</v>
      </c>
      <c r="G187" s="3"/>
      <c r="H187" s="3"/>
      <c r="I187" s="3"/>
      <c r="J187" s="12">
        <f t="shared" si="20"/>
        <v>0</v>
      </c>
      <c r="K187" s="4"/>
      <c r="L187" s="4"/>
      <c r="M187" s="4"/>
      <c r="N187" s="13">
        <f t="shared" si="21"/>
        <v>0</v>
      </c>
      <c r="O187" s="5">
        <v>5000</v>
      </c>
      <c r="P187" s="5"/>
      <c r="Q187" s="5"/>
      <c r="R187" s="14">
        <f t="shared" si="22"/>
        <v>5000</v>
      </c>
      <c r="S187" s="9">
        <v>22000</v>
      </c>
      <c r="T187" s="10">
        <v>5000</v>
      </c>
      <c r="U187" s="10" t="s">
        <v>1395</v>
      </c>
      <c r="V187" s="7"/>
      <c r="W187" s="7"/>
      <c r="X187" s="6"/>
      <c r="Y187" s="6"/>
      <c r="Z187" s="8"/>
      <c r="AA187" s="8"/>
      <c r="AB187" s="10"/>
      <c r="AC187" s="10"/>
      <c r="AD187" s="15">
        <f t="shared" si="23"/>
        <v>17000</v>
      </c>
      <c r="AE187" s="11"/>
      <c r="AF187" s="11"/>
      <c r="AG187" s="11"/>
      <c r="AH187" s="16">
        <f t="shared" si="24"/>
        <v>22000</v>
      </c>
    </row>
    <row r="188" spans="1:34" ht="30" x14ac:dyDescent="0.25">
      <c r="A188" s="2">
        <v>188</v>
      </c>
      <c r="B188" s="2"/>
      <c r="C188" s="2" t="s">
        <v>362</v>
      </c>
      <c r="D188" s="2" t="s">
        <v>167</v>
      </c>
      <c r="E188" s="2" t="s">
        <v>342</v>
      </c>
      <c r="F188" s="2">
        <v>3055996438</v>
      </c>
      <c r="G188" s="3"/>
      <c r="H188" s="3"/>
      <c r="I188" s="3"/>
      <c r="J188" s="12">
        <f t="shared" si="20"/>
        <v>0</v>
      </c>
      <c r="K188" s="4"/>
      <c r="L188" s="4"/>
      <c r="M188" s="4"/>
      <c r="N188" s="13">
        <f t="shared" si="21"/>
        <v>0</v>
      </c>
      <c r="O188" s="5">
        <v>5000</v>
      </c>
      <c r="P188" s="5"/>
      <c r="Q188" s="5"/>
      <c r="R188" s="14">
        <f t="shared" si="22"/>
        <v>5000</v>
      </c>
      <c r="S188" s="9">
        <v>18000</v>
      </c>
      <c r="T188" s="10">
        <v>6000</v>
      </c>
      <c r="U188" s="10" t="s">
        <v>1424</v>
      </c>
      <c r="V188" s="7"/>
      <c r="W188" s="7"/>
      <c r="X188" s="6"/>
      <c r="Y188" s="6"/>
      <c r="Z188" s="8"/>
      <c r="AA188" s="8"/>
      <c r="AB188" s="10"/>
      <c r="AC188" s="10"/>
      <c r="AD188" s="15">
        <f t="shared" si="23"/>
        <v>12000</v>
      </c>
      <c r="AE188" s="11"/>
      <c r="AF188" s="11"/>
      <c r="AG188" s="11"/>
      <c r="AH188" s="16">
        <f t="shared" si="24"/>
        <v>17000</v>
      </c>
    </row>
    <row r="189" spans="1:34" ht="30" x14ac:dyDescent="0.25">
      <c r="A189" s="2">
        <v>189</v>
      </c>
      <c r="B189" s="2"/>
      <c r="C189" s="2" t="s">
        <v>363</v>
      </c>
      <c r="D189" s="2" t="s">
        <v>364</v>
      </c>
      <c r="E189" s="2" t="s">
        <v>342</v>
      </c>
      <c r="F189" s="2">
        <v>3447150406</v>
      </c>
      <c r="G189" s="3"/>
      <c r="H189" s="3"/>
      <c r="I189" s="3"/>
      <c r="J189" s="12">
        <f t="shared" si="20"/>
        <v>0</v>
      </c>
      <c r="K189" s="4"/>
      <c r="L189" s="4"/>
      <c r="M189" s="4"/>
      <c r="N189" s="13">
        <f t="shared" si="21"/>
        <v>0</v>
      </c>
      <c r="O189" s="5">
        <v>5000</v>
      </c>
      <c r="P189" s="5"/>
      <c r="Q189" s="5"/>
      <c r="R189" s="14">
        <f t="shared" si="22"/>
        <v>5000</v>
      </c>
      <c r="S189" s="9">
        <v>20000</v>
      </c>
      <c r="T189" s="10">
        <v>5000</v>
      </c>
      <c r="U189" s="10" t="s">
        <v>1513</v>
      </c>
      <c r="V189" s="7"/>
      <c r="W189" s="7"/>
      <c r="X189" s="6"/>
      <c r="Y189" s="6"/>
      <c r="Z189" s="8"/>
      <c r="AA189" s="8"/>
      <c r="AB189" s="10"/>
      <c r="AC189" s="10"/>
      <c r="AD189" s="15">
        <f t="shared" si="23"/>
        <v>15000</v>
      </c>
      <c r="AE189" s="11"/>
      <c r="AF189" s="11"/>
      <c r="AG189" s="11"/>
      <c r="AH189" s="16">
        <f t="shared" si="24"/>
        <v>20000</v>
      </c>
    </row>
    <row r="190" spans="1:34" ht="30" x14ac:dyDescent="0.25">
      <c r="A190" s="2">
        <v>190</v>
      </c>
      <c r="B190" s="2"/>
      <c r="C190" s="2" t="s">
        <v>365</v>
      </c>
      <c r="D190" s="2" t="s">
        <v>370</v>
      </c>
      <c r="E190" s="2" t="s">
        <v>342</v>
      </c>
      <c r="F190" s="2">
        <v>3056654433</v>
      </c>
      <c r="G190" s="3"/>
      <c r="H190" s="3"/>
      <c r="I190" s="3"/>
      <c r="J190" s="12">
        <f t="shared" si="20"/>
        <v>0</v>
      </c>
      <c r="K190" s="4"/>
      <c r="L190" s="4"/>
      <c r="M190" s="4"/>
      <c r="N190" s="13">
        <f t="shared" si="21"/>
        <v>0</v>
      </c>
      <c r="O190" s="5">
        <v>5000</v>
      </c>
      <c r="P190" s="5"/>
      <c r="Q190" s="5"/>
      <c r="R190" s="14">
        <f t="shared" si="22"/>
        <v>5000</v>
      </c>
      <c r="S190" s="9">
        <v>12000</v>
      </c>
      <c r="T190" s="10">
        <v>5000</v>
      </c>
      <c r="U190" s="10" t="s">
        <v>1330</v>
      </c>
      <c r="V190" s="7"/>
      <c r="W190" s="7"/>
      <c r="X190" s="6"/>
      <c r="Y190" s="6"/>
      <c r="Z190" s="8"/>
      <c r="AA190" s="8"/>
      <c r="AB190" s="10"/>
      <c r="AC190" s="10"/>
      <c r="AD190" s="15">
        <f t="shared" si="23"/>
        <v>7000</v>
      </c>
      <c r="AE190" s="11"/>
      <c r="AF190" s="11"/>
      <c r="AG190" s="11"/>
      <c r="AH190" s="16">
        <f t="shared" si="24"/>
        <v>12000</v>
      </c>
    </row>
    <row r="191" spans="1:34" ht="30" x14ac:dyDescent="0.25">
      <c r="A191" s="2">
        <v>191</v>
      </c>
      <c r="B191" s="2"/>
      <c r="C191" s="2" t="s">
        <v>445</v>
      </c>
      <c r="D191" s="2" t="s">
        <v>371</v>
      </c>
      <c r="E191" s="2" t="s">
        <v>431</v>
      </c>
      <c r="F191" s="2"/>
      <c r="G191" s="3"/>
      <c r="H191" s="3"/>
      <c r="I191" s="3"/>
      <c r="J191" s="12">
        <f t="shared" si="20"/>
        <v>0</v>
      </c>
      <c r="K191" s="4"/>
      <c r="L191" s="4"/>
      <c r="M191" s="4"/>
      <c r="N191" s="13">
        <f t="shared" si="21"/>
        <v>0</v>
      </c>
      <c r="O191" s="5">
        <v>0</v>
      </c>
      <c r="P191" s="5"/>
      <c r="Q191" s="5"/>
      <c r="R191" s="14">
        <f t="shared" si="22"/>
        <v>0</v>
      </c>
      <c r="S191" s="9">
        <v>30000</v>
      </c>
      <c r="T191" s="10">
        <v>5000</v>
      </c>
      <c r="U191" s="10" t="s">
        <v>952</v>
      </c>
      <c r="V191" s="7"/>
      <c r="W191" s="7"/>
      <c r="X191" s="6"/>
      <c r="Y191" s="6"/>
      <c r="Z191" s="8"/>
      <c r="AA191" s="8"/>
      <c r="AB191" s="10"/>
      <c r="AC191" s="10"/>
      <c r="AD191" s="15">
        <f t="shared" si="23"/>
        <v>25000</v>
      </c>
      <c r="AE191" s="11"/>
      <c r="AF191" s="11"/>
      <c r="AG191" s="11"/>
      <c r="AH191" s="16">
        <f t="shared" si="24"/>
        <v>25000</v>
      </c>
    </row>
    <row r="192" spans="1:34" ht="30" x14ac:dyDescent="0.25">
      <c r="A192" s="2">
        <v>192</v>
      </c>
      <c r="B192" s="2"/>
      <c r="C192" s="2" t="s">
        <v>372</v>
      </c>
      <c r="D192" s="2" t="s">
        <v>373</v>
      </c>
      <c r="E192" s="2" t="s">
        <v>431</v>
      </c>
      <c r="F192" s="2">
        <v>3336164767</v>
      </c>
      <c r="G192" s="3"/>
      <c r="H192" s="3"/>
      <c r="I192" s="3"/>
      <c r="J192" s="12">
        <f t="shared" si="20"/>
        <v>0</v>
      </c>
      <c r="K192" s="4"/>
      <c r="L192" s="4"/>
      <c r="M192" s="4"/>
      <c r="N192" s="13">
        <f t="shared" si="21"/>
        <v>0</v>
      </c>
      <c r="O192" s="5">
        <v>0</v>
      </c>
      <c r="P192" s="5"/>
      <c r="Q192" s="5"/>
      <c r="R192" s="14">
        <f t="shared" si="22"/>
        <v>0</v>
      </c>
      <c r="S192" s="9">
        <v>24000</v>
      </c>
      <c r="T192" s="10">
        <v>5000</v>
      </c>
      <c r="U192" s="10" t="s">
        <v>959</v>
      </c>
      <c r="V192" s="7"/>
      <c r="W192" s="7"/>
      <c r="X192" s="6"/>
      <c r="Y192" s="6"/>
      <c r="Z192" s="8"/>
      <c r="AA192" s="8"/>
      <c r="AB192" s="10"/>
      <c r="AC192" s="10"/>
      <c r="AD192" s="15">
        <f t="shared" si="23"/>
        <v>19000</v>
      </c>
      <c r="AE192" s="11"/>
      <c r="AF192" s="11"/>
      <c r="AG192" s="11"/>
      <c r="AH192" s="16">
        <f t="shared" si="24"/>
        <v>19000</v>
      </c>
    </row>
    <row r="193" spans="1:34" ht="30" x14ac:dyDescent="0.25">
      <c r="A193" s="2">
        <v>193</v>
      </c>
      <c r="B193" s="2"/>
      <c r="C193" s="2" t="s">
        <v>374</v>
      </c>
      <c r="D193" s="2" t="s">
        <v>375</v>
      </c>
      <c r="E193" s="2" t="s">
        <v>431</v>
      </c>
      <c r="F193" s="2"/>
      <c r="G193" s="3"/>
      <c r="H193" s="3"/>
      <c r="I193" s="3"/>
      <c r="J193" s="12">
        <f t="shared" si="20"/>
        <v>0</v>
      </c>
      <c r="K193" s="4"/>
      <c r="L193" s="4"/>
      <c r="M193" s="4"/>
      <c r="N193" s="13">
        <f t="shared" si="21"/>
        <v>0</v>
      </c>
      <c r="O193" s="5">
        <v>0</v>
      </c>
      <c r="P193" s="5"/>
      <c r="Q193" s="5"/>
      <c r="R193" s="14">
        <f t="shared" si="22"/>
        <v>0</v>
      </c>
      <c r="S193" s="9">
        <v>30000</v>
      </c>
      <c r="T193" s="10">
        <v>3000</v>
      </c>
      <c r="U193" s="10" t="s">
        <v>971</v>
      </c>
      <c r="V193" s="7">
        <v>6000</v>
      </c>
      <c r="W193" s="7" t="s">
        <v>1405</v>
      </c>
      <c r="X193" s="6"/>
      <c r="Y193" s="6"/>
      <c r="Z193" s="8"/>
      <c r="AA193" s="8"/>
      <c r="AB193" s="10"/>
      <c r="AC193" s="10"/>
      <c r="AD193" s="15">
        <f t="shared" si="23"/>
        <v>21000</v>
      </c>
      <c r="AE193" s="11"/>
      <c r="AF193" s="11"/>
      <c r="AG193" s="11"/>
      <c r="AH193" s="16">
        <f t="shared" si="24"/>
        <v>21000</v>
      </c>
    </row>
    <row r="194" spans="1:34" ht="30" x14ac:dyDescent="0.25">
      <c r="A194" s="2">
        <v>194</v>
      </c>
      <c r="B194" s="2"/>
      <c r="C194" s="2" t="s">
        <v>376</v>
      </c>
      <c r="D194" s="2" t="s">
        <v>101</v>
      </c>
      <c r="E194" s="2" t="s">
        <v>431</v>
      </c>
      <c r="F194" s="2">
        <v>3047941505</v>
      </c>
      <c r="G194" s="3"/>
      <c r="H194" s="3"/>
      <c r="I194" s="3"/>
      <c r="J194" s="12">
        <f t="shared" si="20"/>
        <v>0</v>
      </c>
      <c r="K194" s="4"/>
      <c r="L194" s="4"/>
      <c r="M194" s="4"/>
      <c r="N194" s="13">
        <f t="shared" si="21"/>
        <v>0</v>
      </c>
      <c r="O194" s="5">
        <v>0</v>
      </c>
      <c r="P194" s="5">
        <v>0</v>
      </c>
      <c r="Q194" s="5"/>
      <c r="R194" s="14">
        <f t="shared" si="22"/>
        <v>0</v>
      </c>
      <c r="S194" s="9">
        <v>20000</v>
      </c>
      <c r="T194" s="10">
        <v>20000</v>
      </c>
      <c r="U194" s="10" t="s">
        <v>1020</v>
      </c>
      <c r="V194" s="7"/>
      <c r="W194" s="7"/>
      <c r="X194" s="6"/>
      <c r="Y194" s="6"/>
      <c r="Z194" s="8"/>
      <c r="AA194" s="8"/>
      <c r="AB194" s="10"/>
      <c r="AC194" s="10"/>
      <c r="AD194" s="15">
        <f t="shared" si="23"/>
        <v>0</v>
      </c>
      <c r="AE194" s="11"/>
      <c r="AF194" s="11"/>
      <c r="AG194" s="11"/>
      <c r="AH194" s="16">
        <f t="shared" si="24"/>
        <v>0</v>
      </c>
    </row>
    <row r="195" spans="1:34" ht="30" x14ac:dyDescent="0.25">
      <c r="A195" s="2">
        <v>195</v>
      </c>
      <c r="B195" s="2"/>
      <c r="C195" s="2" t="s">
        <v>377</v>
      </c>
      <c r="D195" s="2" t="s">
        <v>246</v>
      </c>
      <c r="E195" s="2" t="s">
        <v>431</v>
      </c>
      <c r="F195" s="2">
        <v>3047509705</v>
      </c>
      <c r="G195" s="3"/>
      <c r="H195" s="3"/>
      <c r="I195" s="3"/>
      <c r="J195" s="12">
        <f t="shared" si="20"/>
        <v>0</v>
      </c>
      <c r="K195" s="4"/>
      <c r="L195" s="4"/>
      <c r="M195" s="4"/>
      <c r="N195" s="13">
        <f t="shared" si="21"/>
        <v>0</v>
      </c>
      <c r="O195" s="5">
        <v>0</v>
      </c>
      <c r="P195" s="5">
        <v>0</v>
      </c>
      <c r="Q195" s="5">
        <v>0</v>
      </c>
      <c r="R195" s="14">
        <f t="shared" si="22"/>
        <v>0</v>
      </c>
      <c r="S195" s="9">
        <v>12000</v>
      </c>
      <c r="T195" s="10">
        <v>5000</v>
      </c>
      <c r="U195" s="10" t="s">
        <v>962</v>
      </c>
      <c r="V195" s="7">
        <v>4000</v>
      </c>
      <c r="W195" s="7" t="s">
        <v>1371</v>
      </c>
      <c r="X195" s="6"/>
      <c r="Y195" s="6"/>
      <c r="Z195" s="8"/>
      <c r="AA195" s="8"/>
      <c r="AB195" s="10"/>
      <c r="AC195" s="10"/>
      <c r="AD195" s="15">
        <f t="shared" si="23"/>
        <v>3000</v>
      </c>
      <c r="AE195" s="11"/>
      <c r="AF195" s="11"/>
      <c r="AG195" s="11"/>
      <c r="AH195" s="16">
        <f t="shared" si="24"/>
        <v>3000</v>
      </c>
    </row>
    <row r="196" spans="1:34" ht="30" x14ac:dyDescent="0.25">
      <c r="A196" s="2">
        <v>196</v>
      </c>
      <c r="B196" s="2"/>
      <c r="C196" s="2" t="s">
        <v>378</v>
      </c>
      <c r="D196" s="2" t="s">
        <v>379</v>
      </c>
      <c r="E196" s="2" t="s">
        <v>431</v>
      </c>
      <c r="F196" s="2">
        <v>3067429583</v>
      </c>
      <c r="G196" s="3"/>
      <c r="H196" s="3"/>
      <c r="I196" s="3"/>
      <c r="J196" s="12">
        <f t="shared" si="20"/>
        <v>0</v>
      </c>
      <c r="K196" s="4"/>
      <c r="L196" s="4"/>
      <c r="M196" s="4"/>
      <c r="N196" s="13">
        <f t="shared" si="21"/>
        <v>0</v>
      </c>
      <c r="O196" s="5">
        <v>0</v>
      </c>
      <c r="P196" s="5">
        <v>0</v>
      </c>
      <c r="Q196" s="5"/>
      <c r="R196" s="14">
        <f t="shared" si="22"/>
        <v>0</v>
      </c>
      <c r="S196" s="9">
        <v>20000</v>
      </c>
      <c r="T196" s="10">
        <v>3000</v>
      </c>
      <c r="U196" s="10" t="s">
        <v>1092</v>
      </c>
      <c r="V196" s="7"/>
      <c r="W196" s="7"/>
      <c r="X196" s="6"/>
      <c r="Y196" s="6"/>
      <c r="Z196" s="8"/>
      <c r="AA196" s="8"/>
      <c r="AB196" s="10"/>
      <c r="AC196" s="10"/>
      <c r="AD196" s="15">
        <f t="shared" si="23"/>
        <v>17000</v>
      </c>
      <c r="AE196" s="11"/>
      <c r="AF196" s="11"/>
      <c r="AG196" s="11"/>
      <c r="AH196" s="16">
        <f t="shared" si="24"/>
        <v>17000</v>
      </c>
    </row>
    <row r="197" spans="1:34" ht="30" x14ac:dyDescent="0.25">
      <c r="A197" s="2">
        <v>197</v>
      </c>
      <c r="B197" s="2"/>
      <c r="C197" s="2" t="s">
        <v>380</v>
      </c>
      <c r="D197" s="2" t="s">
        <v>381</v>
      </c>
      <c r="E197" s="2" t="s">
        <v>431</v>
      </c>
      <c r="F197" s="2">
        <v>3006882152</v>
      </c>
      <c r="G197" s="3"/>
      <c r="H197" s="3"/>
      <c r="I197" s="3"/>
      <c r="J197" s="12">
        <f t="shared" si="20"/>
        <v>0</v>
      </c>
      <c r="K197" s="4"/>
      <c r="L197" s="4"/>
      <c r="M197" s="4"/>
      <c r="N197" s="13">
        <f t="shared" si="21"/>
        <v>0</v>
      </c>
      <c r="O197" s="5">
        <v>5000</v>
      </c>
      <c r="P197" s="5"/>
      <c r="Q197" s="5"/>
      <c r="R197" s="14">
        <f t="shared" si="22"/>
        <v>5000</v>
      </c>
      <c r="S197" s="9">
        <v>10000</v>
      </c>
      <c r="T197" s="10">
        <v>5000</v>
      </c>
      <c r="U197" s="10" t="s">
        <v>1394</v>
      </c>
      <c r="V197" s="7"/>
      <c r="W197" s="7"/>
      <c r="X197" s="6"/>
      <c r="Y197" s="6"/>
      <c r="Z197" s="8"/>
      <c r="AA197" s="8"/>
      <c r="AB197" s="10"/>
      <c r="AC197" s="10"/>
      <c r="AD197" s="15">
        <f t="shared" si="23"/>
        <v>5000</v>
      </c>
      <c r="AE197" s="11"/>
      <c r="AF197" s="11"/>
      <c r="AG197" s="11"/>
      <c r="AH197" s="16">
        <f t="shared" si="24"/>
        <v>10000</v>
      </c>
    </row>
    <row r="198" spans="1:34" ht="45" x14ac:dyDescent="0.25">
      <c r="A198" s="2">
        <v>198</v>
      </c>
      <c r="B198" s="2"/>
      <c r="C198" s="2" t="s">
        <v>382</v>
      </c>
      <c r="D198" s="2" t="s">
        <v>383</v>
      </c>
      <c r="E198" s="2" t="s">
        <v>431</v>
      </c>
      <c r="F198" s="2">
        <v>3007342571</v>
      </c>
      <c r="G198" s="3"/>
      <c r="H198" s="3"/>
      <c r="I198" s="3"/>
      <c r="J198" s="12">
        <f t="shared" si="20"/>
        <v>0</v>
      </c>
      <c r="K198" s="4"/>
      <c r="L198" s="4"/>
      <c r="M198" s="4"/>
      <c r="N198" s="13">
        <f t="shared" si="21"/>
        <v>0</v>
      </c>
      <c r="O198" s="5">
        <v>5000</v>
      </c>
      <c r="P198" s="5"/>
      <c r="Q198" s="5"/>
      <c r="R198" s="14">
        <f t="shared" si="22"/>
        <v>5000</v>
      </c>
      <c r="S198" s="9">
        <v>10000</v>
      </c>
      <c r="T198" s="10">
        <v>5000</v>
      </c>
      <c r="U198" s="10" t="s">
        <v>1218</v>
      </c>
      <c r="V198" s="7"/>
      <c r="W198" s="7"/>
      <c r="X198" s="6"/>
      <c r="Y198" s="6"/>
      <c r="Z198" s="8"/>
      <c r="AA198" s="8"/>
      <c r="AB198" s="10"/>
      <c r="AC198" s="10"/>
      <c r="AD198" s="15">
        <f t="shared" si="23"/>
        <v>5000</v>
      </c>
      <c r="AE198" s="11"/>
      <c r="AF198" s="11"/>
      <c r="AG198" s="11"/>
      <c r="AH198" s="16">
        <f t="shared" si="24"/>
        <v>10000</v>
      </c>
    </row>
    <row r="199" spans="1:34" ht="30" x14ac:dyDescent="0.25">
      <c r="A199" s="2">
        <v>199</v>
      </c>
      <c r="B199" s="2"/>
      <c r="C199" s="2" t="s">
        <v>384</v>
      </c>
      <c r="D199" s="2" t="s">
        <v>28</v>
      </c>
      <c r="E199" s="2" t="s">
        <v>431</v>
      </c>
      <c r="F199" s="2">
        <v>3012966951</v>
      </c>
      <c r="G199" s="3"/>
      <c r="H199" s="3"/>
      <c r="I199" s="3"/>
      <c r="J199" s="12">
        <f t="shared" si="20"/>
        <v>0</v>
      </c>
      <c r="K199" s="4"/>
      <c r="L199" s="4"/>
      <c r="M199" s="4"/>
      <c r="N199" s="13">
        <f t="shared" si="21"/>
        <v>0</v>
      </c>
      <c r="O199" s="5">
        <v>5000</v>
      </c>
      <c r="P199" s="5"/>
      <c r="Q199" s="5"/>
      <c r="R199" s="14">
        <f t="shared" si="22"/>
        <v>5000</v>
      </c>
      <c r="S199" s="9">
        <v>10000</v>
      </c>
      <c r="T199" s="10">
        <v>10000</v>
      </c>
      <c r="U199" s="10" t="s">
        <v>1107</v>
      </c>
      <c r="V199" s="7"/>
      <c r="W199" s="7"/>
      <c r="X199" s="6"/>
      <c r="Y199" s="6"/>
      <c r="Z199" s="8"/>
      <c r="AA199" s="8"/>
      <c r="AB199" s="10"/>
      <c r="AC199" s="10"/>
      <c r="AD199" s="15">
        <f t="shared" si="23"/>
        <v>0</v>
      </c>
      <c r="AE199" s="11"/>
      <c r="AF199" s="11"/>
      <c r="AG199" s="11"/>
      <c r="AH199" s="16">
        <f t="shared" si="24"/>
        <v>5000</v>
      </c>
    </row>
    <row r="200" spans="1:34" ht="30" x14ac:dyDescent="0.25">
      <c r="A200" s="2">
        <v>200</v>
      </c>
      <c r="B200" s="2"/>
      <c r="C200" s="2" t="s">
        <v>1784</v>
      </c>
      <c r="D200" s="2" t="s">
        <v>385</v>
      </c>
      <c r="E200" s="2" t="s">
        <v>431</v>
      </c>
      <c r="F200" s="2"/>
      <c r="G200" s="3"/>
      <c r="H200" s="3"/>
      <c r="I200" s="3"/>
      <c r="J200" s="12">
        <f t="shared" si="20"/>
        <v>0</v>
      </c>
      <c r="K200" s="4"/>
      <c r="L200" s="4"/>
      <c r="M200" s="4"/>
      <c r="N200" s="13">
        <f t="shared" si="21"/>
        <v>0</v>
      </c>
      <c r="O200" s="5"/>
      <c r="P200" s="5"/>
      <c r="Q200" s="5"/>
      <c r="R200" s="14">
        <f t="shared" si="22"/>
        <v>0</v>
      </c>
      <c r="S200" s="9"/>
      <c r="T200" s="10">
        <v>2000</v>
      </c>
      <c r="U200" s="10" t="s">
        <v>1482</v>
      </c>
      <c r="V200" s="7">
        <v>2000</v>
      </c>
      <c r="W200" s="7" t="s">
        <v>1593</v>
      </c>
      <c r="X200" s="6">
        <v>2000</v>
      </c>
      <c r="Y200" s="6" t="s">
        <v>1792</v>
      </c>
      <c r="Z200" s="8"/>
      <c r="AA200" s="8"/>
      <c r="AB200" s="10"/>
      <c r="AC200" s="10"/>
      <c r="AD200" s="15">
        <f t="shared" si="23"/>
        <v>-6000</v>
      </c>
      <c r="AE200" s="11"/>
      <c r="AF200" s="11"/>
      <c r="AG200" s="11"/>
      <c r="AH200" s="16">
        <f t="shared" si="24"/>
        <v>-6000</v>
      </c>
    </row>
    <row r="201" spans="1:34" ht="30" x14ac:dyDescent="0.25">
      <c r="A201" s="2">
        <v>201</v>
      </c>
      <c r="B201" s="2"/>
      <c r="C201" s="2" t="s">
        <v>386</v>
      </c>
      <c r="D201" s="2" t="s">
        <v>387</v>
      </c>
      <c r="E201" s="2" t="s">
        <v>431</v>
      </c>
      <c r="F201" s="2">
        <v>3006378618</v>
      </c>
      <c r="G201" s="3"/>
      <c r="H201" s="3"/>
      <c r="I201" s="3"/>
      <c r="J201" s="12">
        <f t="shared" ref="J201:J264" si="25">G201-H201</f>
        <v>0</v>
      </c>
      <c r="K201" s="4"/>
      <c r="L201" s="4"/>
      <c r="M201" s="4"/>
      <c r="N201" s="13">
        <f t="shared" ref="N201:N264" si="26">K201-L201</f>
        <v>0</v>
      </c>
      <c r="O201" s="5">
        <v>5000</v>
      </c>
      <c r="P201" s="5"/>
      <c r="Q201" s="5"/>
      <c r="R201" s="14">
        <f t="shared" ref="R201:R264" si="27">O201-P201</f>
        <v>5000</v>
      </c>
      <c r="S201" s="9">
        <v>23000</v>
      </c>
      <c r="T201" s="10">
        <v>5000</v>
      </c>
      <c r="U201" s="10" t="s">
        <v>1025</v>
      </c>
      <c r="V201" s="7">
        <v>5000</v>
      </c>
      <c r="W201" s="7" t="s">
        <v>1638</v>
      </c>
      <c r="X201" s="6"/>
      <c r="Y201" s="6"/>
      <c r="Z201" s="8"/>
      <c r="AA201" s="8"/>
      <c r="AB201" s="10"/>
      <c r="AC201" s="10"/>
      <c r="AD201" s="15">
        <f t="shared" ref="AD201:AD264" si="28">S201-T201-V201-X201-Z201-AB201</f>
        <v>13000</v>
      </c>
      <c r="AE201" s="11"/>
      <c r="AF201" s="11"/>
      <c r="AG201" s="11"/>
      <c r="AH201" s="16">
        <f t="shared" ref="AH201:AH264" si="29">AD201+R201+N201+J201-AE201+AF201</f>
        <v>18000</v>
      </c>
    </row>
    <row r="202" spans="1:34" ht="30" x14ac:dyDescent="0.25">
      <c r="A202" s="2">
        <v>202</v>
      </c>
      <c r="B202" s="2"/>
      <c r="C202" s="2" t="s">
        <v>388</v>
      </c>
      <c r="D202" s="2" t="s">
        <v>389</v>
      </c>
      <c r="E202" s="2" t="s">
        <v>431</v>
      </c>
      <c r="F202" s="2">
        <v>3006882152</v>
      </c>
      <c r="G202" s="3"/>
      <c r="H202" s="3"/>
      <c r="I202" s="3"/>
      <c r="J202" s="12">
        <f t="shared" si="25"/>
        <v>0</v>
      </c>
      <c r="K202" s="4"/>
      <c r="L202" s="4"/>
      <c r="M202" s="4"/>
      <c r="N202" s="13">
        <f t="shared" si="26"/>
        <v>0</v>
      </c>
      <c r="O202" s="5">
        <v>5000</v>
      </c>
      <c r="P202" s="5"/>
      <c r="Q202" s="5"/>
      <c r="R202" s="14">
        <f t="shared" si="27"/>
        <v>5000</v>
      </c>
      <c r="S202" s="9">
        <v>10000</v>
      </c>
      <c r="T202" s="10">
        <v>5000</v>
      </c>
      <c r="U202" s="10" t="s">
        <v>1393</v>
      </c>
      <c r="V202" s="7"/>
      <c r="W202" s="7"/>
      <c r="X202" s="6"/>
      <c r="Y202" s="6"/>
      <c r="Z202" s="8"/>
      <c r="AA202" s="8"/>
      <c r="AB202" s="10"/>
      <c r="AC202" s="10"/>
      <c r="AD202" s="15">
        <f t="shared" si="28"/>
        <v>5000</v>
      </c>
      <c r="AE202" s="11"/>
      <c r="AF202" s="11"/>
      <c r="AG202" s="11"/>
      <c r="AH202" s="16">
        <f t="shared" si="29"/>
        <v>10000</v>
      </c>
    </row>
    <row r="203" spans="1:34" ht="30" x14ac:dyDescent="0.25">
      <c r="A203" s="2">
        <v>203</v>
      </c>
      <c r="B203" s="2"/>
      <c r="C203" s="2" t="s">
        <v>390</v>
      </c>
      <c r="D203" s="2" t="s">
        <v>391</v>
      </c>
      <c r="E203" s="2" t="s">
        <v>431</v>
      </c>
      <c r="F203" s="2">
        <v>3067456313</v>
      </c>
      <c r="G203" s="3"/>
      <c r="H203" s="3"/>
      <c r="I203" s="3"/>
      <c r="J203" s="12">
        <f t="shared" si="25"/>
        <v>0</v>
      </c>
      <c r="K203" s="4"/>
      <c r="L203" s="4"/>
      <c r="M203" s="4"/>
      <c r="N203" s="13">
        <f t="shared" si="26"/>
        <v>0</v>
      </c>
      <c r="O203" s="5">
        <v>5000</v>
      </c>
      <c r="P203" s="5"/>
      <c r="Q203" s="5"/>
      <c r="R203" s="14">
        <f t="shared" si="27"/>
        <v>5000</v>
      </c>
      <c r="S203" s="9">
        <v>10000</v>
      </c>
      <c r="T203" s="10">
        <v>5000</v>
      </c>
      <c r="U203" s="10" t="s">
        <v>1127</v>
      </c>
      <c r="V203" s="7"/>
      <c r="W203" s="7"/>
      <c r="X203" s="6"/>
      <c r="Y203" s="6"/>
      <c r="Z203" s="8"/>
      <c r="AA203" s="8"/>
      <c r="AB203" s="10"/>
      <c r="AC203" s="10"/>
      <c r="AD203" s="15">
        <f t="shared" si="28"/>
        <v>5000</v>
      </c>
      <c r="AE203" s="11"/>
      <c r="AF203" s="11"/>
      <c r="AG203" s="11"/>
      <c r="AH203" s="16">
        <f t="shared" si="29"/>
        <v>10000</v>
      </c>
    </row>
    <row r="204" spans="1:34" ht="30" x14ac:dyDescent="0.25">
      <c r="A204" s="2">
        <v>204</v>
      </c>
      <c r="B204" s="2"/>
      <c r="C204" s="2" t="s">
        <v>392</v>
      </c>
      <c r="D204" s="2" t="s">
        <v>393</v>
      </c>
      <c r="E204" s="2" t="s">
        <v>431</v>
      </c>
      <c r="F204" s="2">
        <v>3039322356</v>
      </c>
      <c r="G204" s="3"/>
      <c r="H204" s="3"/>
      <c r="I204" s="3"/>
      <c r="J204" s="12">
        <f t="shared" si="25"/>
        <v>0</v>
      </c>
      <c r="K204" s="4"/>
      <c r="L204" s="4"/>
      <c r="M204" s="4"/>
      <c r="N204" s="13">
        <f t="shared" si="26"/>
        <v>0</v>
      </c>
      <c r="O204" s="5">
        <v>5000</v>
      </c>
      <c r="P204" s="5"/>
      <c r="Q204" s="5"/>
      <c r="R204" s="14">
        <f t="shared" si="27"/>
        <v>5000</v>
      </c>
      <c r="S204" s="9">
        <v>15000</v>
      </c>
      <c r="T204" s="10">
        <v>7000</v>
      </c>
      <c r="U204" s="10" t="s">
        <v>1065</v>
      </c>
      <c r="V204" s="7"/>
      <c r="W204" s="7"/>
      <c r="X204" s="6"/>
      <c r="Y204" s="6"/>
      <c r="Z204" s="8"/>
      <c r="AA204" s="8"/>
      <c r="AB204" s="10"/>
      <c r="AC204" s="10"/>
      <c r="AD204" s="15">
        <f t="shared" si="28"/>
        <v>8000</v>
      </c>
      <c r="AE204" s="11"/>
      <c r="AF204" s="11"/>
      <c r="AG204" s="11"/>
      <c r="AH204" s="16">
        <f t="shared" si="29"/>
        <v>13000</v>
      </c>
    </row>
    <row r="205" spans="1:34" ht="30" x14ac:dyDescent="0.25">
      <c r="A205" s="2">
        <v>205</v>
      </c>
      <c r="B205" s="2"/>
      <c r="C205" s="2" t="s">
        <v>394</v>
      </c>
      <c r="D205" s="2" t="s">
        <v>395</v>
      </c>
      <c r="E205" s="2" t="s">
        <v>431</v>
      </c>
      <c r="F205" s="2">
        <v>3039484235</v>
      </c>
      <c r="G205" s="3"/>
      <c r="H205" s="3"/>
      <c r="I205" s="3"/>
      <c r="J205" s="12">
        <f t="shared" si="25"/>
        <v>0</v>
      </c>
      <c r="K205" s="4"/>
      <c r="L205" s="4"/>
      <c r="M205" s="4"/>
      <c r="N205" s="13">
        <f t="shared" si="26"/>
        <v>0</v>
      </c>
      <c r="O205" s="5">
        <v>5000</v>
      </c>
      <c r="P205" s="5"/>
      <c r="Q205" s="5"/>
      <c r="R205" s="14">
        <f t="shared" si="27"/>
        <v>5000</v>
      </c>
      <c r="S205" s="9">
        <v>25000</v>
      </c>
      <c r="T205" s="10">
        <v>5000</v>
      </c>
      <c r="U205" s="10" t="s">
        <v>1166</v>
      </c>
      <c r="V205" s="7">
        <v>5000</v>
      </c>
      <c r="W205" s="7" t="s">
        <v>1661</v>
      </c>
      <c r="X205" s="6"/>
      <c r="Y205" s="6"/>
      <c r="Z205" s="8"/>
      <c r="AA205" s="8"/>
      <c r="AB205" s="10"/>
      <c r="AC205" s="10"/>
      <c r="AD205" s="15">
        <f t="shared" si="28"/>
        <v>15000</v>
      </c>
      <c r="AE205" s="11"/>
      <c r="AF205" s="11"/>
      <c r="AG205" s="11"/>
      <c r="AH205" s="16">
        <f t="shared" si="29"/>
        <v>20000</v>
      </c>
    </row>
    <row r="206" spans="1:34" ht="30" x14ac:dyDescent="0.25">
      <c r="A206" s="2">
        <v>206</v>
      </c>
      <c r="B206" s="2"/>
      <c r="C206" s="2" t="s">
        <v>396</v>
      </c>
      <c r="D206" s="2" t="s">
        <v>240</v>
      </c>
      <c r="E206" s="2" t="s">
        <v>431</v>
      </c>
      <c r="F206" s="2">
        <v>3067831365</v>
      </c>
      <c r="G206" s="3"/>
      <c r="H206" s="3"/>
      <c r="I206" s="3"/>
      <c r="J206" s="12">
        <f t="shared" si="25"/>
        <v>0</v>
      </c>
      <c r="K206" s="4"/>
      <c r="L206" s="4"/>
      <c r="M206" s="4"/>
      <c r="N206" s="13">
        <f t="shared" si="26"/>
        <v>0</v>
      </c>
      <c r="O206" s="5">
        <v>5000</v>
      </c>
      <c r="P206" s="5"/>
      <c r="Q206" s="5"/>
      <c r="R206" s="14">
        <f t="shared" si="27"/>
        <v>5000</v>
      </c>
      <c r="S206" s="9">
        <v>15000</v>
      </c>
      <c r="T206" s="10">
        <v>5000</v>
      </c>
      <c r="U206" s="10" t="s">
        <v>1061</v>
      </c>
      <c r="V206" s="7"/>
      <c r="W206" s="7"/>
      <c r="X206" s="6"/>
      <c r="Y206" s="6"/>
      <c r="Z206" s="8"/>
      <c r="AA206" s="8"/>
      <c r="AB206" s="10"/>
      <c r="AC206" s="10"/>
      <c r="AD206" s="15">
        <f t="shared" si="28"/>
        <v>10000</v>
      </c>
      <c r="AE206" s="11"/>
      <c r="AF206" s="11"/>
      <c r="AG206" s="11"/>
      <c r="AH206" s="16">
        <f t="shared" si="29"/>
        <v>15000</v>
      </c>
    </row>
    <row r="207" spans="1:34" ht="30" x14ac:dyDescent="0.25">
      <c r="A207" s="2">
        <v>207</v>
      </c>
      <c r="B207" s="2"/>
      <c r="C207" s="2" t="s">
        <v>293</v>
      </c>
      <c r="D207" s="2" t="s">
        <v>231</v>
      </c>
      <c r="E207" s="2" t="s">
        <v>431</v>
      </c>
      <c r="F207" s="2">
        <v>3078713723</v>
      </c>
      <c r="G207" s="3"/>
      <c r="H207" s="3"/>
      <c r="I207" s="3"/>
      <c r="J207" s="12">
        <f t="shared" si="25"/>
        <v>0</v>
      </c>
      <c r="K207" s="4"/>
      <c r="L207" s="4"/>
      <c r="M207" s="4"/>
      <c r="N207" s="13">
        <f t="shared" si="26"/>
        <v>0</v>
      </c>
      <c r="O207" s="5">
        <v>5000</v>
      </c>
      <c r="P207" s="5"/>
      <c r="Q207" s="5"/>
      <c r="R207" s="14">
        <f t="shared" si="27"/>
        <v>5000</v>
      </c>
      <c r="S207" s="9">
        <v>22000</v>
      </c>
      <c r="T207" s="10">
        <v>10000</v>
      </c>
      <c r="U207" s="10" t="s">
        <v>1176</v>
      </c>
      <c r="V207" s="7">
        <v>10000</v>
      </c>
      <c r="W207" s="7" t="s">
        <v>1662</v>
      </c>
      <c r="X207" s="6"/>
      <c r="Y207" s="6"/>
      <c r="Z207" s="8"/>
      <c r="AA207" s="8"/>
      <c r="AB207" s="10"/>
      <c r="AC207" s="10"/>
      <c r="AD207" s="15">
        <f t="shared" si="28"/>
        <v>2000</v>
      </c>
      <c r="AE207" s="11"/>
      <c r="AF207" s="11"/>
      <c r="AG207" s="11"/>
      <c r="AH207" s="16">
        <f t="shared" si="29"/>
        <v>7000</v>
      </c>
    </row>
    <row r="208" spans="1:34" ht="30" x14ac:dyDescent="0.25">
      <c r="A208" s="2">
        <v>208</v>
      </c>
      <c r="B208" s="2"/>
      <c r="C208" s="2" t="s">
        <v>397</v>
      </c>
      <c r="D208" s="2" t="s">
        <v>444</v>
      </c>
      <c r="E208" s="2" t="s">
        <v>431</v>
      </c>
      <c r="F208" s="2">
        <v>3428733071</v>
      </c>
      <c r="G208" s="3"/>
      <c r="H208" s="3"/>
      <c r="I208" s="3"/>
      <c r="J208" s="12">
        <f t="shared" si="25"/>
        <v>0</v>
      </c>
      <c r="K208" s="4"/>
      <c r="L208" s="4"/>
      <c r="M208" s="4"/>
      <c r="N208" s="13">
        <f t="shared" si="26"/>
        <v>0</v>
      </c>
      <c r="O208" s="5">
        <v>5000</v>
      </c>
      <c r="P208" s="5"/>
      <c r="Q208" s="5"/>
      <c r="R208" s="14">
        <f t="shared" si="27"/>
        <v>5000</v>
      </c>
      <c r="S208" s="9">
        <v>20000</v>
      </c>
      <c r="T208" s="10">
        <v>10000</v>
      </c>
      <c r="U208" s="10" t="s">
        <v>1201</v>
      </c>
      <c r="V208" s="7"/>
      <c r="W208" s="7"/>
      <c r="X208" s="6"/>
      <c r="Y208" s="6"/>
      <c r="Z208" s="8"/>
      <c r="AA208" s="8"/>
      <c r="AB208" s="10"/>
      <c r="AC208" s="10"/>
      <c r="AD208" s="15">
        <f t="shared" si="28"/>
        <v>10000</v>
      </c>
      <c r="AE208" s="11"/>
      <c r="AF208" s="11"/>
      <c r="AG208" s="11"/>
      <c r="AH208" s="16">
        <f t="shared" si="29"/>
        <v>15000</v>
      </c>
    </row>
    <row r="209" spans="1:34" ht="30" x14ac:dyDescent="0.25">
      <c r="A209" s="2">
        <v>209</v>
      </c>
      <c r="B209" s="2"/>
      <c r="C209" s="2" t="s">
        <v>398</v>
      </c>
      <c r="D209" s="2" t="s">
        <v>443</v>
      </c>
      <c r="E209" s="2" t="s">
        <v>431</v>
      </c>
      <c r="F209" s="2">
        <v>3017983954</v>
      </c>
      <c r="G209" s="3"/>
      <c r="H209" s="3"/>
      <c r="I209" s="3"/>
      <c r="J209" s="12">
        <f t="shared" si="25"/>
        <v>0</v>
      </c>
      <c r="K209" s="4"/>
      <c r="L209" s="4"/>
      <c r="M209" s="4"/>
      <c r="N209" s="13">
        <f t="shared" si="26"/>
        <v>0</v>
      </c>
      <c r="O209" s="5">
        <v>5000</v>
      </c>
      <c r="P209" s="5"/>
      <c r="Q209" s="5"/>
      <c r="R209" s="14">
        <f t="shared" si="27"/>
        <v>5000</v>
      </c>
      <c r="S209" s="9">
        <v>18000</v>
      </c>
      <c r="T209" s="10">
        <v>2500</v>
      </c>
      <c r="U209" s="10" t="s">
        <v>1301</v>
      </c>
      <c r="V209" s="7">
        <v>1000</v>
      </c>
      <c r="W209" s="37" t="s">
        <v>1414</v>
      </c>
      <c r="X209" s="6">
        <v>5000</v>
      </c>
      <c r="Y209" s="6" t="s">
        <v>1569</v>
      </c>
      <c r="Z209" s="8"/>
      <c r="AA209" s="8"/>
      <c r="AB209" s="10"/>
      <c r="AC209" s="10"/>
      <c r="AD209" s="15">
        <f t="shared" si="28"/>
        <v>9500</v>
      </c>
      <c r="AE209" s="11"/>
      <c r="AF209" s="11"/>
      <c r="AG209" s="11"/>
      <c r="AH209" s="16">
        <f t="shared" si="29"/>
        <v>14500</v>
      </c>
    </row>
    <row r="210" spans="1:34" ht="30" x14ac:dyDescent="0.25">
      <c r="A210" s="2">
        <v>210</v>
      </c>
      <c r="B210" s="2"/>
      <c r="C210" s="2" t="s">
        <v>399</v>
      </c>
      <c r="D210" s="2" t="s">
        <v>400</v>
      </c>
      <c r="E210" s="2" t="s">
        <v>431</v>
      </c>
      <c r="F210" s="2">
        <v>3027796506</v>
      </c>
      <c r="G210" s="3"/>
      <c r="H210" s="3"/>
      <c r="I210" s="3"/>
      <c r="J210" s="12">
        <f t="shared" si="25"/>
        <v>0</v>
      </c>
      <c r="K210" s="4"/>
      <c r="L210" s="4"/>
      <c r="M210" s="4"/>
      <c r="N210" s="13">
        <f t="shared" si="26"/>
        <v>0</v>
      </c>
      <c r="O210" s="5">
        <v>5000</v>
      </c>
      <c r="P210" s="5"/>
      <c r="Q210" s="5"/>
      <c r="R210" s="14">
        <f t="shared" si="27"/>
        <v>5000</v>
      </c>
      <c r="S210" s="9">
        <v>20000</v>
      </c>
      <c r="T210" s="10">
        <v>5000</v>
      </c>
      <c r="U210" s="10" t="s">
        <v>1047</v>
      </c>
      <c r="V210" s="7">
        <v>5000</v>
      </c>
      <c r="W210" s="7" t="s">
        <v>1357</v>
      </c>
      <c r="X210" s="6"/>
      <c r="Y210" s="6"/>
      <c r="Z210" s="8"/>
      <c r="AA210" s="8"/>
      <c r="AB210" s="10"/>
      <c r="AC210" s="10"/>
      <c r="AD210" s="15">
        <f t="shared" si="28"/>
        <v>10000</v>
      </c>
      <c r="AE210" s="11"/>
      <c r="AF210" s="11"/>
      <c r="AG210" s="11"/>
      <c r="AH210" s="16">
        <f t="shared" si="29"/>
        <v>15000</v>
      </c>
    </row>
    <row r="211" spans="1:34" ht="30" x14ac:dyDescent="0.25">
      <c r="A211" s="2">
        <v>211</v>
      </c>
      <c r="B211" s="2"/>
      <c r="C211" s="2" t="s">
        <v>1622</v>
      </c>
      <c r="D211" s="2" t="s">
        <v>401</v>
      </c>
      <c r="E211" s="2" t="s">
        <v>431</v>
      </c>
      <c r="F211" s="2">
        <v>3321631844</v>
      </c>
      <c r="G211" s="3"/>
      <c r="H211" s="3"/>
      <c r="I211" s="3"/>
      <c r="J211" s="12">
        <f t="shared" si="25"/>
        <v>0</v>
      </c>
      <c r="K211" s="4"/>
      <c r="L211" s="4"/>
      <c r="M211" s="4"/>
      <c r="N211" s="13">
        <f t="shared" si="26"/>
        <v>0</v>
      </c>
      <c r="O211" s="5">
        <v>5000</v>
      </c>
      <c r="P211" s="5"/>
      <c r="Q211" s="5"/>
      <c r="R211" s="14">
        <f t="shared" si="27"/>
        <v>5000</v>
      </c>
      <c r="S211" s="9">
        <v>25000</v>
      </c>
      <c r="T211" s="10">
        <v>10000</v>
      </c>
      <c r="U211" s="10" t="s">
        <v>1237</v>
      </c>
      <c r="V211" s="7">
        <v>10000</v>
      </c>
      <c r="W211" s="7" t="s">
        <v>1623</v>
      </c>
      <c r="X211" s="6"/>
      <c r="Y211" s="6"/>
      <c r="Z211" s="8"/>
      <c r="AA211" s="8"/>
      <c r="AB211" s="10"/>
      <c r="AC211" s="10"/>
      <c r="AD211" s="15">
        <f t="shared" si="28"/>
        <v>5000</v>
      </c>
      <c r="AE211" s="11"/>
      <c r="AF211" s="11"/>
      <c r="AG211" s="11"/>
      <c r="AH211" s="16">
        <f t="shared" si="29"/>
        <v>10000</v>
      </c>
    </row>
    <row r="212" spans="1:34" ht="30" x14ac:dyDescent="0.25">
      <c r="A212" s="2">
        <v>212</v>
      </c>
      <c r="B212" s="2"/>
      <c r="C212" s="2" t="s">
        <v>402</v>
      </c>
      <c r="D212" s="2" t="s">
        <v>403</v>
      </c>
      <c r="E212" s="2" t="s">
        <v>431</v>
      </c>
      <c r="F212" s="2">
        <v>3053289295</v>
      </c>
      <c r="G212" s="3"/>
      <c r="H212" s="3"/>
      <c r="I212" s="3"/>
      <c r="J212" s="12">
        <f t="shared" si="25"/>
        <v>0</v>
      </c>
      <c r="K212" s="4"/>
      <c r="L212" s="4"/>
      <c r="M212" s="4"/>
      <c r="N212" s="13">
        <f t="shared" si="26"/>
        <v>0</v>
      </c>
      <c r="O212" s="5">
        <v>0</v>
      </c>
      <c r="P212" s="5">
        <v>0</v>
      </c>
      <c r="Q212" s="5">
        <v>0</v>
      </c>
      <c r="R212" s="14">
        <f t="shared" si="27"/>
        <v>0</v>
      </c>
      <c r="S212" s="9">
        <v>16000</v>
      </c>
      <c r="T212" s="10">
        <v>4500</v>
      </c>
      <c r="U212" s="10" t="s">
        <v>1084</v>
      </c>
      <c r="V212" s="7"/>
      <c r="W212" s="7"/>
      <c r="X212" s="6"/>
      <c r="Y212" s="6"/>
      <c r="Z212" s="8"/>
      <c r="AA212" s="8"/>
      <c r="AB212" s="10"/>
      <c r="AC212" s="10"/>
      <c r="AD212" s="15">
        <f t="shared" si="28"/>
        <v>11500</v>
      </c>
      <c r="AE212" s="11"/>
      <c r="AF212" s="11"/>
      <c r="AG212" s="11"/>
      <c r="AH212" s="16">
        <f t="shared" si="29"/>
        <v>11500</v>
      </c>
    </row>
    <row r="213" spans="1:34" ht="30" x14ac:dyDescent="0.25">
      <c r="A213" s="2">
        <v>213</v>
      </c>
      <c r="B213" s="2"/>
      <c r="C213" s="2" t="s">
        <v>1599</v>
      </c>
      <c r="D213" s="2" t="s">
        <v>404</v>
      </c>
      <c r="E213" s="2" t="s">
        <v>431</v>
      </c>
      <c r="F213" s="2">
        <v>3037243027</v>
      </c>
      <c r="G213" s="3"/>
      <c r="H213" s="3"/>
      <c r="I213" s="3"/>
      <c r="J213" s="12">
        <f t="shared" si="25"/>
        <v>0</v>
      </c>
      <c r="K213" s="4"/>
      <c r="L213" s="4"/>
      <c r="M213" s="4"/>
      <c r="N213" s="13">
        <f t="shared" si="26"/>
        <v>0</v>
      </c>
      <c r="O213" s="5">
        <v>5000</v>
      </c>
      <c r="P213" s="5"/>
      <c r="Q213" s="5"/>
      <c r="R213" s="14">
        <f t="shared" si="27"/>
        <v>5000</v>
      </c>
      <c r="S213" s="9">
        <v>10000</v>
      </c>
      <c r="T213" s="10">
        <v>3000</v>
      </c>
      <c r="U213" s="10" t="s">
        <v>1246</v>
      </c>
      <c r="V213" s="7">
        <v>3000</v>
      </c>
      <c r="W213" s="7" t="s">
        <v>1600</v>
      </c>
      <c r="X213" s="6"/>
      <c r="Y213" s="6"/>
      <c r="Z213" s="8"/>
      <c r="AA213" s="8"/>
      <c r="AB213" s="10"/>
      <c r="AC213" s="10"/>
      <c r="AD213" s="15">
        <f t="shared" si="28"/>
        <v>4000</v>
      </c>
      <c r="AE213" s="11"/>
      <c r="AF213" s="11"/>
      <c r="AG213" s="11"/>
      <c r="AH213" s="16">
        <f t="shared" si="29"/>
        <v>9000</v>
      </c>
    </row>
    <row r="214" spans="1:34" ht="30" x14ac:dyDescent="0.25">
      <c r="A214" s="2">
        <v>214</v>
      </c>
      <c r="B214" s="2"/>
      <c r="C214" s="2" t="s">
        <v>405</v>
      </c>
      <c r="D214" s="2" t="s">
        <v>442</v>
      </c>
      <c r="E214" s="2" t="s">
        <v>431</v>
      </c>
      <c r="F214" s="2">
        <v>3017659836</v>
      </c>
      <c r="G214" s="3"/>
      <c r="H214" s="3"/>
      <c r="I214" s="3"/>
      <c r="J214" s="12">
        <f t="shared" si="25"/>
        <v>0</v>
      </c>
      <c r="K214" s="4"/>
      <c r="L214" s="4"/>
      <c r="M214" s="4"/>
      <c r="N214" s="13">
        <f t="shared" si="26"/>
        <v>0</v>
      </c>
      <c r="O214" s="5">
        <v>5000</v>
      </c>
      <c r="P214" s="5"/>
      <c r="Q214" s="5"/>
      <c r="R214" s="14">
        <f t="shared" si="27"/>
        <v>5000</v>
      </c>
      <c r="S214" s="9">
        <v>20000</v>
      </c>
      <c r="T214" s="10">
        <v>20000</v>
      </c>
      <c r="U214" s="10" t="s">
        <v>1284</v>
      </c>
      <c r="V214" s="7">
        <v>5000</v>
      </c>
      <c r="W214" s="7" t="s">
        <v>1597</v>
      </c>
      <c r="X214" s="6"/>
      <c r="Y214" s="6"/>
      <c r="Z214" s="8"/>
      <c r="AA214" s="8"/>
      <c r="AB214" s="10"/>
      <c r="AC214" s="10"/>
      <c r="AD214" s="15">
        <f t="shared" si="28"/>
        <v>-5000</v>
      </c>
      <c r="AE214" s="11"/>
      <c r="AF214" s="11"/>
      <c r="AG214" s="11"/>
      <c r="AH214" s="16">
        <f t="shared" si="29"/>
        <v>0</v>
      </c>
    </row>
    <row r="215" spans="1:34" ht="21" x14ac:dyDescent="0.25">
      <c r="A215" s="2">
        <v>215</v>
      </c>
      <c r="B215" s="2"/>
      <c r="C215" s="2" t="s">
        <v>406</v>
      </c>
      <c r="D215" s="2" t="s">
        <v>432</v>
      </c>
      <c r="E215" s="2" t="s">
        <v>431</v>
      </c>
      <c r="F215" s="2">
        <v>3037373200</v>
      </c>
      <c r="G215" s="3"/>
      <c r="H215" s="3"/>
      <c r="I215" s="3"/>
      <c r="J215" s="12">
        <f t="shared" si="25"/>
        <v>0</v>
      </c>
      <c r="K215" s="4"/>
      <c r="L215" s="4"/>
      <c r="M215" s="4"/>
      <c r="N215" s="13">
        <f t="shared" si="26"/>
        <v>0</v>
      </c>
      <c r="O215" s="5"/>
      <c r="P215" s="5"/>
      <c r="Q215" s="5"/>
      <c r="R215" s="14">
        <f t="shared" si="27"/>
        <v>0</v>
      </c>
      <c r="S215" s="9"/>
      <c r="T215" s="10"/>
      <c r="U215" s="10"/>
      <c r="V215" s="7"/>
      <c r="W215" s="7"/>
      <c r="X215" s="6"/>
      <c r="Y215" s="6"/>
      <c r="Z215" s="8"/>
      <c r="AA215" s="8"/>
      <c r="AB215" s="10"/>
      <c r="AC215" s="10"/>
      <c r="AD215" s="15">
        <f t="shared" si="28"/>
        <v>0</v>
      </c>
      <c r="AE215" s="11"/>
      <c r="AF215" s="11"/>
      <c r="AG215" s="11"/>
      <c r="AH215" s="16">
        <f t="shared" si="29"/>
        <v>0</v>
      </c>
    </row>
    <row r="216" spans="1:34" ht="21" x14ac:dyDescent="0.25">
      <c r="A216" s="2">
        <v>216</v>
      </c>
      <c r="B216" s="2"/>
      <c r="C216" s="2" t="s">
        <v>1769</v>
      </c>
      <c r="D216" s="2" t="s">
        <v>407</v>
      </c>
      <c r="E216" s="2" t="s">
        <v>431</v>
      </c>
      <c r="F216" s="2"/>
      <c r="G216" s="3"/>
      <c r="H216" s="3"/>
      <c r="I216" s="3"/>
      <c r="J216" s="12">
        <f t="shared" si="25"/>
        <v>0</v>
      </c>
      <c r="K216" s="4"/>
      <c r="L216" s="4"/>
      <c r="M216" s="4"/>
      <c r="N216" s="13">
        <f t="shared" si="26"/>
        <v>0</v>
      </c>
      <c r="O216" s="5">
        <v>5000</v>
      </c>
      <c r="P216" s="5"/>
      <c r="Q216" s="5"/>
      <c r="R216" s="14">
        <f t="shared" si="27"/>
        <v>5000</v>
      </c>
      <c r="S216" s="9">
        <v>15000</v>
      </c>
      <c r="T216" s="10"/>
      <c r="U216" s="10"/>
      <c r="V216" s="7"/>
      <c r="W216" s="7"/>
      <c r="X216" s="6"/>
      <c r="Y216" s="6"/>
      <c r="Z216" s="8"/>
      <c r="AA216" s="8"/>
      <c r="AB216" s="10"/>
      <c r="AC216" s="10"/>
      <c r="AD216" s="15">
        <f t="shared" si="28"/>
        <v>15000</v>
      </c>
      <c r="AE216" s="11"/>
      <c r="AF216" s="11"/>
      <c r="AG216" s="11"/>
      <c r="AH216" s="16">
        <f t="shared" si="29"/>
        <v>20000</v>
      </c>
    </row>
    <row r="217" spans="1:34" ht="30" x14ac:dyDescent="0.25">
      <c r="A217" s="2">
        <v>217</v>
      </c>
      <c r="B217" s="2"/>
      <c r="C217" s="2" t="s">
        <v>440</v>
      </c>
      <c r="D217" s="2" t="s">
        <v>441</v>
      </c>
      <c r="E217" s="2" t="s">
        <v>431</v>
      </c>
      <c r="F217" s="2">
        <v>3003662136</v>
      </c>
      <c r="G217" s="3"/>
      <c r="H217" s="3"/>
      <c r="I217" s="3"/>
      <c r="J217" s="12">
        <f t="shared" si="25"/>
        <v>0</v>
      </c>
      <c r="K217" s="4"/>
      <c r="L217" s="4"/>
      <c r="M217" s="4"/>
      <c r="N217" s="13">
        <f t="shared" si="26"/>
        <v>0</v>
      </c>
      <c r="O217" s="5">
        <v>5000</v>
      </c>
      <c r="P217" s="5"/>
      <c r="Q217" s="5"/>
      <c r="R217" s="14">
        <f t="shared" si="27"/>
        <v>5000</v>
      </c>
      <c r="S217" s="9">
        <v>20000</v>
      </c>
      <c r="T217" s="10">
        <v>5000</v>
      </c>
      <c r="U217" s="10" t="s">
        <v>1304</v>
      </c>
      <c r="V217" s="7"/>
      <c r="W217" s="7"/>
      <c r="X217" s="6"/>
      <c r="Y217" s="6"/>
      <c r="Z217" s="8"/>
      <c r="AA217" s="8"/>
      <c r="AB217" s="10"/>
      <c r="AC217" s="10"/>
      <c r="AD217" s="15">
        <f t="shared" si="28"/>
        <v>15000</v>
      </c>
      <c r="AE217" s="11"/>
      <c r="AF217" s="11"/>
      <c r="AG217" s="11"/>
      <c r="AH217" s="16">
        <f t="shared" si="29"/>
        <v>20000</v>
      </c>
    </row>
    <row r="218" spans="1:34" ht="30" x14ac:dyDescent="0.25">
      <c r="A218" s="2">
        <v>218</v>
      </c>
      <c r="B218" s="2"/>
      <c r="C218" s="2" t="s">
        <v>408</v>
      </c>
      <c r="D218" s="2" t="s">
        <v>1442</v>
      </c>
      <c r="E218" s="2" t="s">
        <v>431</v>
      </c>
      <c r="F218" s="2"/>
      <c r="G218" s="3"/>
      <c r="H218" s="3"/>
      <c r="I218" s="3"/>
      <c r="J218" s="12">
        <f t="shared" si="25"/>
        <v>0</v>
      </c>
      <c r="K218" s="4"/>
      <c r="L218" s="4"/>
      <c r="M218" s="4"/>
      <c r="N218" s="13">
        <f t="shared" si="26"/>
        <v>0</v>
      </c>
      <c r="O218" s="5"/>
      <c r="P218" s="5"/>
      <c r="Q218" s="5"/>
      <c r="R218" s="14">
        <f t="shared" si="27"/>
        <v>0</v>
      </c>
      <c r="S218" s="9"/>
      <c r="T218" s="10">
        <v>5000</v>
      </c>
      <c r="U218" s="10" t="s">
        <v>1443</v>
      </c>
      <c r="V218" s="7"/>
      <c r="W218" s="7"/>
      <c r="X218" s="6"/>
      <c r="Y218" s="6"/>
      <c r="Z218" s="8"/>
      <c r="AA218" s="8"/>
      <c r="AB218" s="10"/>
      <c r="AC218" s="10"/>
      <c r="AD218" s="15">
        <f t="shared" si="28"/>
        <v>-5000</v>
      </c>
      <c r="AE218" s="11"/>
      <c r="AF218" s="11"/>
      <c r="AG218" s="11"/>
      <c r="AH218" s="16">
        <f t="shared" si="29"/>
        <v>-5000</v>
      </c>
    </row>
    <row r="219" spans="1:34" ht="30" x14ac:dyDescent="0.25">
      <c r="A219" s="2">
        <v>219</v>
      </c>
      <c r="B219" s="2"/>
      <c r="C219" s="2" t="s">
        <v>409</v>
      </c>
      <c r="D219" s="2" t="s">
        <v>439</v>
      </c>
      <c r="E219" s="2" t="s">
        <v>431</v>
      </c>
      <c r="F219" s="2">
        <v>3003662136</v>
      </c>
      <c r="G219" s="3"/>
      <c r="H219" s="3"/>
      <c r="I219" s="3"/>
      <c r="J219" s="12">
        <f t="shared" si="25"/>
        <v>0</v>
      </c>
      <c r="K219" s="4"/>
      <c r="L219" s="4"/>
      <c r="M219" s="4"/>
      <c r="N219" s="13">
        <f t="shared" si="26"/>
        <v>0</v>
      </c>
      <c r="O219" s="5">
        <v>5000</v>
      </c>
      <c r="P219" s="5"/>
      <c r="Q219" s="5"/>
      <c r="R219" s="14">
        <f t="shared" si="27"/>
        <v>5000</v>
      </c>
      <c r="S219" s="9">
        <v>20000</v>
      </c>
      <c r="T219" s="10">
        <v>5000</v>
      </c>
      <c r="U219" s="10" t="s">
        <v>1305</v>
      </c>
      <c r="V219" s="7"/>
      <c r="W219" s="7"/>
      <c r="X219" s="6"/>
      <c r="Y219" s="6"/>
      <c r="Z219" s="8"/>
      <c r="AA219" s="8"/>
      <c r="AB219" s="10"/>
      <c r="AC219" s="10"/>
      <c r="AD219" s="15">
        <f t="shared" si="28"/>
        <v>15000</v>
      </c>
      <c r="AE219" s="11"/>
      <c r="AF219" s="11"/>
      <c r="AG219" s="11"/>
      <c r="AH219" s="16">
        <f t="shared" si="29"/>
        <v>20000</v>
      </c>
    </row>
    <row r="220" spans="1:34" ht="30" x14ac:dyDescent="0.25">
      <c r="A220" s="2">
        <v>220</v>
      </c>
      <c r="B220" s="2"/>
      <c r="C220" s="2" t="s">
        <v>410</v>
      </c>
      <c r="D220" s="2"/>
      <c r="E220" s="2" t="s">
        <v>431</v>
      </c>
      <c r="F220" s="2"/>
      <c r="G220" s="3"/>
      <c r="H220" s="3"/>
      <c r="I220" s="3"/>
      <c r="J220" s="12">
        <f t="shared" si="25"/>
        <v>0</v>
      </c>
      <c r="K220" s="4"/>
      <c r="L220" s="4"/>
      <c r="M220" s="4"/>
      <c r="N220" s="13">
        <f t="shared" si="26"/>
        <v>0</v>
      </c>
      <c r="O220" s="5"/>
      <c r="P220" s="5"/>
      <c r="Q220" s="5"/>
      <c r="R220" s="14">
        <f t="shared" si="27"/>
        <v>0</v>
      </c>
      <c r="S220" s="9"/>
      <c r="T220" s="10"/>
      <c r="U220" s="10"/>
      <c r="V220" s="7"/>
      <c r="W220" s="7"/>
      <c r="X220" s="6"/>
      <c r="Y220" s="6"/>
      <c r="Z220" s="8"/>
      <c r="AA220" s="8"/>
      <c r="AB220" s="10"/>
      <c r="AC220" s="10"/>
      <c r="AD220" s="15">
        <f t="shared" si="28"/>
        <v>0</v>
      </c>
      <c r="AE220" s="11"/>
      <c r="AF220" s="11"/>
      <c r="AG220" s="11"/>
      <c r="AH220" s="16">
        <f t="shared" si="29"/>
        <v>0</v>
      </c>
    </row>
    <row r="221" spans="1:34" ht="30" x14ac:dyDescent="0.25">
      <c r="A221" s="2">
        <v>221</v>
      </c>
      <c r="B221" s="2"/>
      <c r="C221" s="2" t="s">
        <v>411</v>
      </c>
      <c r="D221" s="2" t="s">
        <v>1774</v>
      </c>
      <c r="E221" s="2" t="s">
        <v>431</v>
      </c>
      <c r="F221" s="2">
        <v>3401967633</v>
      </c>
      <c r="G221" s="3"/>
      <c r="H221" s="3"/>
      <c r="I221" s="3"/>
      <c r="J221" s="12">
        <f t="shared" si="25"/>
        <v>0</v>
      </c>
      <c r="K221" s="4"/>
      <c r="L221" s="4"/>
      <c r="M221" s="4"/>
      <c r="N221" s="13">
        <f t="shared" si="26"/>
        <v>0</v>
      </c>
      <c r="O221" s="5">
        <v>5000</v>
      </c>
      <c r="P221" s="5"/>
      <c r="Q221" s="5"/>
      <c r="R221" s="14">
        <f t="shared" si="27"/>
        <v>5000</v>
      </c>
      <c r="S221" s="9">
        <v>18000</v>
      </c>
      <c r="T221" s="10"/>
      <c r="U221" s="10"/>
      <c r="V221" s="7"/>
      <c r="W221" s="7"/>
      <c r="X221" s="6"/>
      <c r="Y221" s="6"/>
      <c r="Z221" s="8"/>
      <c r="AA221" s="8"/>
      <c r="AB221" s="10"/>
      <c r="AC221" s="10"/>
      <c r="AD221" s="15">
        <f t="shared" si="28"/>
        <v>18000</v>
      </c>
      <c r="AE221" s="11"/>
      <c r="AF221" s="11"/>
      <c r="AG221" s="11"/>
      <c r="AH221" s="16">
        <f t="shared" si="29"/>
        <v>23000</v>
      </c>
    </row>
    <row r="222" spans="1:34" ht="21" x14ac:dyDescent="0.25">
      <c r="A222" s="2">
        <v>222</v>
      </c>
      <c r="B222" s="2"/>
      <c r="C222" s="2" t="s">
        <v>412</v>
      </c>
      <c r="D222" s="2" t="s">
        <v>433</v>
      </c>
      <c r="E222" s="2" t="s">
        <v>431</v>
      </c>
      <c r="F222" s="2">
        <v>3035128151</v>
      </c>
      <c r="G222" s="3"/>
      <c r="H222" s="3"/>
      <c r="I222" s="3"/>
      <c r="J222" s="12">
        <f t="shared" si="25"/>
        <v>0</v>
      </c>
      <c r="K222" s="4"/>
      <c r="L222" s="4"/>
      <c r="M222" s="4"/>
      <c r="N222" s="13">
        <f t="shared" si="26"/>
        <v>0</v>
      </c>
      <c r="O222" s="5">
        <v>5000</v>
      </c>
      <c r="P222" s="5"/>
      <c r="Q222" s="5"/>
      <c r="R222" s="14">
        <f t="shared" si="27"/>
        <v>5000</v>
      </c>
      <c r="S222" s="9">
        <v>10000</v>
      </c>
      <c r="T222" s="10"/>
      <c r="U222" s="10"/>
      <c r="V222" s="7"/>
      <c r="W222" s="7"/>
      <c r="X222" s="6"/>
      <c r="Y222" s="6"/>
      <c r="Z222" s="8"/>
      <c r="AA222" s="8"/>
      <c r="AB222" s="10"/>
      <c r="AC222" s="10"/>
      <c r="AD222" s="15">
        <f t="shared" si="28"/>
        <v>10000</v>
      </c>
      <c r="AE222" s="11"/>
      <c r="AF222" s="11"/>
      <c r="AG222" s="11"/>
      <c r="AH222" s="16">
        <f t="shared" si="29"/>
        <v>15000</v>
      </c>
    </row>
    <row r="223" spans="1:34" ht="30" x14ac:dyDescent="0.25">
      <c r="A223" s="2">
        <v>223</v>
      </c>
      <c r="B223" s="2"/>
      <c r="C223" s="2" t="s">
        <v>413</v>
      </c>
      <c r="D223" s="2" t="s">
        <v>438</v>
      </c>
      <c r="E223" s="2" t="s">
        <v>431</v>
      </c>
      <c r="F223" s="2">
        <v>3082118794</v>
      </c>
      <c r="G223" s="3"/>
      <c r="H223" s="3"/>
      <c r="I223" s="3"/>
      <c r="J223" s="12">
        <f t="shared" si="25"/>
        <v>0</v>
      </c>
      <c r="K223" s="4"/>
      <c r="L223" s="4"/>
      <c r="M223" s="4"/>
      <c r="N223" s="13">
        <f t="shared" si="26"/>
        <v>0</v>
      </c>
      <c r="O223" s="5">
        <v>0</v>
      </c>
      <c r="P223" s="5"/>
      <c r="Q223" s="5"/>
      <c r="R223" s="14">
        <f t="shared" si="27"/>
        <v>0</v>
      </c>
      <c r="S223" s="9">
        <v>18000</v>
      </c>
      <c r="T223" s="10">
        <v>5000</v>
      </c>
      <c r="U223" s="10" t="s">
        <v>986</v>
      </c>
      <c r="V223" s="7">
        <v>5000</v>
      </c>
      <c r="W223" s="7" t="s">
        <v>1639</v>
      </c>
      <c r="X223" s="6"/>
      <c r="Y223" s="6"/>
      <c r="Z223" s="8"/>
      <c r="AA223" s="8"/>
      <c r="AB223" s="10"/>
      <c r="AC223" s="10"/>
      <c r="AD223" s="15">
        <f t="shared" si="28"/>
        <v>8000</v>
      </c>
      <c r="AE223" s="11"/>
      <c r="AF223" s="11"/>
      <c r="AG223" s="11"/>
      <c r="AH223" s="16">
        <f t="shared" si="29"/>
        <v>8000</v>
      </c>
    </row>
    <row r="224" spans="1:34" ht="30" x14ac:dyDescent="0.25">
      <c r="A224" s="2">
        <v>224</v>
      </c>
      <c r="B224" s="2"/>
      <c r="C224" s="2" t="s">
        <v>1748</v>
      </c>
      <c r="D224" s="2" t="s">
        <v>233</v>
      </c>
      <c r="E224" s="2" t="s">
        <v>431</v>
      </c>
      <c r="F224" s="2"/>
      <c r="G224" s="3"/>
      <c r="H224" s="3"/>
      <c r="I224" s="3"/>
      <c r="J224" s="12">
        <f t="shared" si="25"/>
        <v>0</v>
      </c>
      <c r="K224" s="4"/>
      <c r="L224" s="4"/>
      <c r="M224" s="4"/>
      <c r="N224" s="13">
        <f t="shared" si="26"/>
        <v>0</v>
      </c>
      <c r="O224" s="5">
        <v>5000</v>
      </c>
      <c r="P224" s="5">
        <v>0</v>
      </c>
      <c r="Q224" s="5"/>
      <c r="R224" s="14"/>
      <c r="S224" s="9">
        <v>15000</v>
      </c>
      <c r="T224" s="10">
        <v>5000</v>
      </c>
      <c r="U224" s="10" t="s">
        <v>1100</v>
      </c>
      <c r="V224" s="7">
        <v>8000</v>
      </c>
      <c r="W224" s="7" t="s">
        <v>1749</v>
      </c>
      <c r="X224" s="6"/>
      <c r="Y224" s="6"/>
      <c r="Z224" s="8"/>
      <c r="AA224" s="8"/>
      <c r="AB224" s="10"/>
      <c r="AC224" s="10"/>
      <c r="AD224" s="15">
        <f t="shared" si="28"/>
        <v>2000</v>
      </c>
      <c r="AE224" s="11"/>
      <c r="AF224" s="11"/>
      <c r="AG224" s="11"/>
      <c r="AH224" s="16">
        <f t="shared" si="29"/>
        <v>2000</v>
      </c>
    </row>
    <row r="225" spans="1:34" ht="30" x14ac:dyDescent="0.25">
      <c r="A225" s="2">
        <v>225</v>
      </c>
      <c r="B225" s="2"/>
      <c r="C225" s="2" t="s">
        <v>414</v>
      </c>
      <c r="D225" s="2" t="s">
        <v>250</v>
      </c>
      <c r="E225" s="2" t="s">
        <v>431</v>
      </c>
      <c r="F225" s="2"/>
      <c r="G225" s="3"/>
      <c r="H225" s="3"/>
      <c r="I225" s="3"/>
      <c r="J225" s="12">
        <f t="shared" si="25"/>
        <v>0</v>
      </c>
      <c r="K225" s="4"/>
      <c r="L225" s="4"/>
      <c r="M225" s="4"/>
      <c r="N225" s="13">
        <f t="shared" si="26"/>
        <v>0</v>
      </c>
      <c r="O225" s="5">
        <v>5000</v>
      </c>
      <c r="P225" s="5"/>
      <c r="Q225" s="5"/>
      <c r="R225" s="14">
        <f t="shared" si="27"/>
        <v>5000</v>
      </c>
      <c r="S225" s="9">
        <v>18000</v>
      </c>
      <c r="T225" s="10">
        <v>5000</v>
      </c>
      <c r="U225" s="10" t="s">
        <v>1272</v>
      </c>
      <c r="V225" s="7"/>
      <c r="W225" s="7"/>
      <c r="X225" s="6"/>
      <c r="Y225" s="6"/>
      <c r="Z225" s="8"/>
      <c r="AA225" s="8"/>
      <c r="AB225" s="10"/>
      <c r="AC225" s="10"/>
      <c r="AD225" s="15">
        <f t="shared" si="28"/>
        <v>13000</v>
      </c>
      <c r="AE225" s="11"/>
      <c r="AF225" s="11"/>
      <c r="AG225" s="11"/>
      <c r="AH225" s="16">
        <f t="shared" si="29"/>
        <v>18000</v>
      </c>
    </row>
    <row r="226" spans="1:34" ht="30" x14ac:dyDescent="0.25">
      <c r="A226" s="2">
        <v>226</v>
      </c>
      <c r="B226" s="2"/>
      <c r="C226" s="2" t="s">
        <v>415</v>
      </c>
      <c r="D226" s="2" t="s">
        <v>416</v>
      </c>
      <c r="E226" s="2" t="s">
        <v>431</v>
      </c>
      <c r="F226" s="2">
        <v>3017400512</v>
      </c>
      <c r="G226" s="3"/>
      <c r="H226" s="3"/>
      <c r="I226" s="3"/>
      <c r="J226" s="12">
        <f t="shared" si="25"/>
        <v>0</v>
      </c>
      <c r="K226" s="4"/>
      <c r="L226" s="4"/>
      <c r="M226" s="4"/>
      <c r="N226" s="13">
        <f t="shared" si="26"/>
        <v>0</v>
      </c>
      <c r="O226" s="5">
        <v>5000</v>
      </c>
      <c r="P226" s="5"/>
      <c r="Q226" s="5"/>
      <c r="R226" s="14">
        <f t="shared" si="27"/>
        <v>5000</v>
      </c>
      <c r="S226" s="9">
        <v>20000</v>
      </c>
      <c r="T226" s="10">
        <v>5000</v>
      </c>
      <c r="U226" s="10" t="s">
        <v>1349</v>
      </c>
      <c r="V226" s="7">
        <v>5000</v>
      </c>
      <c r="W226" s="7" t="s">
        <v>1637</v>
      </c>
      <c r="X226" s="6"/>
      <c r="Y226" s="6"/>
      <c r="Z226" s="8"/>
      <c r="AA226" s="8"/>
      <c r="AB226" s="10"/>
      <c r="AC226" s="10"/>
      <c r="AD226" s="15">
        <f t="shared" si="28"/>
        <v>10000</v>
      </c>
      <c r="AE226" s="11"/>
      <c r="AF226" s="11"/>
      <c r="AG226" s="11"/>
      <c r="AH226" s="16">
        <f t="shared" si="29"/>
        <v>15000</v>
      </c>
    </row>
    <row r="227" spans="1:34" ht="30" x14ac:dyDescent="0.25">
      <c r="A227" s="2">
        <v>227</v>
      </c>
      <c r="B227" s="2"/>
      <c r="C227" s="2" t="s">
        <v>54</v>
      </c>
      <c r="D227" s="2" t="s">
        <v>417</v>
      </c>
      <c r="E227" s="2" t="s">
        <v>431</v>
      </c>
      <c r="F227" s="2"/>
      <c r="G227" s="3"/>
      <c r="H227" s="3"/>
      <c r="I227" s="3"/>
      <c r="J227" s="12">
        <f t="shared" si="25"/>
        <v>0</v>
      </c>
      <c r="K227" s="4"/>
      <c r="L227" s="4"/>
      <c r="M227" s="4"/>
      <c r="N227" s="13">
        <f t="shared" si="26"/>
        <v>0</v>
      </c>
      <c r="O227" s="5">
        <v>5000</v>
      </c>
      <c r="P227" s="5"/>
      <c r="Q227" s="5"/>
      <c r="R227" s="14">
        <f t="shared" si="27"/>
        <v>5000</v>
      </c>
      <c r="S227" s="9">
        <v>15000</v>
      </c>
      <c r="T227" s="10">
        <v>5000</v>
      </c>
      <c r="U227" s="10" t="s">
        <v>1340</v>
      </c>
      <c r="V227" s="7"/>
      <c r="W227" s="7"/>
      <c r="X227" s="6"/>
      <c r="Y227" s="6"/>
      <c r="Z227" s="8"/>
      <c r="AA227" s="8"/>
      <c r="AB227" s="10"/>
      <c r="AC227" s="10"/>
      <c r="AD227" s="15">
        <f t="shared" si="28"/>
        <v>10000</v>
      </c>
      <c r="AE227" s="11"/>
      <c r="AF227" s="11"/>
      <c r="AG227" s="11"/>
      <c r="AH227" s="16">
        <f t="shared" si="29"/>
        <v>15000</v>
      </c>
    </row>
    <row r="228" spans="1:34" ht="30" x14ac:dyDescent="0.25">
      <c r="A228" s="2">
        <v>228</v>
      </c>
      <c r="B228" s="2"/>
      <c r="C228" s="2" t="s">
        <v>418</v>
      </c>
      <c r="D228" s="2" t="s">
        <v>437</v>
      </c>
      <c r="E228" s="2" t="s">
        <v>431</v>
      </c>
      <c r="F228" s="2">
        <v>3487135109</v>
      </c>
      <c r="G228" s="3"/>
      <c r="H228" s="3"/>
      <c r="I228" s="3"/>
      <c r="J228" s="12">
        <f t="shared" si="25"/>
        <v>0</v>
      </c>
      <c r="K228" s="4"/>
      <c r="L228" s="4"/>
      <c r="M228" s="4"/>
      <c r="N228" s="13">
        <f t="shared" si="26"/>
        <v>0</v>
      </c>
      <c r="O228" s="5">
        <v>5000</v>
      </c>
      <c r="P228" s="5"/>
      <c r="Q228" s="5"/>
      <c r="R228" s="14">
        <f t="shared" si="27"/>
        <v>5000</v>
      </c>
      <c r="S228" s="9">
        <v>18000</v>
      </c>
      <c r="T228" s="10">
        <v>5000</v>
      </c>
      <c r="U228" s="10" t="s">
        <v>1331</v>
      </c>
      <c r="V228" s="7">
        <v>5000</v>
      </c>
      <c r="W228" s="7" t="s">
        <v>1828</v>
      </c>
      <c r="X228" s="6"/>
      <c r="Y228" s="6"/>
      <c r="Z228" s="8"/>
      <c r="AA228" s="8"/>
      <c r="AB228" s="10"/>
      <c r="AC228" s="10"/>
      <c r="AD228" s="15">
        <f t="shared" si="28"/>
        <v>8000</v>
      </c>
      <c r="AE228" s="11"/>
      <c r="AF228" s="11"/>
      <c r="AG228" s="11"/>
      <c r="AH228" s="16">
        <f t="shared" si="29"/>
        <v>13000</v>
      </c>
    </row>
    <row r="229" spans="1:34" ht="30" x14ac:dyDescent="0.25">
      <c r="A229" s="2">
        <v>229</v>
      </c>
      <c r="B229" s="2"/>
      <c r="C229" s="2" t="s">
        <v>419</v>
      </c>
      <c r="D229" s="2" t="s">
        <v>436</v>
      </c>
      <c r="E229" s="2" t="s">
        <v>431</v>
      </c>
      <c r="F229" s="2">
        <v>3015816550</v>
      </c>
      <c r="G229" s="3"/>
      <c r="H229" s="3"/>
      <c r="I229" s="3"/>
      <c r="J229" s="12">
        <f t="shared" si="25"/>
        <v>0</v>
      </c>
      <c r="K229" s="4"/>
      <c r="L229" s="4"/>
      <c r="M229" s="4"/>
      <c r="N229" s="13">
        <f t="shared" si="26"/>
        <v>0</v>
      </c>
      <c r="O229" s="5">
        <v>5000</v>
      </c>
      <c r="P229" s="5"/>
      <c r="Q229" s="5"/>
      <c r="R229" s="14">
        <f t="shared" si="27"/>
        <v>5000</v>
      </c>
      <c r="S229" s="9">
        <v>7000</v>
      </c>
      <c r="T229" s="10">
        <v>3000</v>
      </c>
      <c r="U229" s="10" t="s">
        <v>1347</v>
      </c>
      <c r="V229" s="7"/>
      <c r="W229" s="7"/>
      <c r="X229" s="6"/>
      <c r="Y229" s="6"/>
      <c r="Z229" s="8"/>
      <c r="AA229" s="8"/>
      <c r="AB229" s="10"/>
      <c r="AC229" s="10"/>
      <c r="AD229" s="15">
        <f t="shared" si="28"/>
        <v>4000</v>
      </c>
      <c r="AE229" s="11"/>
      <c r="AF229" s="11"/>
      <c r="AG229" s="11"/>
      <c r="AH229" s="16">
        <f t="shared" si="29"/>
        <v>9000</v>
      </c>
    </row>
    <row r="230" spans="1:34" ht="30" x14ac:dyDescent="0.25">
      <c r="A230" s="2">
        <v>230</v>
      </c>
      <c r="B230" s="2"/>
      <c r="C230" s="2" t="s">
        <v>420</v>
      </c>
      <c r="D230" s="2" t="s">
        <v>162</v>
      </c>
      <c r="E230" s="2" t="s">
        <v>431</v>
      </c>
      <c r="F230" s="2">
        <v>3468430282</v>
      </c>
      <c r="G230" s="3"/>
      <c r="H230" s="3"/>
      <c r="I230" s="3"/>
      <c r="J230" s="12">
        <f t="shared" si="25"/>
        <v>0</v>
      </c>
      <c r="K230" s="4"/>
      <c r="L230" s="4"/>
      <c r="M230" s="4"/>
      <c r="N230" s="13">
        <f t="shared" si="26"/>
        <v>0</v>
      </c>
      <c r="O230" s="5">
        <v>5000</v>
      </c>
      <c r="P230" s="5"/>
      <c r="Q230" s="5"/>
      <c r="R230" s="14">
        <f t="shared" si="27"/>
        <v>5000</v>
      </c>
      <c r="S230" s="9">
        <v>15000</v>
      </c>
      <c r="T230" s="10">
        <v>5000</v>
      </c>
      <c r="U230" s="10" t="s">
        <v>1356</v>
      </c>
      <c r="V230" s="7"/>
      <c r="W230" s="7"/>
      <c r="X230" s="6"/>
      <c r="Y230" s="6"/>
      <c r="Z230" s="8"/>
      <c r="AA230" s="8"/>
      <c r="AB230" s="10"/>
      <c r="AC230" s="10"/>
      <c r="AD230" s="15">
        <f t="shared" si="28"/>
        <v>10000</v>
      </c>
      <c r="AE230" s="11"/>
      <c r="AF230" s="11"/>
      <c r="AG230" s="11"/>
      <c r="AH230" s="16">
        <f t="shared" si="29"/>
        <v>15000</v>
      </c>
    </row>
    <row r="231" spans="1:34" ht="30" x14ac:dyDescent="0.25">
      <c r="A231" s="2">
        <v>231</v>
      </c>
      <c r="B231" s="2"/>
      <c r="C231" s="2" t="s">
        <v>434</v>
      </c>
      <c r="D231" s="2" t="s">
        <v>421</v>
      </c>
      <c r="E231" s="2" t="s">
        <v>431</v>
      </c>
      <c r="F231" s="2">
        <v>3136165337</v>
      </c>
      <c r="G231" s="3"/>
      <c r="H231" s="3"/>
      <c r="I231" s="3"/>
      <c r="J231" s="12">
        <f t="shared" si="25"/>
        <v>0</v>
      </c>
      <c r="K231" s="4"/>
      <c r="L231" s="4"/>
      <c r="M231" s="4"/>
      <c r="N231" s="13">
        <f t="shared" si="26"/>
        <v>0</v>
      </c>
      <c r="O231" s="5">
        <v>5000</v>
      </c>
      <c r="P231" s="5"/>
      <c r="Q231" s="5"/>
      <c r="R231" s="14">
        <f t="shared" si="27"/>
        <v>5000</v>
      </c>
      <c r="S231" s="9">
        <v>12000</v>
      </c>
      <c r="T231" s="10">
        <v>12000</v>
      </c>
      <c r="U231" s="10" t="s">
        <v>1352</v>
      </c>
      <c r="V231" s="7"/>
      <c r="W231" s="7"/>
      <c r="X231" s="6"/>
      <c r="Y231" s="6"/>
      <c r="Z231" s="8"/>
      <c r="AA231" s="8"/>
      <c r="AB231" s="10"/>
      <c r="AC231" s="10"/>
      <c r="AD231" s="15">
        <f t="shared" si="28"/>
        <v>0</v>
      </c>
      <c r="AE231" s="11"/>
      <c r="AF231" s="11"/>
      <c r="AG231" s="11"/>
      <c r="AH231" s="16">
        <f t="shared" si="29"/>
        <v>5000</v>
      </c>
    </row>
    <row r="232" spans="1:34" ht="30" x14ac:dyDescent="0.25">
      <c r="A232" s="2">
        <v>232</v>
      </c>
      <c r="B232" s="2"/>
      <c r="C232" s="2" t="s">
        <v>422</v>
      </c>
      <c r="D232" s="2" t="s">
        <v>111</v>
      </c>
      <c r="E232" s="2" t="s">
        <v>431</v>
      </c>
      <c r="F232" s="2">
        <v>3017410810</v>
      </c>
      <c r="G232" s="3"/>
      <c r="H232" s="3"/>
      <c r="I232" s="3"/>
      <c r="J232" s="12">
        <f t="shared" si="25"/>
        <v>0</v>
      </c>
      <c r="K232" s="4"/>
      <c r="L232" s="4"/>
      <c r="M232" s="4"/>
      <c r="N232" s="13">
        <f t="shared" si="26"/>
        <v>0</v>
      </c>
      <c r="O232" s="5">
        <v>5000</v>
      </c>
      <c r="P232" s="5"/>
      <c r="Q232" s="5"/>
      <c r="R232" s="14">
        <f t="shared" si="27"/>
        <v>5000</v>
      </c>
      <c r="S232" s="9">
        <v>8000</v>
      </c>
      <c r="T232" s="10">
        <v>3000</v>
      </c>
      <c r="U232" s="10" t="s">
        <v>1402</v>
      </c>
      <c r="V232" s="7">
        <v>3000</v>
      </c>
      <c r="W232" s="7" t="s">
        <v>1543</v>
      </c>
      <c r="X232" s="6"/>
      <c r="Y232" s="6"/>
      <c r="Z232" s="8"/>
      <c r="AA232" s="8"/>
      <c r="AB232" s="10"/>
      <c r="AC232" s="10"/>
      <c r="AD232" s="15">
        <f t="shared" si="28"/>
        <v>2000</v>
      </c>
      <c r="AE232" s="11"/>
      <c r="AF232" s="11"/>
      <c r="AG232" s="11"/>
      <c r="AH232" s="16">
        <f t="shared" si="29"/>
        <v>7000</v>
      </c>
    </row>
    <row r="233" spans="1:34" ht="30" x14ac:dyDescent="0.25">
      <c r="A233" s="2">
        <v>233</v>
      </c>
      <c r="B233" s="2"/>
      <c r="C233" s="2" t="s">
        <v>423</v>
      </c>
      <c r="D233" s="2" t="s">
        <v>435</v>
      </c>
      <c r="E233" s="2" t="s">
        <v>431</v>
      </c>
      <c r="F233" s="2">
        <v>3458032841</v>
      </c>
      <c r="G233" s="3"/>
      <c r="H233" s="3"/>
      <c r="I233" s="3"/>
      <c r="J233" s="12">
        <f t="shared" si="25"/>
        <v>0</v>
      </c>
      <c r="K233" s="4"/>
      <c r="L233" s="4"/>
      <c r="M233" s="4"/>
      <c r="N233" s="13">
        <f t="shared" si="26"/>
        <v>0</v>
      </c>
      <c r="O233" s="5">
        <v>5000</v>
      </c>
      <c r="P233" s="5"/>
      <c r="Q233" s="5"/>
      <c r="R233" s="14">
        <f t="shared" si="27"/>
        <v>5000</v>
      </c>
      <c r="S233" s="9">
        <v>20000</v>
      </c>
      <c r="T233" s="10">
        <v>7000</v>
      </c>
      <c r="U233" s="10" t="s">
        <v>1354</v>
      </c>
      <c r="V233" s="7">
        <v>5000</v>
      </c>
      <c r="W233" s="7" t="s">
        <v>1655</v>
      </c>
      <c r="X233" s="6"/>
      <c r="Y233" s="6"/>
      <c r="Z233" s="8"/>
      <c r="AA233" s="8"/>
      <c r="AB233" s="10"/>
      <c r="AC233" s="10"/>
      <c r="AD233" s="15">
        <f t="shared" si="28"/>
        <v>8000</v>
      </c>
      <c r="AE233" s="11"/>
      <c r="AF233" s="11"/>
      <c r="AG233" s="11"/>
      <c r="AH233" s="16">
        <f t="shared" si="29"/>
        <v>13000</v>
      </c>
    </row>
    <row r="234" spans="1:34" ht="30" x14ac:dyDescent="0.25">
      <c r="A234" s="2">
        <v>234</v>
      </c>
      <c r="B234" s="2"/>
      <c r="C234" s="2" t="s">
        <v>424</v>
      </c>
      <c r="D234" s="2" t="s">
        <v>341</v>
      </c>
      <c r="E234" s="2" t="s">
        <v>431</v>
      </c>
      <c r="F234" s="2"/>
      <c r="G234" s="3"/>
      <c r="H234" s="3"/>
      <c r="I234" s="3"/>
      <c r="J234" s="12">
        <f t="shared" si="25"/>
        <v>0</v>
      </c>
      <c r="K234" s="4"/>
      <c r="L234" s="4"/>
      <c r="M234" s="4"/>
      <c r="N234" s="13">
        <f t="shared" si="26"/>
        <v>0</v>
      </c>
      <c r="O234" s="5"/>
      <c r="P234" s="5"/>
      <c r="Q234" s="5"/>
      <c r="R234" s="14">
        <f t="shared" si="27"/>
        <v>0</v>
      </c>
      <c r="S234" s="9"/>
      <c r="T234" s="10">
        <v>6000</v>
      </c>
      <c r="U234" s="10" t="s">
        <v>1473</v>
      </c>
      <c r="V234" s="7">
        <v>10000</v>
      </c>
      <c r="W234" s="7" t="s">
        <v>1538</v>
      </c>
      <c r="X234" s="6"/>
      <c r="Y234" s="6"/>
      <c r="Z234" s="8"/>
      <c r="AA234" s="8"/>
      <c r="AB234" s="10"/>
      <c r="AC234" s="10"/>
      <c r="AD234" s="15">
        <f t="shared" si="28"/>
        <v>-16000</v>
      </c>
      <c r="AE234" s="11"/>
      <c r="AF234" s="11"/>
      <c r="AG234" s="11"/>
      <c r="AH234" s="16">
        <f t="shared" si="29"/>
        <v>-16000</v>
      </c>
    </row>
    <row r="235" spans="1:34" ht="30" x14ac:dyDescent="0.25">
      <c r="A235" s="2">
        <v>235</v>
      </c>
      <c r="B235" s="2"/>
      <c r="C235" s="2" t="s">
        <v>425</v>
      </c>
      <c r="D235" s="2" t="s">
        <v>426</v>
      </c>
      <c r="E235" s="2" t="s">
        <v>431</v>
      </c>
      <c r="F235" s="2">
        <v>3038378169</v>
      </c>
      <c r="G235" s="3"/>
      <c r="H235" s="3"/>
      <c r="I235" s="3"/>
      <c r="J235" s="12">
        <f t="shared" si="25"/>
        <v>0</v>
      </c>
      <c r="K235" s="4"/>
      <c r="L235" s="4"/>
      <c r="M235" s="4"/>
      <c r="N235" s="13">
        <f t="shared" si="26"/>
        <v>0</v>
      </c>
      <c r="O235" s="5">
        <v>5000</v>
      </c>
      <c r="P235" s="5"/>
      <c r="Q235" s="5"/>
      <c r="R235" s="14">
        <f t="shared" si="27"/>
        <v>5000</v>
      </c>
      <c r="S235" s="9">
        <v>20000</v>
      </c>
      <c r="T235" s="10">
        <v>5000</v>
      </c>
      <c r="U235" s="10" t="s">
        <v>1397</v>
      </c>
      <c r="V235" s="7"/>
      <c r="W235" s="7"/>
      <c r="X235" s="6"/>
      <c r="Y235" s="6"/>
      <c r="Z235" s="8"/>
      <c r="AA235" s="8"/>
      <c r="AB235" s="10"/>
      <c r="AC235" s="10"/>
      <c r="AD235" s="15">
        <f t="shared" si="28"/>
        <v>15000</v>
      </c>
      <c r="AE235" s="11"/>
      <c r="AF235" s="11"/>
      <c r="AG235" s="11"/>
      <c r="AH235" s="16">
        <f t="shared" si="29"/>
        <v>20000</v>
      </c>
    </row>
    <row r="236" spans="1:34" ht="30" x14ac:dyDescent="0.25">
      <c r="A236" s="2">
        <v>236</v>
      </c>
      <c r="B236" s="2"/>
      <c r="C236" s="2" t="s">
        <v>427</v>
      </c>
      <c r="D236" s="2" t="s">
        <v>87</v>
      </c>
      <c r="E236" s="2" t="s">
        <v>431</v>
      </c>
      <c r="F236" s="2">
        <v>3467811143</v>
      </c>
      <c r="G236" s="3"/>
      <c r="H236" s="3"/>
      <c r="I236" s="3"/>
      <c r="J236" s="12">
        <f t="shared" si="25"/>
        <v>0</v>
      </c>
      <c r="K236" s="4"/>
      <c r="L236" s="4"/>
      <c r="M236" s="4"/>
      <c r="N236" s="13">
        <f t="shared" si="26"/>
        <v>0</v>
      </c>
      <c r="O236" s="5">
        <v>5000</v>
      </c>
      <c r="P236" s="5"/>
      <c r="Q236" s="5"/>
      <c r="R236" s="14">
        <f t="shared" si="27"/>
        <v>5000</v>
      </c>
      <c r="S236" s="9">
        <v>15000</v>
      </c>
      <c r="T236" s="10">
        <v>5000</v>
      </c>
      <c r="U236" s="10" t="s">
        <v>1426</v>
      </c>
      <c r="V236" s="7">
        <v>5000</v>
      </c>
      <c r="W236" s="7" t="s">
        <v>1795</v>
      </c>
      <c r="X236" s="6"/>
      <c r="Y236" s="6"/>
      <c r="Z236" s="8"/>
      <c r="AA236" s="8"/>
      <c r="AB236" s="10"/>
      <c r="AC236" s="10"/>
      <c r="AD236" s="15">
        <f t="shared" si="28"/>
        <v>5000</v>
      </c>
      <c r="AE236" s="11"/>
      <c r="AF236" s="11"/>
      <c r="AG236" s="11"/>
      <c r="AH236" s="16">
        <f t="shared" si="29"/>
        <v>10000</v>
      </c>
    </row>
    <row r="237" spans="1:34" ht="45" x14ac:dyDescent="0.25">
      <c r="A237" s="2">
        <v>237</v>
      </c>
      <c r="B237" s="2"/>
      <c r="C237" s="2" t="s">
        <v>428</v>
      </c>
      <c r="D237" s="2" t="s">
        <v>1449</v>
      </c>
      <c r="E237" s="2" t="s">
        <v>431</v>
      </c>
      <c r="F237" s="2">
        <v>3003522184</v>
      </c>
      <c r="G237" s="3"/>
      <c r="H237" s="3"/>
      <c r="I237" s="3"/>
      <c r="J237" s="12">
        <f t="shared" si="25"/>
        <v>0</v>
      </c>
      <c r="K237" s="4"/>
      <c r="L237" s="4"/>
      <c r="M237" s="4"/>
      <c r="N237" s="13">
        <f t="shared" si="26"/>
        <v>0</v>
      </c>
      <c r="O237" s="5">
        <v>5000</v>
      </c>
      <c r="P237" s="5"/>
      <c r="Q237" s="5"/>
      <c r="R237" s="14">
        <f t="shared" si="27"/>
        <v>5000</v>
      </c>
      <c r="S237" s="9">
        <v>25000</v>
      </c>
      <c r="T237" s="10">
        <v>5000</v>
      </c>
      <c r="U237" s="10" t="s">
        <v>1450</v>
      </c>
      <c r="V237" s="7"/>
      <c r="W237" s="7"/>
      <c r="X237" s="6"/>
      <c r="Y237" s="6"/>
      <c r="Z237" s="8"/>
      <c r="AA237" s="8"/>
      <c r="AB237" s="10"/>
      <c r="AC237" s="10"/>
      <c r="AD237" s="15">
        <f t="shared" si="28"/>
        <v>20000</v>
      </c>
      <c r="AE237" s="11"/>
      <c r="AF237" s="11"/>
      <c r="AG237" s="11"/>
      <c r="AH237" s="16">
        <f t="shared" si="29"/>
        <v>25000</v>
      </c>
    </row>
    <row r="238" spans="1:34" ht="30" x14ac:dyDescent="0.25">
      <c r="A238" s="2">
        <v>238</v>
      </c>
      <c r="B238" s="2"/>
      <c r="C238" s="2" t="s">
        <v>429</v>
      </c>
      <c r="D238" s="2" t="s">
        <v>430</v>
      </c>
      <c r="E238" s="2" t="s">
        <v>431</v>
      </c>
      <c r="F238" s="2"/>
      <c r="G238" s="3"/>
      <c r="H238" s="3"/>
      <c r="I238" s="3"/>
      <c r="J238" s="12">
        <f t="shared" si="25"/>
        <v>0</v>
      </c>
      <c r="K238" s="4"/>
      <c r="L238" s="4"/>
      <c r="M238" s="4"/>
      <c r="N238" s="13">
        <f t="shared" si="26"/>
        <v>0</v>
      </c>
      <c r="O238" s="5"/>
      <c r="P238" s="5"/>
      <c r="Q238" s="5"/>
      <c r="R238" s="14">
        <f t="shared" si="27"/>
        <v>0</v>
      </c>
      <c r="S238" s="9"/>
      <c r="T238" s="10"/>
      <c r="U238" s="10"/>
      <c r="V238" s="7"/>
      <c r="W238" s="7"/>
      <c r="X238" s="6"/>
      <c r="Y238" s="6"/>
      <c r="Z238" s="8"/>
      <c r="AA238" s="8"/>
      <c r="AB238" s="10"/>
      <c r="AC238" s="10"/>
      <c r="AD238" s="15">
        <f t="shared" si="28"/>
        <v>0</v>
      </c>
      <c r="AE238" s="11"/>
      <c r="AF238" s="11"/>
      <c r="AG238" s="11"/>
      <c r="AH238" s="16">
        <f t="shared" si="29"/>
        <v>0</v>
      </c>
    </row>
    <row r="239" spans="1:34" ht="30" x14ac:dyDescent="0.25">
      <c r="A239" s="2">
        <v>239</v>
      </c>
      <c r="B239" s="2"/>
      <c r="C239" s="2" t="s">
        <v>446</v>
      </c>
      <c r="D239" s="2" t="s">
        <v>518</v>
      </c>
      <c r="E239" s="2" t="s">
        <v>496</v>
      </c>
      <c r="F239" s="2">
        <v>3006895454</v>
      </c>
      <c r="G239" s="3"/>
      <c r="H239" s="3"/>
      <c r="I239" s="3"/>
      <c r="J239" s="12">
        <f t="shared" si="25"/>
        <v>0</v>
      </c>
      <c r="K239" s="4"/>
      <c r="L239" s="4"/>
      <c r="M239" s="4"/>
      <c r="N239" s="13">
        <f t="shared" si="26"/>
        <v>0</v>
      </c>
      <c r="O239" s="5">
        <v>0</v>
      </c>
      <c r="P239" s="5">
        <v>0</v>
      </c>
      <c r="Q239" s="5"/>
      <c r="R239" s="14">
        <f t="shared" si="27"/>
        <v>0</v>
      </c>
      <c r="S239" s="9">
        <v>18000</v>
      </c>
      <c r="T239" s="10">
        <v>5000</v>
      </c>
      <c r="U239" s="10" t="s">
        <v>964</v>
      </c>
      <c r="V239" s="7">
        <v>10000</v>
      </c>
      <c r="W239" s="7" t="s">
        <v>1375</v>
      </c>
      <c r="X239" s="6"/>
      <c r="Y239" s="6"/>
      <c r="Z239" s="8"/>
      <c r="AA239" s="8"/>
      <c r="AB239" s="10"/>
      <c r="AC239" s="10"/>
      <c r="AD239" s="15">
        <f t="shared" si="28"/>
        <v>3000</v>
      </c>
      <c r="AE239" s="11"/>
      <c r="AF239" s="11"/>
      <c r="AG239" s="11"/>
      <c r="AH239" s="16">
        <f t="shared" si="29"/>
        <v>3000</v>
      </c>
    </row>
    <row r="240" spans="1:34" ht="30" x14ac:dyDescent="0.25">
      <c r="A240" s="2">
        <v>240</v>
      </c>
      <c r="B240" s="2"/>
      <c r="C240" s="2" t="s">
        <v>447</v>
      </c>
      <c r="D240" s="2" t="s">
        <v>42</v>
      </c>
      <c r="E240" s="2" t="s">
        <v>496</v>
      </c>
      <c r="F240" s="2">
        <v>3002936917</v>
      </c>
      <c r="G240" s="3"/>
      <c r="H240" s="3"/>
      <c r="I240" s="3"/>
      <c r="J240" s="12">
        <f t="shared" si="25"/>
        <v>0</v>
      </c>
      <c r="K240" s="4"/>
      <c r="L240" s="4"/>
      <c r="M240" s="4"/>
      <c r="N240" s="13">
        <f t="shared" si="26"/>
        <v>0</v>
      </c>
      <c r="O240" s="5">
        <v>0</v>
      </c>
      <c r="P240" s="5">
        <v>0</v>
      </c>
      <c r="Q240" s="5"/>
      <c r="R240" s="14">
        <f t="shared" si="27"/>
        <v>0</v>
      </c>
      <c r="S240" s="9">
        <v>18000</v>
      </c>
      <c r="T240" s="10">
        <v>5000</v>
      </c>
      <c r="U240" s="10" t="s">
        <v>970</v>
      </c>
      <c r="V240" s="7">
        <v>5000</v>
      </c>
      <c r="W240" s="7" t="s">
        <v>1247</v>
      </c>
      <c r="X240" s="6"/>
      <c r="Y240" s="6"/>
      <c r="Z240" s="8"/>
      <c r="AA240" s="8"/>
      <c r="AB240" s="10"/>
      <c r="AC240" s="10"/>
      <c r="AD240" s="15">
        <f t="shared" si="28"/>
        <v>8000</v>
      </c>
      <c r="AE240" s="11"/>
      <c r="AF240" s="11"/>
      <c r="AG240" s="11"/>
      <c r="AH240" s="16">
        <f t="shared" si="29"/>
        <v>8000</v>
      </c>
    </row>
    <row r="241" spans="1:34" ht="30" x14ac:dyDescent="0.25">
      <c r="A241" s="2">
        <v>241</v>
      </c>
      <c r="B241" s="2"/>
      <c r="C241" s="2" t="s">
        <v>448</v>
      </c>
      <c r="D241" s="2" t="s">
        <v>135</v>
      </c>
      <c r="E241" s="2" t="s">
        <v>496</v>
      </c>
      <c r="F241" s="2">
        <v>3008393870</v>
      </c>
      <c r="G241" s="3"/>
      <c r="H241" s="3"/>
      <c r="I241" s="3"/>
      <c r="J241" s="12">
        <f t="shared" si="25"/>
        <v>0</v>
      </c>
      <c r="K241" s="4"/>
      <c r="L241" s="4"/>
      <c r="M241" s="4"/>
      <c r="N241" s="13">
        <f t="shared" si="26"/>
        <v>0</v>
      </c>
      <c r="O241" s="5">
        <v>0</v>
      </c>
      <c r="P241" s="5">
        <v>0</v>
      </c>
      <c r="Q241" s="5"/>
      <c r="R241" s="14">
        <f t="shared" si="27"/>
        <v>0</v>
      </c>
      <c r="S241" s="9">
        <v>20000</v>
      </c>
      <c r="T241" s="10">
        <v>5000</v>
      </c>
      <c r="U241" s="10" t="s">
        <v>1010</v>
      </c>
      <c r="V241" s="7">
        <v>3000</v>
      </c>
      <c r="W241" s="7" t="s">
        <v>1618</v>
      </c>
      <c r="X241" s="6"/>
      <c r="Y241" s="6"/>
      <c r="Z241" s="8"/>
      <c r="AA241" s="8"/>
      <c r="AB241" s="10"/>
      <c r="AC241" s="10"/>
      <c r="AD241" s="15">
        <f t="shared" si="28"/>
        <v>12000</v>
      </c>
      <c r="AE241" s="11"/>
      <c r="AF241" s="11"/>
      <c r="AG241" s="11"/>
      <c r="AH241" s="16">
        <f t="shared" si="29"/>
        <v>12000</v>
      </c>
    </row>
    <row r="242" spans="1:34" ht="30" x14ac:dyDescent="0.25">
      <c r="A242" s="2">
        <v>242</v>
      </c>
      <c r="B242" s="2"/>
      <c r="C242" s="2" t="s">
        <v>449</v>
      </c>
      <c r="D242" s="2" t="s">
        <v>498</v>
      </c>
      <c r="E242" s="2" t="s">
        <v>496</v>
      </c>
      <c r="F242" s="2">
        <v>301783850</v>
      </c>
      <c r="G242" s="3"/>
      <c r="H242" s="3"/>
      <c r="I242" s="3"/>
      <c r="J242" s="12">
        <f t="shared" si="25"/>
        <v>0</v>
      </c>
      <c r="K242" s="4"/>
      <c r="L242" s="4"/>
      <c r="M242" s="4"/>
      <c r="N242" s="13">
        <f t="shared" si="26"/>
        <v>0</v>
      </c>
      <c r="O242" s="5">
        <v>0</v>
      </c>
      <c r="P242" s="5">
        <v>0</v>
      </c>
      <c r="Q242" s="5"/>
      <c r="R242" s="14">
        <f t="shared" si="27"/>
        <v>0</v>
      </c>
      <c r="S242" s="9">
        <v>22000</v>
      </c>
      <c r="T242" s="10">
        <v>10000</v>
      </c>
      <c r="U242" s="10" t="s">
        <v>1015</v>
      </c>
      <c r="V242" s="7"/>
      <c r="W242" s="7"/>
      <c r="X242" s="6"/>
      <c r="Y242" s="6"/>
      <c r="Z242" s="8"/>
      <c r="AA242" s="8"/>
      <c r="AB242" s="10"/>
      <c r="AC242" s="10"/>
      <c r="AD242" s="15">
        <f t="shared" si="28"/>
        <v>12000</v>
      </c>
      <c r="AE242" s="11"/>
      <c r="AF242" s="11"/>
      <c r="AG242" s="11"/>
      <c r="AH242" s="16">
        <f t="shared" si="29"/>
        <v>12000</v>
      </c>
    </row>
    <row r="243" spans="1:34" ht="30" x14ac:dyDescent="0.25">
      <c r="A243" s="2">
        <v>243</v>
      </c>
      <c r="B243" s="2"/>
      <c r="C243" s="2" t="s">
        <v>450</v>
      </c>
      <c r="D243" s="2" t="s">
        <v>1018</v>
      </c>
      <c r="E243" s="2" t="s">
        <v>496</v>
      </c>
      <c r="F243" s="2">
        <v>3006392320</v>
      </c>
      <c r="G243" s="3"/>
      <c r="H243" s="3"/>
      <c r="I243" s="3"/>
      <c r="J243" s="12">
        <f t="shared" si="25"/>
        <v>0</v>
      </c>
      <c r="K243" s="4"/>
      <c r="L243" s="4"/>
      <c r="M243" s="4"/>
      <c r="N243" s="13">
        <f t="shared" si="26"/>
        <v>0</v>
      </c>
      <c r="O243" s="5">
        <v>0</v>
      </c>
      <c r="P243" s="5">
        <v>0</v>
      </c>
      <c r="Q243" s="5"/>
      <c r="R243" s="14">
        <f t="shared" si="27"/>
        <v>0</v>
      </c>
      <c r="S243" s="9">
        <v>27000</v>
      </c>
      <c r="T243" s="10">
        <v>5000</v>
      </c>
      <c r="U243" s="10" t="s">
        <v>1019</v>
      </c>
      <c r="V243" s="7">
        <v>5000</v>
      </c>
      <c r="W243" s="7" t="s">
        <v>1736</v>
      </c>
      <c r="X243" s="6"/>
      <c r="Y243" s="6"/>
      <c r="Z243" s="8"/>
      <c r="AA243" s="8"/>
      <c r="AB243" s="10"/>
      <c r="AC243" s="10"/>
      <c r="AD243" s="15">
        <f t="shared" si="28"/>
        <v>17000</v>
      </c>
      <c r="AE243" s="11"/>
      <c r="AF243" s="11"/>
      <c r="AG243" s="11"/>
      <c r="AH243" s="16">
        <f t="shared" si="29"/>
        <v>17000</v>
      </c>
    </row>
    <row r="244" spans="1:34" ht="30" x14ac:dyDescent="0.25">
      <c r="A244" s="2">
        <v>244</v>
      </c>
      <c r="B244" s="2"/>
      <c r="C244" s="2" t="s">
        <v>451</v>
      </c>
      <c r="D244" s="2" t="s">
        <v>517</v>
      </c>
      <c r="E244" s="2" t="s">
        <v>496</v>
      </c>
      <c r="F244" s="2">
        <v>3077594829</v>
      </c>
      <c r="G244" s="3"/>
      <c r="H244" s="3"/>
      <c r="I244" s="3"/>
      <c r="J244" s="12">
        <f t="shared" si="25"/>
        <v>0</v>
      </c>
      <c r="K244" s="4"/>
      <c r="L244" s="4"/>
      <c r="M244" s="4"/>
      <c r="N244" s="13">
        <f t="shared" si="26"/>
        <v>0</v>
      </c>
      <c r="O244" s="5">
        <v>0</v>
      </c>
      <c r="P244" s="5">
        <v>0</v>
      </c>
      <c r="Q244" s="5"/>
      <c r="R244" s="14">
        <f t="shared" si="27"/>
        <v>0</v>
      </c>
      <c r="S244" s="9">
        <v>15000</v>
      </c>
      <c r="T244" s="10">
        <v>5000</v>
      </c>
      <c r="U244" s="10" t="s">
        <v>1086</v>
      </c>
      <c r="V244" s="7">
        <v>5000</v>
      </c>
      <c r="W244" s="7" t="s">
        <v>1663</v>
      </c>
      <c r="X244" s="6"/>
      <c r="Y244" s="6"/>
      <c r="Z244" s="8"/>
      <c r="AA244" s="8"/>
      <c r="AB244" s="10"/>
      <c r="AC244" s="10"/>
      <c r="AD244" s="15">
        <f t="shared" si="28"/>
        <v>5000</v>
      </c>
      <c r="AE244" s="11"/>
      <c r="AF244" s="11"/>
      <c r="AG244" s="11"/>
      <c r="AH244" s="16">
        <f t="shared" si="29"/>
        <v>5000</v>
      </c>
    </row>
    <row r="245" spans="1:34" ht="30" x14ac:dyDescent="0.25">
      <c r="A245" s="2">
        <v>245</v>
      </c>
      <c r="B245" s="2"/>
      <c r="C245" s="2" t="s">
        <v>452</v>
      </c>
      <c r="D245" s="2" t="s">
        <v>1192</v>
      </c>
      <c r="E245" s="2" t="s">
        <v>496</v>
      </c>
      <c r="F245" s="2">
        <v>3076383840</v>
      </c>
      <c r="G245" s="3"/>
      <c r="H245" s="3"/>
      <c r="I245" s="3"/>
      <c r="J245" s="12">
        <f t="shared" si="25"/>
        <v>0</v>
      </c>
      <c r="K245" s="4"/>
      <c r="L245" s="4"/>
      <c r="M245" s="4"/>
      <c r="N245" s="13">
        <f t="shared" si="26"/>
        <v>0</v>
      </c>
      <c r="O245" s="5">
        <v>2000</v>
      </c>
      <c r="P245" s="5">
        <v>2000</v>
      </c>
      <c r="Q245" s="5" t="s">
        <v>1752</v>
      </c>
      <c r="R245" s="14">
        <f t="shared" si="27"/>
        <v>0</v>
      </c>
      <c r="S245" s="9">
        <v>17000</v>
      </c>
      <c r="T245" s="10">
        <v>4000</v>
      </c>
      <c r="U245" s="10" t="s">
        <v>1193</v>
      </c>
      <c r="V245" s="7">
        <v>5000</v>
      </c>
      <c r="W245" s="7" t="s">
        <v>1579</v>
      </c>
      <c r="X245" s="6"/>
      <c r="Y245" s="6"/>
      <c r="Z245" s="8"/>
      <c r="AA245" s="8"/>
      <c r="AB245" s="10"/>
      <c r="AC245" s="10"/>
      <c r="AD245" s="15">
        <f t="shared" si="28"/>
        <v>8000</v>
      </c>
      <c r="AE245" s="11"/>
      <c r="AF245" s="11"/>
      <c r="AG245" s="11"/>
      <c r="AH245" s="16">
        <f t="shared" si="29"/>
        <v>8000</v>
      </c>
    </row>
    <row r="246" spans="1:34" ht="30" x14ac:dyDescent="0.25">
      <c r="A246" s="2">
        <v>246</v>
      </c>
      <c r="B246" s="2"/>
      <c r="C246" s="2" t="s">
        <v>453</v>
      </c>
      <c r="D246" s="2" t="s">
        <v>437</v>
      </c>
      <c r="E246" s="2" t="s">
        <v>496</v>
      </c>
      <c r="F246" s="2">
        <v>3455632421</v>
      </c>
      <c r="G246" s="3"/>
      <c r="H246" s="3"/>
      <c r="I246" s="3"/>
      <c r="J246" s="12">
        <f t="shared" si="25"/>
        <v>0</v>
      </c>
      <c r="K246" s="4"/>
      <c r="L246" s="4"/>
      <c r="M246" s="4"/>
      <c r="N246" s="13">
        <f t="shared" si="26"/>
        <v>0</v>
      </c>
      <c r="O246" s="5">
        <v>0</v>
      </c>
      <c r="P246" s="5">
        <v>0</v>
      </c>
      <c r="Q246" s="5"/>
      <c r="R246" s="14">
        <f t="shared" si="27"/>
        <v>0</v>
      </c>
      <c r="S246" s="9">
        <v>26000</v>
      </c>
      <c r="T246" s="10">
        <v>5000</v>
      </c>
      <c r="U246" s="10" t="s">
        <v>1096</v>
      </c>
      <c r="V246" s="7">
        <v>7000</v>
      </c>
      <c r="W246" s="7" t="s">
        <v>1522</v>
      </c>
      <c r="X246" s="6"/>
      <c r="Y246" s="6"/>
      <c r="Z246" s="8"/>
      <c r="AA246" s="8"/>
      <c r="AB246" s="10"/>
      <c r="AC246" s="10"/>
      <c r="AD246" s="15">
        <f t="shared" si="28"/>
        <v>14000</v>
      </c>
      <c r="AE246" s="11"/>
      <c r="AF246" s="11"/>
      <c r="AG246" s="11"/>
      <c r="AH246" s="16">
        <f t="shared" si="29"/>
        <v>14000</v>
      </c>
    </row>
    <row r="247" spans="1:34" ht="30" x14ac:dyDescent="0.25">
      <c r="A247" s="2">
        <v>247</v>
      </c>
      <c r="B247" s="2"/>
      <c r="C247" s="2" t="s">
        <v>454</v>
      </c>
      <c r="D247" s="2" t="s">
        <v>516</v>
      </c>
      <c r="E247" s="2" t="s">
        <v>496</v>
      </c>
      <c r="F247" s="2">
        <v>3017190654</v>
      </c>
      <c r="G247" s="3"/>
      <c r="H247" s="3"/>
      <c r="I247" s="3"/>
      <c r="J247" s="12">
        <f t="shared" si="25"/>
        <v>0</v>
      </c>
      <c r="K247" s="4"/>
      <c r="L247" s="4"/>
      <c r="M247" s="4"/>
      <c r="N247" s="13">
        <f t="shared" si="26"/>
        <v>0</v>
      </c>
      <c r="O247" s="5">
        <v>0</v>
      </c>
      <c r="P247" s="5"/>
      <c r="Q247" s="5"/>
      <c r="R247" s="14">
        <f t="shared" si="27"/>
        <v>0</v>
      </c>
      <c r="S247" s="9">
        <v>20000</v>
      </c>
      <c r="T247" s="10">
        <v>5000</v>
      </c>
      <c r="U247" s="10" t="s">
        <v>1108</v>
      </c>
      <c r="V247" s="7">
        <v>5000</v>
      </c>
      <c r="W247" s="7" t="s">
        <v>1831</v>
      </c>
      <c r="X247" s="6"/>
      <c r="Y247" s="6"/>
      <c r="Z247" s="8"/>
      <c r="AA247" s="8"/>
      <c r="AB247" s="10"/>
      <c r="AC247" s="10"/>
      <c r="AD247" s="15">
        <f t="shared" si="28"/>
        <v>10000</v>
      </c>
      <c r="AE247" s="11"/>
      <c r="AF247" s="11"/>
      <c r="AG247" s="11"/>
      <c r="AH247" s="16">
        <f t="shared" si="29"/>
        <v>10000</v>
      </c>
    </row>
    <row r="248" spans="1:34" ht="30" x14ac:dyDescent="0.25">
      <c r="A248" s="2">
        <v>248</v>
      </c>
      <c r="B248" s="2"/>
      <c r="C248" s="2" t="s">
        <v>455</v>
      </c>
      <c r="D248" s="2" t="s">
        <v>61</v>
      </c>
      <c r="E248" s="2" t="s">
        <v>496</v>
      </c>
      <c r="F248" s="2"/>
      <c r="G248" s="3"/>
      <c r="H248" s="3"/>
      <c r="I248" s="3"/>
      <c r="J248" s="12">
        <f t="shared" si="25"/>
        <v>0</v>
      </c>
      <c r="K248" s="4"/>
      <c r="L248" s="4"/>
      <c r="M248" s="4"/>
      <c r="N248" s="13">
        <f t="shared" si="26"/>
        <v>0</v>
      </c>
      <c r="O248" s="5"/>
      <c r="P248" s="5"/>
      <c r="Q248" s="5"/>
      <c r="R248" s="14">
        <f t="shared" si="27"/>
        <v>0</v>
      </c>
      <c r="S248" s="9"/>
      <c r="T248" s="10"/>
      <c r="U248" s="10"/>
      <c r="V248" s="7">
        <v>5000</v>
      </c>
      <c r="W248" s="7" t="s">
        <v>1493</v>
      </c>
      <c r="X248" s="6"/>
      <c r="Y248" s="6"/>
      <c r="Z248" s="8"/>
      <c r="AA248" s="8"/>
      <c r="AB248" s="10"/>
      <c r="AC248" s="10"/>
      <c r="AD248" s="15">
        <f t="shared" si="28"/>
        <v>-5000</v>
      </c>
      <c r="AE248" s="11"/>
      <c r="AF248" s="11"/>
      <c r="AG248" s="11"/>
      <c r="AH248" s="16">
        <f t="shared" si="29"/>
        <v>-5000</v>
      </c>
    </row>
    <row r="249" spans="1:34" ht="30" x14ac:dyDescent="0.25">
      <c r="A249" s="2">
        <v>249</v>
      </c>
      <c r="B249" s="2"/>
      <c r="C249" s="2" t="s">
        <v>456</v>
      </c>
      <c r="D249" s="2" t="s">
        <v>1104</v>
      </c>
      <c r="E249" s="2" t="s">
        <v>496</v>
      </c>
      <c r="F249" s="2">
        <v>3006892668</v>
      </c>
      <c r="G249" s="3"/>
      <c r="H249" s="3"/>
      <c r="I249" s="3"/>
      <c r="J249" s="12">
        <f t="shared" si="25"/>
        <v>0</v>
      </c>
      <c r="K249" s="4"/>
      <c r="L249" s="4"/>
      <c r="M249" s="4"/>
      <c r="N249" s="13">
        <f t="shared" si="26"/>
        <v>0</v>
      </c>
      <c r="O249" s="5">
        <v>5000</v>
      </c>
      <c r="P249" s="5"/>
      <c r="Q249" s="5"/>
      <c r="R249" s="14">
        <f t="shared" si="27"/>
        <v>5000</v>
      </c>
      <c r="S249" s="9">
        <v>13000</v>
      </c>
      <c r="T249" s="10">
        <v>5000</v>
      </c>
      <c r="U249" s="10" t="s">
        <v>1105</v>
      </c>
      <c r="V249" s="7">
        <v>5000</v>
      </c>
      <c r="W249" s="7" t="s">
        <v>1561</v>
      </c>
      <c r="X249" s="6"/>
      <c r="Y249" s="6"/>
      <c r="Z249" s="8"/>
      <c r="AA249" s="8"/>
      <c r="AB249" s="10"/>
      <c r="AC249" s="10"/>
      <c r="AD249" s="15">
        <f t="shared" si="28"/>
        <v>3000</v>
      </c>
      <c r="AE249" s="11"/>
      <c r="AF249" s="11"/>
      <c r="AG249" s="11"/>
      <c r="AH249" s="16">
        <f t="shared" si="29"/>
        <v>8000</v>
      </c>
    </row>
    <row r="250" spans="1:34" ht="30" x14ac:dyDescent="0.25">
      <c r="A250" s="2">
        <v>250</v>
      </c>
      <c r="B250" s="2"/>
      <c r="C250" s="2" t="s">
        <v>457</v>
      </c>
      <c r="D250" s="2" t="s">
        <v>306</v>
      </c>
      <c r="E250" s="2" t="s">
        <v>496</v>
      </c>
      <c r="F250" s="2">
        <v>3017824441</v>
      </c>
      <c r="G250" s="3"/>
      <c r="H250" s="3"/>
      <c r="I250" s="3"/>
      <c r="J250" s="12">
        <f t="shared" si="25"/>
        <v>0</v>
      </c>
      <c r="K250" s="4"/>
      <c r="L250" s="4"/>
      <c r="M250" s="4"/>
      <c r="N250" s="13">
        <f t="shared" si="26"/>
        <v>0</v>
      </c>
      <c r="O250" s="5">
        <v>5000</v>
      </c>
      <c r="P250" s="5"/>
      <c r="Q250" s="5"/>
      <c r="R250" s="14">
        <f t="shared" si="27"/>
        <v>5000</v>
      </c>
      <c r="S250" s="9">
        <v>24000</v>
      </c>
      <c r="T250" s="10">
        <v>6000</v>
      </c>
      <c r="U250" s="10" t="s">
        <v>1131</v>
      </c>
      <c r="V250" s="7">
        <v>5000</v>
      </c>
      <c r="W250" s="7" t="s">
        <v>1610</v>
      </c>
      <c r="X250" s="6"/>
      <c r="Y250" s="6"/>
      <c r="Z250" s="8"/>
      <c r="AA250" s="8"/>
      <c r="AB250" s="10"/>
      <c r="AC250" s="10"/>
      <c r="AD250" s="15">
        <f t="shared" si="28"/>
        <v>13000</v>
      </c>
      <c r="AE250" s="11"/>
      <c r="AF250" s="11"/>
      <c r="AG250" s="11"/>
      <c r="AH250" s="16">
        <f t="shared" si="29"/>
        <v>18000</v>
      </c>
    </row>
    <row r="251" spans="1:34" ht="21" x14ac:dyDescent="0.25">
      <c r="A251" s="2">
        <v>251</v>
      </c>
      <c r="B251" s="2"/>
      <c r="C251" s="2" t="s">
        <v>458</v>
      </c>
      <c r="D251" s="2" t="s">
        <v>130</v>
      </c>
      <c r="E251" s="2" t="s">
        <v>496</v>
      </c>
      <c r="F251" s="2"/>
      <c r="G251" s="3"/>
      <c r="H251" s="3"/>
      <c r="I251" s="3"/>
      <c r="J251" s="12">
        <f t="shared" si="25"/>
        <v>0</v>
      </c>
      <c r="K251" s="4"/>
      <c r="L251" s="4"/>
      <c r="M251" s="4"/>
      <c r="N251" s="13">
        <f t="shared" si="26"/>
        <v>0</v>
      </c>
      <c r="O251" s="5"/>
      <c r="P251" s="5"/>
      <c r="Q251" s="5"/>
      <c r="R251" s="14">
        <f t="shared" si="27"/>
        <v>0</v>
      </c>
      <c r="S251" s="9"/>
      <c r="T251" s="10"/>
      <c r="U251" s="10"/>
      <c r="V251" s="7"/>
      <c r="W251" s="7"/>
      <c r="X251" s="6"/>
      <c r="Y251" s="6"/>
      <c r="Z251" s="8"/>
      <c r="AA251" s="8"/>
      <c r="AB251" s="10"/>
      <c r="AC251" s="10"/>
      <c r="AD251" s="15">
        <f t="shared" si="28"/>
        <v>0</v>
      </c>
      <c r="AE251" s="11"/>
      <c r="AF251" s="11"/>
      <c r="AG251" s="11"/>
      <c r="AH251" s="16">
        <f t="shared" si="29"/>
        <v>0</v>
      </c>
    </row>
    <row r="252" spans="1:34" ht="30" x14ac:dyDescent="0.25">
      <c r="A252" s="2">
        <v>252</v>
      </c>
      <c r="B252" s="2"/>
      <c r="C252" s="2" t="s">
        <v>459</v>
      </c>
      <c r="D252" s="2" t="s">
        <v>514</v>
      </c>
      <c r="E252" s="2" t="s">
        <v>496</v>
      </c>
      <c r="F252" s="2">
        <v>3038946562</v>
      </c>
      <c r="G252" s="3"/>
      <c r="H252" s="3"/>
      <c r="I252" s="3"/>
      <c r="J252" s="12">
        <f t="shared" si="25"/>
        <v>0</v>
      </c>
      <c r="K252" s="4"/>
      <c r="L252" s="4"/>
      <c r="M252" s="4"/>
      <c r="N252" s="13">
        <f t="shared" si="26"/>
        <v>0</v>
      </c>
      <c r="O252" s="5">
        <v>5000</v>
      </c>
      <c r="P252" s="5"/>
      <c r="Q252" s="5"/>
      <c r="R252" s="14">
        <f t="shared" si="27"/>
        <v>5000</v>
      </c>
      <c r="S252" s="9">
        <v>10000</v>
      </c>
      <c r="T252" s="10">
        <v>2000</v>
      </c>
      <c r="U252" s="10" t="s">
        <v>983</v>
      </c>
      <c r="V252" s="7">
        <v>2000</v>
      </c>
      <c r="W252" s="7" t="s">
        <v>1228</v>
      </c>
      <c r="X252" s="6">
        <v>4000</v>
      </c>
      <c r="Y252" s="6" t="s">
        <v>1732</v>
      </c>
      <c r="Z252" s="8"/>
      <c r="AA252" s="8"/>
      <c r="AB252" s="10"/>
      <c r="AC252" s="10"/>
      <c r="AD252" s="15">
        <f t="shared" si="28"/>
        <v>2000</v>
      </c>
      <c r="AE252" s="11"/>
      <c r="AF252" s="11"/>
      <c r="AG252" s="11"/>
      <c r="AH252" s="16">
        <f t="shared" si="29"/>
        <v>7000</v>
      </c>
    </row>
    <row r="253" spans="1:34" ht="30" x14ac:dyDescent="0.25">
      <c r="A253" s="2">
        <v>253</v>
      </c>
      <c r="B253" s="2"/>
      <c r="C253" s="2" t="s">
        <v>460</v>
      </c>
      <c r="D253" s="2" t="s">
        <v>497</v>
      </c>
      <c r="E253" s="2" t="s">
        <v>496</v>
      </c>
      <c r="F253" s="2">
        <v>3447151762</v>
      </c>
      <c r="G253" s="3"/>
      <c r="H253" s="3"/>
      <c r="I253" s="3"/>
      <c r="J253" s="12">
        <f t="shared" si="25"/>
        <v>0</v>
      </c>
      <c r="K253" s="4"/>
      <c r="L253" s="4"/>
      <c r="M253" s="4"/>
      <c r="N253" s="13">
        <f t="shared" si="26"/>
        <v>0</v>
      </c>
      <c r="O253" s="5">
        <v>0</v>
      </c>
      <c r="P253" s="5">
        <v>0</v>
      </c>
      <c r="Q253" s="5">
        <v>0</v>
      </c>
      <c r="R253" s="14">
        <f t="shared" si="27"/>
        <v>0</v>
      </c>
      <c r="S253" s="9">
        <v>20000</v>
      </c>
      <c r="T253" s="10">
        <v>5000</v>
      </c>
      <c r="U253" s="10" t="s">
        <v>1001</v>
      </c>
      <c r="V253" s="7"/>
      <c r="W253" s="7"/>
      <c r="X253" s="6"/>
      <c r="Y253" s="6"/>
      <c r="Z253" s="8"/>
      <c r="AA253" s="8"/>
      <c r="AB253" s="10"/>
      <c r="AC253" s="10"/>
      <c r="AD253" s="15">
        <f t="shared" si="28"/>
        <v>15000</v>
      </c>
      <c r="AE253" s="11"/>
      <c r="AF253" s="11"/>
      <c r="AG253" s="11"/>
      <c r="AH253" s="16">
        <f t="shared" si="29"/>
        <v>15000</v>
      </c>
    </row>
    <row r="254" spans="1:34" ht="30" x14ac:dyDescent="0.25">
      <c r="A254" s="2">
        <v>254</v>
      </c>
      <c r="B254" s="2"/>
      <c r="C254" s="2" t="s">
        <v>461</v>
      </c>
      <c r="D254" s="2" t="s">
        <v>513</v>
      </c>
      <c r="E254" s="2" t="s">
        <v>496</v>
      </c>
      <c r="F254" s="2">
        <v>3002234650</v>
      </c>
      <c r="G254" s="3"/>
      <c r="H254" s="3"/>
      <c r="I254" s="3"/>
      <c r="J254" s="12">
        <f t="shared" si="25"/>
        <v>0</v>
      </c>
      <c r="K254" s="4"/>
      <c r="L254" s="4"/>
      <c r="M254" s="4"/>
      <c r="N254" s="13">
        <f t="shared" si="26"/>
        <v>0</v>
      </c>
      <c r="O254" s="5">
        <v>5000</v>
      </c>
      <c r="P254" s="5"/>
      <c r="Q254" s="5"/>
      <c r="R254" s="14">
        <f t="shared" si="27"/>
        <v>5000</v>
      </c>
      <c r="S254" s="9">
        <v>22000</v>
      </c>
      <c r="T254" s="10">
        <v>5000</v>
      </c>
      <c r="U254" s="10" t="s">
        <v>1216</v>
      </c>
      <c r="V254" s="7">
        <v>5000</v>
      </c>
      <c r="W254" s="7" t="s">
        <v>1415</v>
      </c>
      <c r="X254" s="6"/>
      <c r="Y254" s="6"/>
      <c r="Z254" s="8"/>
      <c r="AA254" s="8"/>
      <c r="AB254" s="10"/>
      <c r="AC254" s="10"/>
      <c r="AD254" s="15">
        <f t="shared" si="28"/>
        <v>12000</v>
      </c>
      <c r="AE254" s="11"/>
      <c r="AF254" s="11"/>
      <c r="AG254" s="11"/>
      <c r="AH254" s="16">
        <f t="shared" si="29"/>
        <v>17000</v>
      </c>
    </row>
    <row r="255" spans="1:34" ht="30" x14ac:dyDescent="0.25">
      <c r="A255" s="2">
        <v>255</v>
      </c>
      <c r="B255" s="2"/>
      <c r="C255" s="2" t="s">
        <v>511</v>
      </c>
      <c r="D255" s="2" t="s">
        <v>512</v>
      </c>
      <c r="E255" s="2" t="s">
        <v>496</v>
      </c>
      <c r="F255" s="2">
        <v>3008392802</v>
      </c>
      <c r="G255" s="3"/>
      <c r="H255" s="3"/>
      <c r="I255" s="3"/>
      <c r="J255" s="12">
        <f t="shared" si="25"/>
        <v>0</v>
      </c>
      <c r="K255" s="4"/>
      <c r="L255" s="4"/>
      <c r="M255" s="4"/>
      <c r="N255" s="13">
        <f t="shared" si="26"/>
        <v>0</v>
      </c>
      <c r="O255" s="5">
        <v>6000</v>
      </c>
      <c r="P255" s="5">
        <v>1000</v>
      </c>
      <c r="Q255" s="5" t="s">
        <v>1462</v>
      </c>
      <c r="R255" s="14">
        <f t="shared" si="27"/>
        <v>5000</v>
      </c>
      <c r="S255" s="9">
        <v>0</v>
      </c>
      <c r="T255" s="10">
        <v>0</v>
      </c>
      <c r="U255" s="10">
        <v>0</v>
      </c>
      <c r="V255" s="7"/>
      <c r="W255" s="7"/>
      <c r="X255" s="6"/>
      <c r="Y255" s="6"/>
      <c r="Z255" s="8"/>
      <c r="AA255" s="8"/>
      <c r="AB255" s="10"/>
      <c r="AC255" s="10"/>
      <c r="AD255" s="15">
        <f t="shared" si="28"/>
        <v>0</v>
      </c>
      <c r="AE255" s="11"/>
      <c r="AF255" s="11"/>
      <c r="AG255" s="11"/>
      <c r="AH255" s="16">
        <f t="shared" si="29"/>
        <v>5000</v>
      </c>
    </row>
    <row r="256" spans="1:34" ht="30" x14ac:dyDescent="0.25">
      <c r="A256" s="2">
        <v>256</v>
      </c>
      <c r="B256" s="2"/>
      <c r="C256" s="2" t="s">
        <v>462</v>
      </c>
      <c r="D256" s="2" t="s">
        <v>506</v>
      </c>
      <c r="E256" s="2" t="s">
        <v>496</v>
      </c>
      <c r="F256" s="2"/>
      <c r="G256" s="3"/>
      <c r="H256" s="3"/>
      <c r="I256" s="3"/>
      <c r="J256" s="12">
        <f t="shared" si="25"/>
        <v>0</v>
      </c>
      <c r="K256" s="4"/>
      <c r="L256" s="4"/>
      <c r="M256" s="4"/>
      <c r="N256" s="13">
        <f t="shared" si="26"/>
        <v>0</v>
      </c>
      <c r="O256" s="5">
        <v>5000</v>
      </c>
      <c r="P256" s="5"/>
      <c r="Q256" s="5"/>
      <c r="R256" s="14">
        <f t="shared" si="27"/>
        <v>5000</v>
      </c>
      <c r="S256" s="9">
        <v>10000</v>
      </c>
      <c r="T256" s="10">
        <v>5000</v>
      </c>
      <c r="U256" s="10" t="s">
        <v>1173</v>
      </c>
      <c r="V256" s="7">
        <v>5000</v>
      </c>
      <c r="W256" s="7" t="s">
        <v>1742</v>
      </c>
      <c r="X256" s="6"/>
      <c r="Y256" s="6"/>
      <c r="Z256" s="8"/>
      <c r="AA256" s="8"/>
      <c r="AB256" s="10"/>
      <c r="AC256" s="10"/>
      <c r="AD256" s="15">
        <f t="shared" si="28"/>
        <v>0</v>
      </c>
      <c r="AE256" s="11"/>
      <c r="AF256" s="11"/>
      <c r="AG256" s="11"/>
      <c r="AH256" s="16">
        <f t="shared" si="29"/>
        <v>5000</v>
      </c>
    </row>
    <row r="257" spans="1:34" ht="30" x14ac:dyDescent="0.25">
      <c r="A257" s="2">
        <v>257</v>
      </c>
      <c r="B257" s="2"/>
      <c r="C257" s="2" t="s">
        <v>463</v>
      </c>
      <c r="D257" s="2" t="s">
        <v>792</v>
      </c>
      <c r="E257" s="2" t="s">
        <v>496</v>
      </c>
      <c r="F257" s="2">
        <v>3046830145</v>
      </c>
      <c r="G257" s="3"/>
      <c r="H257" s="3"/>
      <c r="I257" s="3"/>
      <c r="J257" s="12">
        <f t="shared" si="25"/>
        <v>0</v>
      </c>
      <c r="K257" s="4"/>
      <c r="L257" s="4"/>
      <c r="M257" s="4"/>
      <c r="N257" s="13">
        <f t="shared" si="26"/>
        <v>0</v>
      </c>
      <c r="O257" s="5">
        <v>5000</v>
      </c>
      <c r="P257" s="5"/>
      <c r="Q257" s="5"/>
      <c r="R257" s="14">
        <f t="shared" si="27"/>
        <v>5000</v>
      </c>
      <c r="S257" s="9">
        <v>12000</v>
      </c>
      <c r="T257" s="10">
        <v>5000</v>
      </c>
      <c r="U257" s="10" t="s">
        <v>1497</v>
      </c>
      <c r="V257" s="7"/>
      <c r="W257" s="7"/>
      <c r="X257" s="6"/>
      <c r="Y257" s="6"/>
      <c r="Z257" s="8"/>
      <c r="AA257" s="8"/>
      <c r="AB257" s="10"/>
      <c r="AC257" s="10"/>
      <c r="AD257" s="15">
        <f t="shared" si="28"/>
        <v>7000</v>
      </c>
      <c r="AE257" s="11"/>
      <c r="AF257" s="11"/>
      <c r="AG257" s="11"/>
      <c r="AH257" s="16">
        <f t="shared" si="29"/>
        <v>12000</v>
      </c>
    </row>
    <row r="258" spans="1:34" ht="30" x14ac:dyDescent="0.25">
      <c r="A258" s="2">
        <v>258</v>
      </c>
      <c r="B258" s="2"/>
      <c r="C258" s="2" t="s">
        <v>464</v>
      </c>
      <c r="D258" s="2" t="s">
        <v>403</v>
      </c>
      <c r="E258" s="2" t="s">
        <v>496</v>
      </c>
      <c r="F258" s="2">
        <v>3086973604</v>
      </c>
      <c r="G258" s="3"/>
      <c r="H258" s="3"/>
      <c r="I258" s="3"/>
      <c r="J258" s="12">
        <f t="shared" si="25"/>
        <v>0</v>
      </c>
      <c r="K258" s="4"/>
      <c r="L258" s="4"/>
      <c r="M258" s="4"/>
      <c r="N258" s="13">
        <f t="shared" si="26"/>
        <v>0</v>
      </c>
      <c r="O258" s="5">
        <v>5000</v>
      </c>
      <c r="P258" s="5"/>
      <c r="Q258" s="5"/>
      <c r="R258" s="14">
        <f t="shared" si="27"/>
        <v>5000</v>
      </c>
      <c r="S258" s="9">
        <v>15000</v>
      </c>
      <c r="T258" s="10">
        <v>5000</v>
      </c>
      <c r="U258" s="10" t="s">
        <v>1178</v>
      </c>
      <c r="V258" s="7">
        <v>5000</v>
      </c>
      <c r="W258" s="7" t="s">
        <v>1673</v>
      </c>
      <c r="X258" s="6"/>
      <c r="Y258" s="6"/>
      <c r="Z258" s="8"/>
      <c r="AA258" s="8"/>
      <c r="AB258" s="10"/>
      <c r="AC258" s="10"/>
      <c r="AD258" s="15">
        <f t="shared" si="28"/>
        <v>5000</v>
      </c>
      <c r="AE258" s="11"/>
      <c r="AF258" s="11"/>
      <c r="AG258" s="11"/>
      <c r="AH258" s="16">
        <f t="shared" si="29"/>
        <v>10000</v>
      </c>
    </row>
    <row r="259" spans="1:34" ht="30" x14ac:dyDescent="0.25">
      <c r="A259" s="2">
        <v>259</v>
      </c>
      <c r="B259" s="2"/>
      <c r="C259" s="2" t="s">
        <v>465</v>
      </c>
      <c r="D259" s="2" t="s">
        <v>510</v>
      </c>
      <c r="E259" s="2" t="s">
        <v>496</v>
      </c>
      <c r="F259" s="2">
        <v>3457274184</v>
      </c>
      <c r="G259" s="3"/>
      <c r="H259" s="3"/>
      <c r="I259" s="3"/>
      <c r="J259" s="12">
        <f t="shared" si="25"/>
        <v>0</v>
      </c>
      <c r="K259" s="4"/>
      <c r="L259" s="4"/>
      <c r="M259" s="4"/>
      <c r="N259" s="13">
        <f t="shared" si="26"/>
        <v>0</v>
      </c>
      <c r="O259" s="5">
        <v>5000</v>
      </c>
      <c r="P259" s="5"/>
      <c r="Q259" s="5"/>
      <c r="R259" s="14">
        <f t="shared" si="27"/>
        <v>5000</v>
      </c>
      <c r="S259" s="9">
        <v>15000</v>
      </c>
      <c r="T259" s="10">
        <v>5000</v>
      </c>
      <c r="U259" s="10" t="s">
        <v>1160</v>
      </c>
      <c r="V259" s="7">
        <v>5000</v>
      </c>
      <c r="W259" s="7" t="s">
        <v>1446</v>
      </c>
      <c r="X259" s="6"/>
      <c r="Y259" s="6"/>
      <c r="Z259" s="8"/>
      <c r="AA259" s="8"/>
      <c r="AB259" s="10"/>
      <c r="AC259" s="10"/>
      <c r="AD259" s="15">
        <f t="shared" si="28"/>
        <v>5000</v>
      </c>
      <c r="AE259" s="11"/>
      <c r="AF259" s="11"/>
      <c r="AG259" s="11"/>
      <c r="AH259" s="16">
        <f t="shared" si="29"/>
        <v>10000</v>
      </c>
    </row>
    <row r="260" spans="1:34" ht="30" x14ac:dyDescent="0.25">
      <c r="A260" s="2">
        <v>260</v>
      </c>
      <c r="B260" s="2"/>
      <c r="C260" s="2" t="s">
        <v>466</v>
      </c>
      <c r="D260" s="2" t="s">
        <v>509</v>
      </c>
      <c r="E260" s="2" t="s">
        <v>496</v>
      </c>
      <c r="F260" s="2">
        <v>3098601358</v>
      </c>
      <c r="G260" s="3"/>
      <c r="H260" s="3"/>
      <c r="I260" s="3"/>
      <c r="J260" s="12">
        <f t="shared" si="25"/>
        <v>0</v>
      </c>
      <c r="K260" s="4"/>
      <c r="L260" s="4"/>
      <c r="M260" s="4"/>
      <c r="N260" s="13">
        <f t="shared" si="26"/>
        <v>0</v>
      </c>
      <c r="O260" s="5">
        <v>5000</v>
      </c>
      <c r="P260" s="5"/>
      <c r="Q260" s="5"/>
      <c r="R260" s="14">
        <f t="shared" si="27"/>
        <v>5000</v>
      </c>
      <c r="S260" s="9">
        <v>10000</v>
      </c>
      <c r="T260" s="10">
        <v>10000</v>
      </c>
      <c r="U260" s="10" t="s">
        <v>1144</v>
      </c>
      <c r="V260" s="7"/>
      <c r="W260" s="7"/>
      <c r="X260" s="6"/>
      <c r="Y260" s="6"/>
      <c r="Z260" s="8"/>
      <c r="AA260" s="8"/>
      <c r="AB260" s="10"/>
      <c r="AC260" s="10"/>
      <c r="AD260" s="15">
        <f t="shared" si="28"/>
        <v>0</v>
      </c>
      <c r="AE260" s="11"/>
      <c r="AF260" s="11"/>
      <c r="AG260" s="11"/>
      <c r="AH260" s="16">
        <f t="shared" si="29"/>
        <v>5000</v>
      </c>
    </row>
    <row r="261" spans="1:34" ht="30" x14ac:dyDescent="0.25">
      <c r="A261" s="2">
        <v>261</v>
      </c>
      <c r="B261" s="2"/>
      <c r="C261" s="2" t="s">
        <v>467</v>
      </c>
      <c r="D261" s="2" t="s">
        <v>157</v>
      </c>
      <c r="E261" s="2" t="s">
        <v>496</v>
      </c>
      <c r="F261" s="2">
        <v>3017434779</v>
      </c>
      <c r="G261" s="3"/>
      <c r="H261" s="3"/>
      <c r="I261" s="3"/>
      <c r="J261" s="12">
        <f t="shared" si="25"/>
        <v>0</v>
      </c>
      <c r="K261" s="4"/>
      <c r="L261" s="4"/>
      <c r="M261" s="4"/>
      <c r="N261" s="13">
        <f t="shared" si="26"/>
        <v>0</v>
      </c>
      <c r="O261" s="5">
        <v>5000</v>
      </c>
      <c r="P261" s="5"/>
      <c r="Q261" s="5"/>
      <c r="R261" s="14">
        <f t="shared" si="27"/>
        <v>5000</v>
      </c>
      <c r="S261" s="9">
        <v>19000</v>
      </c>
      <c r="T261" s="10">
        <v>5000</v>
      </c>
      <c r="U261" s="10" t="s">
        <v>1129</v>
      </c>
      <c r="V261" s="7">
        <v>5000</v>
      </c>
      <c r="W261" s="7" t="s">
        <v>1740</v>
      </c>
      <c r="X261" s="6"/>
      <c r="Y261" s="6"/>
      <c r="Z261" s="8"/>
      <c r="AA261" s="8"/>
      <c r="AB261" s="10"/>
      <c r="AC261" s="10"/>
      <c r="AD261" s="15">
        <f t="shared" si="28"/>
        <v>9000</v>
      </c>
      <c r="AE261" s="11"/>
      <c r="AF261" s="11"/>
      <c r="AG261" s="11"/>
      <c r="AH261" s="16">
        <f t="shared" si="29"/>
        <v>14000</v>
      </c>
    </row>
    <row r="262" spans="1:34" ht="30" x14ac:dyDescent="0.25">
      <c r="A262" s="2">
        <v>262</v>
      </c>
      <c r="B262" s="2"/>
      <c r="C262" s="2" t="s">
        <v>468</v>
      </c>
      <c r="D262" s="2" t="s">
        <v>515</v>
      </c>
      <c r="E262" s="2" t="s">
        <v>496</v>
      </c>
      <c r="F262" s="2">
        <v>3414501730</v>
      </c>
      <c r="G262" s="3"/>
      <c r="H262" s="3"/>
      <c r="I262" s="3"/>
      <c r="J262" s="12">
        <f t="shared" si="25"/>
        <v>0</v>
      </c>
      <c r="K262" s="4"/>
      <c r="L262" s="4"/>
      <c r="M262" s="4"/>
      <c r="N262" s="13">
        <f t="shared" si="26"/>
        <v>0</v>
      </c>
      <c r="O262" s="5">
        <v>5000</v>
      </c>
      <c r="P262" s="5"/>
      <c r="Q262" s="5"/>
      <c r="R262" s="14">
        <f t="shared" si="27"/>
        <v>5000</v>
      </c>
      <c r="S262" s="9">
        <v>18000</v>
      </c>
      <c r="T262" s="10">
        <v>5000</v>
      </c>
      <c r="U262" s="10" t="s">
        <v>1110</v>
      </c>
      <c r="V262" s="7"/>
      <c r="W262" s="7"/>
      <c r="X262" s="6"/>
      <c r="Y262" s="6"/>
      <c r="Z262" s="8"/>
      <c r="AA262" s="8"/>
      <c r="AB262" s="10"/>
      <c r="AC262" s="10"/>
      <c r="AD262" s="15">
        <f t="shared" si="28"/>
        <v>13000</v>
      </c>
      <c r="AE262" s="11"/>
      <c r="AF262" s="11"/>
      <c r="AG262" s="11"/>
      <c r="AH262" s="16">
        <f t="shared" si="29"/>
        <v>18000</v>
      </c>
    </row>
    <row r="263" spans="1:34" ht="30" x14ac:dyDescent="0.25">
      <c r="A263" s="2">
        <v>263</v>
      </c>
      <c r="B263" s="2"/>
      <c r="C263" s="2" t="s">
        <v>469</v>
      </c>
      <c r="D263" s="2" t="s">
        <v>644</v>
      </c>
      <c r="E263" s="2" t="s">
        <v>496</v>
      </c>
      <c r="F263" s="2">
        <v>3012579212</v>
      </c>
      <c r="G263" s="3"/>
      <c r="H263" s="3"/>
      <c r="I263" s="3"/>
      <c r="J263" s="12">
        <f t="shared" si="25"/>
        <v>0</v>
      </c>
      <c r="K263" s="4"/>
      <c r="L263" s="4"/>
      <c r="M263" s="4"/>
      <c r="N263" s="13">
        <f t="shared" si="26"/>
        <v>0</v>
      </c>
      <c r="O263" s="5">
        <v>5000</v>
      </c>
      <c r="P263" s="5"/>
      <c r="Q263" s="5"/>
      <c r="R263" s="14">
        <f t="shared" si="27"/>
        <v>5000</v>
      </c>
      <c r="S263" s="9">
        <v>10000</v>
      </c>
      <c r="T263" s="10">
        <v>5000</v>
      </c>
      <c r="U263" s="10" t="s">
        <v>1244</v>
      </c>
      <c r="V263" s="7"/>
      <c r="W263" s="7"/>
      <c r="X263" s="6"/>
      <c r="Y263" s="6"/>
      <c r="Z263" s="8"/>
      <c r="AA263" s="8"/>
      <c r="AB263" s="10"/>
      <c r="AC263" s="10"/>
      <c r="AD263" s="15">
        <f t="shared" si="28"/>
        <v>5000</v>
      </c>
      <c r="AE263" s="11"/>
      <c r="AF263" s="11"/>
      <c r="AG263" s="11"/>
      <c r="AH263" s="16">
        <f t="shared" si="29"/>
        <v>10000</v>
      </c>
    </row>
    <row r="264" spans="1:34" ht="30" x14ac:dyDescent="0.25">
      <c r="A264" s="2">
        <v>264</v>
      </c>
      <c r="B264" s="2"/>
      <c r="C264" s="2" t="s">
        <v>470</v>
      </c>
      <c r="D264" s="2" t="s">
        <v>508</v>
      </c>
      <c r="E264" s="2" t="s">
        <v>496</v>
      </c>
      <c r="F264" s="2">
        <v>3008392802</v>
      </c>
      <c r="G264" s="3"/>
      <c r="H264" s="3"/>
      <c r="I264" s="3"/>
      <c r="J264" s="12">
        <f t="shared" si="25"/>
        <v>0</v>
      </c>
      <c r="K264" s="4"/>
      <c r="L264" s="4"/>
      <c r="M264" s="4"/>
      <c r="N264" s="13">
        <f t="shared" si="26"/>
        <v>0</v>
      </c>
      <c r="O264" s="5">
        <v>6000</v>
      </c>
      <c r="P264" s="5">
        <v>1000</v>
      </c>
      <c r="Q264" s="5" t="s">
        <v>1602</v>
      </c>
      <c r="R264" s="14">
        <f t="shared" si="27"/>
        <v>5000</v>
      </c>
      <c r="S264" s="9">
        <v>0</v>
      </c>
      <c r="T264" s="10">
        <v>0</v>
      </c>
      <c r="U264" s="10">
        <v>0</v>
      </c>
      <c r="V264" s="7"/>
      <c r="W264" s="7"/>
      <c r="X264" s="6"/>
      <c r="Y264" s="6"/>
      <c r="Z264" s="8"/>
      <c r="AA264" s="8"/>
      <c r="AB264" s="10"/>
      <c r="AC264" s="10"/>
      <c r="AD264" s="15">
        <f t="shared" si="28"/>
        <v>0</v>
      </c>
      <c r="AE264" s="11"/>
      <c r="AF264" s="11"/>
      <c r="AG264" s="11"/>
      <c r="AH264" s="16">
        <f t="shared" si="29"/>
        <v>5000</v>
      </c>
    </row>
    <row r="265" spans="1:34" ht="30" x14ac:dyDescent="0.25">
      <c r="A265" s="2">
        <v>265</v>
      </c>
      <c r="B265" s="2"/>
      <c r="C265" s="2" t="s">
        <v>471</v>
      </c>
      <c r="D265" s="2" t="s">
        <v>215</v>
      </c>
      <c r="E265" s="2" t="s">
        <v>496</v>
      </c>
      <c r="F265" s="2">
        <v>3027818878</v>
      </c>
      <c r="G265" s="3"/>
      <c r="H265" s="3"/>
      <c r="I265" s="3"/>
      <c r="J265" s="12">
        <f t="shared" ref="J265:J303" si="30">G265-H265</f>
        <v>0</v>
      </c>
      <c r="K265" s="4"/>
      <c r="L265" s="4"/>
      <c r="M265" s="4"/>
      <c r="N265" s="13">
        <f t="shared" ref="N265:N303" si="31">K265-L265</f>
        <v>0</v>
      </c>
      <c r="O265" s="5">
        <v>5000</v>
      </c>
      <c r="P265" s="5"/>
      <c r="Q265" s="5"/>
      <c r="R265" s="14">
        <f t="shared" ref="R265:R303" si="32">O265-P265</f>
        <v>5000</v>
      </c>
      <c r="S265" s="9">
        <v>12000</v>
      </c>
      <c r="T265" s="10">
        <v>2000</v>
      </c>
      <c r="U265" s="10" t="s">
        <v>1257</v>
      </c>
      <c r="V265" s="7">
        <v>4000</v>
      </c>
      <c r="W265" s="7" t="s">
        <v>1587</v>
      </c>
      <c r="X265" s="6"/>
      <c r="Y265" s="6"/>
      <c r="Z265" s="8"/>
      <c r="AA265" s="8"/>
      <c r="AB265" s="10"/>
      <c r="AC265" s="10"/>
      <c r="AD265" s="15">
        <f t="shared" ref="AD265:AD303" si="33">S265-T265-V265-X265-Z265-AB265</f>
        <v>6000</v>
      </c>
      <c r="AE265" s="11"/>
      <c r="AF265" s="11"/>
      <c r="AG265" s="11"/>
      <c r="AH265" s="16">
        <f t="shared" ref="AH265:AH303" si="34">AD265+R265+N265+J265-AE265+AF265</f>
        <v>11000</v>
      </c>
    </row>
    <row r="266" spans="1:34" ht="30" x14ac:dyDescent="0.25">
      <c r="A266" s="2">
        <v>266</v>
      </c>
      <c r="B266" s="2"/>
      <c r="C266" s="2" t="s">
        <v>472</v>
      </c>
      <c r="D266" s="2" t="s">
        <v>507</v>
      </c>
      <c r="E266" s="2" t="s">
        <v>496</v>
      </c>
      <c r="F266" s="2">
        <v>3017502986</v>
      </c>
      <c r="G266" s="3"/>
      <c r="H266" s="3"/>
      <c r="I266" s="3"/>
      <c r="J266" s="12">
        <f t="shared" si="30"/>
        <v>0</v>
      </c>
      <c r="K266" s="4"/>
      <c r="L266" s="4"/>
      <c r="M266" s="4"/>
      <c r="N266" s="13">
        <f t="shared" si="31"/>
        <v>0</v>
      </c>
      <c r="O266" s="5">
        <v>5000</v>
      </c>
      <c r="P266" s="5"/>
      <c r="Q266" s="5"/>
      <c r="R266" s="14">
        <f t="shared" si="32"/>
        <v>5000</v>
      </c>
      <c r="S266" s="9">
        <v>10000</v>
      </c>
      <c r="T266" s="10">
        <v>2000</v>
      </c>
      <c r="U266" s="10" t="s">
        <v>1248</v>
      </c>
      <c r="V266" s="7">
        <v>3000</v>
      </c>
      <c r="W266" s="7" t="s">
        <v>1607</v>
      </c>
      <c r="X266" s="6"/>
      <c r="Y266" s="6"/>
      <c r="Z266" s="8"/>
      <c r="AA266" s="8"/>
      <c r="AB266" s="10"/>
      <c r="AC266" s="10"/>
      <c r="AD266" s="15">
        <f t="shared" si="33"/>
        <v>5000</v>
      </c>
      <c r="AE266" s="11"/>
      <c r="AF266" s="11"/>
      <c r="AG266" s="11"/>
      <c r="AH266" s="16">
        <f t="shared" si="34"/>
        <v>10000</v>
      </c>
    </row>
    <row r="267" spans="1:34" ht="30" x14ac:dyDescent="0.25">
      <c r="A267" s="2">
        <v>267</v>
      </c>
      <c r="B267" s="2"/>
      <c r="C267" s="2" t="s">
        <v>473</v>
      </c>
      <c r="D267" s="2" t="s">
        <v>430</v>
      </c>
      <c r="E267" s="2" t="s">
        <v>496</v>
      </c>
      <c r="F267" s="2">
        <v>3017829392</v>
      </c>
      <c r="G267" s="3"/>
      <c r="H267" s="3"/>
      <c r="I267" s="3"/>
      <c r="J267" s="12">
        <f t="shared" si="30"/>
        <v>0</v>
      </c>
      <c r="K267" s="4"/>
      <c r="L267" s="4"/>
      <c r="M267" s="4"/>
      <c r="N267" s="13">
        <f t="shared" si="31"/>
        <v>0</v>
      </c>
      <c r="O267" s="5">
        <v>5000</v>
      </c>
      <c r="P267" s="5"/>
      <c r="Q267" s="5"/>
      <c r="R267" s="14">
        <f t="shared" si="32"/>
        <v>5000</v>
      </c>
      <c r="S267" s="9">
        <v>15000</v>
      </c>
      <c r="T267" s="10">
        <v>2000</v>
      </c>
      <c r="U267" s="10" t="s">
        <v>1249</v>
      </c>
      <c r="V267" s="7">
        <v>3000</v>
      </c>
      <c r="W267" s="7" t="s">
        <v>1601</v>
      </c>
      <c r="X267" s="6"/>
      <c r="Y267" s="6"/>
      <c r="Z267" s="8"/>
      <c r="AA267" s="8"/>
      <c r="AB267" s="10"/>
      <c r="AC267" s="10"/>
      <c r="AD267" s="15">
        <f t="shared" si="33"/>
        <v>10000</v>
      </c>
      <c r="AE267" s="11"/>
      <c r="AF267" s="11"/>
      <c r="AG267" s="11"/>
      <c r="AH267" s="16">
        <f t="shared" si="34"/>
        <v>15000</v>
      </c>
    </row>
    <row r="268" spans="1:34" ht="45" x14ac:dyDescent="0.25">
      <c r="A268" s="2">
        <v>268</v>
      </c>
      <c r="B268" s="2"/>
      <c r="C268" s="2" t="s">
        <v>1298</v>
      </c>
      <c r="D268" s="2" t="s">
        <v>1299</v>
      </c>
      <c r="E268" s="2" t="s">
        <v>496</v>
      </c>
      <c r="F268" s="2">
        <v>3106533326</v>
      </c>
      <c r="G268" s="3"/>
      <c r="H268" s="3"/>
      <c r="I268" s="3"/>
      <c r="J268" s="12">
        <f t="shared" si="30"/>
        <v>0</v>
      </c>
      <c r="K268" s="4"/>
      <c r="L268" s="4"/>
      <c r="M268" s="4"/>
      <c r="N268" s="13">
        <f t="shared" si="31"/>
        <v>0</v>
      </c>
      <c r="O268" s="5">
        <v>5000</v>
      </c>
      <c r="P268" s="5"/>
      <c r="Q268" s="5"/>
      <c r="R268" s="14">
        <f t="shared" si="32"/>
        <v>5000</v>
      </c>
      <c r="S268" s="9">
        <v>15000</v>
      </c>
      <c r="T268" s="10">
        <v>5000</v>
      </c>
      <c r="U268" s="10" t="s">
        <v>1300</v>
      </c>
      <c r="V268" s="7">
        <v>5000</v>
      </c>
      <c r="W268" s="7" t="s">
        <v>1743</v>
      </c>
      <c r="X268" s="6"/>
      <c r="Y268" s="6"/>
      <c r="Z268" s="8"/>
      <c r="AA268" s="8"/>
      <c r="AB268" s="10"/>
      <c r="AC268" s="10"/>
      <c r="AD268" s="15">
        <f t="shared" si="33"/>
        <v>5000</v>
      </c>
      <c r="AE268" s="11"/>
      <c r="AF268" s="11"/>
      <c r="AG268" s="11"/>
      <c r="AH268" s="16">
        <f t="shared" si="34"/>
        <v>10000</v>
      </c>
    </row>
    <row r="269" spans="1:34" ht="30" x14ac:dyDescent="0.25">
      <c r="A269" s="2">
        <v>269</v>
      </c>
      <c r="B269" s="2"/>
      <c r="C269" s="2" t="s">
        <v>474</v>
      </c>
      <c r="D269" s="2" t="s">
        <v>506</v>
      </c>
      <c r="E269" s="2" t="s">
        <v>496</v>
      </c>
      <c r="F269" s="2">
        <v>3064953890</v>
      </c>
      <c r="G269" s="3"/>
      <c r="H269" s="3"/>
      <c r="I269" s="3"/>
      <c r="J269" s="12">
        <f t="shared" si="30"/>
        <v>0</v>
      </c>
      <c r="K269" s="4"/>
      <c r="L269" s="4"/>
      <c r="M269" s="4"/>
      <c r="N269" s="13">
        <f t="shared" si="31"/>
        <v>0</v>
      </c>
      <c r="O269" s="5">
        <v>5000</v>
      </c>
      <c r="P269" s="5"/>
      <c r="Q269" s="5"/>
      <c r="R269" s="14">
        <f t="shared" si="32"/>
        <v>5000</v>
      </c>
      <c r="S269" s="9">
        <v>15000</v>
      </c>
      <c r="T269" s="10">
        <v>10000</v>
      </c>
      <c r="U269" s="10" t="s">
        <v>1317</v>
      </c>
      <c r="V269" s="7"/>
      <c r="W269" s="7"/>
      <c r="X269" s="6"/>
      <c r="Y269" s="6"/>
      <c r="Z269" s="8"/>
      <c r="AA269" s="8"/>
      <c r="AB269" s="10"/>
      <c r="AC269" s="10"/>
      <c r="AD269" s="15">
        <f t="shared" si="33"/>
        <v>5000</v>
      </c>
      <c r="AE269" s="11"/>
      <c r="AF269" s="11"/>
      <c r="AG269" s="11"/>
      <c r="AH269" s="16">
        <f t="shared" si="34"/>
        <v>10000</v>
      </c>
    </row>
    <row r="270" spans="1:34" ht="30" x14ac:dyDescent="0.25">
      <c r="A270" s="2">
        <v>270</v>
      </c>
      <c r="B270" s="2"/>
      <c r="C270" s="2" t="s">
        <v>475</v>
      </c>
      <c r="D270" s="2" t="s">
        <v>636</v>
      </c>
      <c r="E270" s="2" t="s">
        <v>496</v>
      </c>
      <c r="F270" s="2"/>
      <c r="G270" s="3"/>
      <c r="H270" s="3"/>
      <c r="I270" s="3"/>
      <c r="J270" s="12">
        <f t="shared" si="30"/>
        <v>0</v>
      </c>
      <c r="K270" s="4"/>
      <c r="L270" s="4"/>
      <c r="M270" s="4"/>
      <c r="N270" s="13">
        <f t="shared" si="31"/>
        <v>0</v>
      </c>
      <c r="O270" s="5">
        <v>5000</v>
      </c>
      <c r="P270" s="5"/>
      <c r="Q270" s="5"/>
      <c r="R270" s="14">
        <f t="shared" si="32"/>
        <v>5000</v>
      </c>
      <c r="S270" s="9">
        <v>10000</v>
      </c>
      <c r="T270" s="10">
        <v>10000</v>
      </c>
      <c r="U270" s="10" t="s">
        <v>1147</v>
      </c>
      <c r="V270" s="7"/>
      <c r="W270" s="7"/>
      <c r="X270" s="6"/>
      <c r="Y270" s="6"/>
      <c r="Z270" s="8"/>
      <c r="AA270" s="8"/>
      <c r="AB270" s="10"/>
      <c r="AC270" s="10"/>
      <c r="AD270" s="15">
        <f t="shared" si="33"/>
        <v>0</v>
      </c>
      <c r="AE270" s="11"/>
      <c r="AF270" s="11"/>
      <c r="AG270" s="11"/>
      <c r="AH270" s="16">
        <f t="shared" si="34"/>
        <v>5000</v>
      </c>
    </row>
    <row r="271" spans="1:34" ht="30" x14ac:dyDescent="0.25">
      <c r="A271" s="2">
        <v>271</v>
      </c>
      <c r="B271" s="2"/>
      <c r="C271" s="2" t="s">
        <v>476</v>
      </c>
      <c r="D271" s="2" t="s">
        <v>601</v>
      </c>
      <c r="E271" s="2" t="s">
        <v>496</v>
      </c>
      <c r="F271" s="2"/>
      <c r="G271" s="3"/>
      <c r="H271" s="3"/>
      <c r="I271" s="3"/>
      <c r="J271" s="12">
        <f t="shared" si="30"/>
        <v>0</v>
      </c>
      <c r="K271" s="4"/>
      <c r="L271" s="4"/>
      <c r="M271" s="4"/>
      <c r="N271" s="13">
        <f t="shared" si="31"/>
        <v>0</v>
      </c>
      <c r="O271" s="5"/>
      <c r="P271" s="5"/>
      <c r="Q271" s="5"/>
      <c r="R271" s="14">
        <f t="shared" si="32"/>
        <v>0</v>
      </c>
      <c r="S271" s="9"/>
      <c r="T271" s="10">
        <v>2000</v>
      </c>
      <c r="U271" s="10" t="s">
        <v>1221</v>
      </c>
      <c r="V271" s="7"/>
      <c r="W271" s="7"/>
      <c r="X271" s="6"/>
      <c r="Y271" s="6"/>
      <c r="Z271" s="8"/>
      <c r="AA271" s="8"/>
      <c r="AB271" s="10"/>
      <c r="AC271" s="10"/>
      <c r="AD271" s="15">
        <f t="shared" si="33"/>
        <v>-2000</v>
      </c>
      <c r="AE271" s="11"/>
      <c r="AF271" s="11"/>
      <c r="AG271" s="11"/>
      <c r="AH271" s="16">
        <f t="shared" si="34"/>
        <v>-2000</v>
      </c>
    </row>
    <row r="272" spans="1:34" ht="30" x14ac:dyDescent="0.25">
      <c r="A272" s="2">
        <v>272</v>
      </c>
      <c r="B272" s="2"/>
      <c r="C272" s="2" t="s">
        <v>477</v>
      </c>
      <c r="D272" s="2" t="s">
        <v>302</v>
      </c>
      <c r="E272" s="2" t="s">
        <v>496</v>
      </c>
      <c r="F272" s="2">
        <v>3086065238</v>
      </c>
      <c r="G272" s="3"/>
      <c r="H272" s="3"/>
      <c r="I272" s="3"/>
      <c r="J272" s="12">
        <f t="shared" si="30"/>
        <v>0</v>
      </c>
      <c r="K272" s="4"/>
      <c r="L272" s="4"/>
      <c r="M272" s="4"/>
      <c r="N272" s="13">
        <f t="shared" si="31"/>
        <v>0</v>
      </c>
      <c r="O272" s="5">
        <v>5000</v>
      </c>
      <c r="P272" s="5"/>
      <c r="Q272" s="5"/>
      <c r="R272" s="14">
        <f t="shared" si="32"/>
        <v>5000</v>
      </c>
      <c r="S272" s="9">
        <v>25000</v>
      </c>
      <c r="T272" s="10">
        <v>5000</v>
      </c>
      <c r="U272" s="10" t="s">
        <v>1323</v>
      </c>
      <c r="V272" s="7">
        <v>5000</v>
      </c>
      <c r="W272" s="7" t="s">
        <v>1574</v>
      </c>
      <c r="X272" s="6"/>
      <c r="Y272" s="6"/>
      <c r="Z272" s="8"/>
      <c r="AA272" s="8"/>
      <c r="AB272" s="10"/>
      <c r="AC272" s="10"/>
      <c r="AD272" s="15">
        <f t="shared" si="33"/>
        <v>15000</v>
      </c>
      <c r="AE272" s="11"/>
      <c r="AF272" s="11"/>
      <c r="AG272" s="11"/>
      <c r="AH272" s="16">
        <f t="shared" si="34"/>
        <v>20000</v>
      </c>
    </row>
    <row r="273" spans="1:34" ht="30" x14ac:dyDescent="0.25">
      <c r="A273" s="2">
        <v>273</v>
      </c>
      <c r="B273" s="2"/>
      <c r="C273" s="2" t="s">
        <v>478</v>
      </c>
      <c r="D273" s="2" t="s">
        <v>495</v>
      </c>
      <c r="E273" s="2" t="s">
        <v>496</v>
      </c>
      <c r="F273" s="2">
        <v>3047442587</v>
      </c>
      <c r="G273" s="3"/>
      <c r="H273" s="3"/>
      <c r="I273" s="3"/>
      <c r="J273" s="12">
        <f t="shared" si="30"/>
        <v>0</v>
      </c>
      <c r="K273" s="4"/>
      <c r="L273" s="4"/>
      <c r="M273" s="4"/>
      <c r="N273" s="13">
        <f t="shared" si="31"/>
        <v>0</v>
      </c>
      <c r="O273" s="5">
        <v>5000</v>
      </c>
      <c r="P273" s="5"/>
      <c r="Q273" s="5"/>
      <c r="R273" s="14">
        <f t="shared" si="32"/>
        <v>5000</v>
      </c>
      <c r="S273" s="9">
        <v>15000</v>
      </c>
      <c r="T273" s="10">
        <v>3500</v>
      </c>
      <c r="U273" s="10" t="s">
        <v>1241</v>
      </c>
      <c r="V273" s="7"/>
      <c r="W273" s="7"/>
      <c r="X273" s="6"/>
      <c r="Y273" s="6"/>
      <c r="Z273" s="8"/>
      <c r="AA273" s="8"/>
      <c r="AB273" s="10"/>
      <c r="AC273" s="10"/>
      <c r="AD273" s="15">
        <f t="shared" si="33"/>
        <v>11500</v>
      </c>
      <c r="AE273" s="11"/>
      <c r="AF273" s="11"/>
      <c r="AG273" s="11"/>
      <c r="AH273" s="16">
        <f t="shared" si="34"/>
        <v>16500</v>
      </c>
    </row>
    <row r="274" spans="1:34" ht="30" x14ac:dyDescent="0.25">
      <c r="A274" s="2">
        <v>274</v>
      </c>
      <c r="B274" s="2"/>
      <c r="C274" s="2" t="s">
        <v>479</v>
      </c>
      <c r="D274" s="2" t="s">
        <v>1291</v>
      </c>
      <c r="E274" s="2" t="s">
        <v>496</v>
      </c>
      <c r="F274" s="2"/>
      <c r="G274" s="3"/>
      <c r="H274" s="3"/>
      <c r="I274" s="3"/>
      <c r="J274" s="12">
        <f t="shared" si="30"/>
        <v>0</v>
      </c>
      <c r="K274" s="4"/>
      <c r="L274" s="4"/>
      <c r="M274" s="4"/>
      <c r="N274" s="13">
        <f t="shared" si="31"/>
        <v>0</v>
      </c>
      <c r="O274" s="5"/>
      <c r="P274" s="5"/>
      <c r="Q274" s="5"/>
      <c r="R274" s="14">
        <f t="shared" si="32"/>
        <v>0</v>
      </c>
      <c r="S274" s="9"/>
      <c r="T274" s="10">
        <v>5000</v>
      </c>
      <c r="U274" s="32" t="s">
        <v>1292</v>
      </c>
      <c r="V274" s="7"/>
      <c r="W274" s="7"/>
      <c r="X274" s="6"/>
      <c r="Y274" s="6"/>
      <c r="Z274" s="8"/>
      <c r="AA274" s="8"/>
      <c r="AB274" s="10"/>
      <c r="AC274" s="10"/>
      <c r="AD274" s="15">
        <f t="shared" si="33"/>
        <v>-5000</v>
      </c>
      <c r="AE274" s="11"/>
      <c r="AF274" s="11"/>
      <c r="AG274" s="11"/>
      <c r="AH274" s="16">
        <f t="shared" si="34"/>
        <v>-5000</v>
      </c>
    </row>
    <row r="275" spans="1:34" ht="30" x14ac:dyDescent="0.25">
      <c r="A275" s="2">
        <v>275</v>
      </c>
      <c r="B275" s="2"/>
      <c r="C275" s="2" t="s">
        <v>480</v>
      </c>
      <c r="D275" s="2" t="s">
        <v>499</v>
      </c>
      <c r="E275" s="2" t="s">
        <v>496</v>
      </c>
      <c r="F275" s="2">
        <v>3077893543</v>
      </c>
      <c r="G275" s="3"/>
      <c r="H275" s="3"/>
      <c r="I275" s="3"/>
      <c r="J275" s="12">
        <f t="shared" si="30"/>
        <v>0</v>
      </c>
      <c r="K275" s="4"/>
      <c r="L275" s="4"/>
      <c r="M275" s="4"/>
      <c r="N275" s="13">
        <f t="shared" si="31"/>
        <v>0</v>
      </c>
      <c r="O275" s="5">
        <v>5000</v>
      </c>
      <c r="P275" s="5"/>
      <c r="Q275" s="5"/>
      <c r="R275" s="14">
        <f t="shared" si="32"/>
        <v>5000</v>
      </c>
      <c r="S275" s="9">
        <v>15000</v>
      </c>
      <c r="T275" s="10">
        <v>5000</v>
      </c>
      <c r="U275" s="10" t="s">
        <v>1281</v>
      </c>
      <c r="V275" s="7">
        <v>5000</v>
      </c>
      <c r="W275" s="7" t="s">
        <v>1519</v>
      </c>
      <c r="X275" s="6"/>
      <c r="Y275" s="6"/>
      <c r="Z275" s="8"/>
      <c r="AA275" s="8"/>
      <c r="AB275" s="10"/>
      <c r="AC275" s="10"/>
      <c r="AD275" s="15">
        <f t="shared" si="33"/>
        <v>5000</v>
      </c>
      <c r="AE275" s="11"/>
      <c r="AF275" s="11"/>
      <c r="AG275" s="11"/>
      <c r="AH275" s="16">
        <f t="shared" si="34"/>
        <v>10000</v>
      </c>
    </row>
    <row r="276" spans="1:34" ht="30" x14ac:dyDescent="0.25">
      <c r="A276" s="2">
        <v>276</v>
      </c>
      <c r="B276" s="2"/>
      <c r="C276" s="2" t="s">
        <v>481</v>
      </c>
      <c r="D276" s="2" t="s">
        <v>98</v>
      </c>
      <c r="E276" s="2" t="s">
        <v>496</v>
      </c>
      <c r="F276" s="2">
        <v>3077595142</v>
      </c>
      <c r="G276" s="3"/>
      <c r="H276" s="3"/>
      <c r="I276" s="3"/>
      <c r="J276" s="12">
        <f t="shared" si="30"/>
        <v>0</v>
      </c>
      <c r="K276" s="4"/>
      <c r="L276" s="4"/>
      <c r="M276" s="4"/>
      <c r="N276" s="13">
        <f t="shared" si="31"/>
        <v>0</v>
      </c>
      <c r="O276" s="5">
        <v>5000</v>
      </c>
      <c r="P276" s="5"/>
      <c r="Q276" s="5"/>
      <c r="R276" s="14">
        <f t="shared" si="32"/>
        <v>5000</v>
      </c>
      <c r="S276" s="9">
        <v>16000</v>
      </c>
      <c r="T276" s="10">
        <v>7000</v>
      </c>
      <c r="U276" s="10" t="s">
        <v>1287</v>
      </c>
      <c r="V276" s="7">
        <v>2000</v>
      </c>
      <c r="W276" s="7" t="s">
        <v>1635</v>
      </c>
      <c r="X276" s="6"/>
      <c r="Y276" s="6"/>
      <c r="Z276" s="8"/>
      <c r="AA276" s="8"/>
      <c r="AB276" s="10"/>
      <c r="AC276" s="10"/>
      <c r="AD276" s="15">
        <f t="shared" si="33"/>
        <v>7000</v>
      </c>
      <c r="AE276" s="11"/>
      <c r="AF276" s="11"/>
      <c r="AG276" s="11"/>
      <c r="AH276" s="16">
        <f t="shared" si="34"/>
        <v>12000</v>
      </c>
    </row>
    <row r="277" spans="1:34" ht="30" x14ac:dyDescent="0.25">
      <c r="A277" s="2">
        <v>277</v>
      </c>
      <c r="B277" s="2"/>
      <c r="C277" s="2" t="s">
        <v>482</v>
      </c>
      <c r="D277" s="2" t="s">
        <v>1338</v>
      </c>
      <c r="E277" s="2" t="s">
        <v>496</v>
      </c>
      <c r="F277" s="2">
        <v>3047503390</v>
      </c>
      <c r="G277" s="3"/>
      <c r="H277" s="3"/>
      <c r="I277" s="3"/>
      <c r="J277" s="12">
        <f t="shared" si="30"/>
        <v>0</v>
      </c>
      <c r="K277" s="4"/>
      <c r="L277" s="4"/>
      <c r="M277" s="4"/>
      <c r="N277" s="13">
        <f t="shared" si="31"/>
        <v>0</v>
      </c>
      <c r="O277" s="5">
        <v>5000</v>
      </c>
      <c r="P277" s="5"/>
      <c r="Q277" s="5"/>
      <c r="R277" s="14">
        <f t="shared" si="32"/>
        <v>5000</v>
      </c>
      <c r="S277" s="9">
        <v>17000</v>
      </c>
      <c r="T277" s="10">
        <v>5000</v>
      </c>
      <c r="U277" s="10" t="s">
        <v>1339</v>
      </c>
      <c r="V277" s="7"/>
      <c r="W277" s="7"/>
      <c r="X277" s="6"/>
      <c r="Y277" s="6"/>
      <c r="Z277" s="8"/>
      <c r="AA277" s="8"/>
      <c r="AB277" s="10"/>
      <c r="AC277" s="10"/>
      <c r="AD277" s="15">
        <f t="shared" si="33"/>
        <v>12000</v>
      </c>
      <c r="AE277" s="11"/>
      <c r="AF277" s="11"/>
      <c r="AG277" s="11"/>
      <c r="AH277" s="16">
        <f t="shared" si="34"/>
        <v>17000</v>
      </c>
    </row>
    <row r="278" spans="1:34" ht="30" x14ac:dyDescent="0.25">
      <c r="A278" s="2">
        <v>278</v>
      </c>
      <c r="B278" s="2"/>
      <c r="C278" s="2" t="s">
        <v>483</v>
      </c>
      <c r="D278" s="2" t="s">
        <v>505</v>
      </c>
      <c r="E278" s="2" t="s">
        <v>496</v>
      </c>
      <c r="F278" s="2">
        <v>3017608337</v>
      </c>
      <c r="G278" s="3"/>
      <c r="H278" s="3"/>
      <c r="I278" s="3"/>
      <c r="J278" s="12">
        <f t="shared" si="30"/>
        <v>0</v>
      </c>
      <c r="K278" s="4"/>
      <c r="L278" s="4"/>
      <c r="M278" s="4"/>
      <c r="N278" s="13">
        <f t="shared" si="31"/>
        <v>0</v>
      </c>
      <c r="O278" s="5">
        <v>5000</v>
      </c>
      <c r="P278" s="5"/>
      <c r="Q278" s="5"/>
      <c r="R278" s="14">
        <f t="shared" si="32"/>
        <v>5000</v>
      </c>
      <c r="S278" s="9">
        <v>20000</v>
      </c>
      <c r="T278" s="10">
        <v>5000</v>
      </c>
      <c r="U278" s="10" t="s">
        <v>1327</v>
      </c>
      <c r="V278" s="7"/>
      <c r="W278" s="7"/>
      <c r="X278" s="6"/>
      <c r="Y278" s="6"/>
      <c r="Z278" s="8"/>
      <c r="AA278" s="8"/>
      <c r="AB278" s="10"/>
      <c r="AC278" s="10"/>
      <c r="AD278" s="15">
        <f t="shared" si="33"/>
        <v>15000</v>
      </c>
      <c r="AE278" s="11"/>
      <c r="AF278" s="11"/>
      <c r="AG278" s="11"/>
      <c r="AH278" s="16">
        <f t="shared" si="34"/>
        <v>20000</v>
      </c>
    </row>
    <row r="279" spans="1:34" ht="30" x14ac:dyDescent="0.25">
      <c r="A279" s="2">
        <v>279</v>
      </c>
      <c r="B279" s="2"/>
      <c r="C279" s="2" t="s">
        <v>484</v>
      </c>
      <c r="D279" s="2" t="s">
        <v>1338</v>
      </c>
      <c r="E279" s="2" t="s">
        <v>496</v>
      </c>
      <c r="F279" s="2">
        <v>3047503390</v>
      </c>
      <c r="G279" s="3"/>
      <c r="H279" s="3"/>
      <c r="I279" s="3"/>
      <c r="J279" s="12">
        <f t="shared" si="30"/>
        <v>0</v>
      </c>
      <c r="K279" s="4"/>
      <c r="L279" s="4"/>
      <c r="M279" s="4"/>
      <c r="N279" s="13">
        <f t="shared" si="31"/>
        <v>0</v>
      </c>
      <c r="O279" s="5">
        <v>5000</v>
      </c>
      <c r="P279" s="5"/>
      <c r="Q279" s="5"/>
      <c r="R279" s="14">
        <f t="shared" si="32"/>
        <v>5000</v>
      </c>
      <c r="S279" s="9">
        <v>17000</v>
      </c>
      <c r="T279" s="10">
        <v>2000</v>
      </c>
      <c r="U279" s="10" t="s">
        <v>1594</v>
      </c>
      <c r="V279" s="7"/>
      <c r="W279" s="7"/>
      <c r="X279" s="6"/>
      <c r="Y279" s="6"/>
      <c r="Z279" s="8"/>
      <c r="AA279" s="8"/>
      <c r="AB279" s="10"/>
      <c r="AC279" s="10"/>
      <c r="AD279" s="15">
        <f t="shared" si="33"/>
        <v>15000</v>
      </c>
      <c r="AE279" s="11"/>
      <c r="AF279" s="11"/>
      <c r="AG279" s="11"/>
      <c r="AH279" s="16">
        <f t="shared" si="34"/>
        <v>20000</v>
      </c>
    </row>
    <row r="280" spans="1:34" ht="30" x14ac:dyDescent="0.25">
      <c r="A280" s="2">
        <v>280</v>
      </c>
      <c r="B280" s="2"/>
      <c r="C280" s="2" t="s">
        <v>485</v>
      </c>
      <c r="D280" s="2" t="s">
        <v>1485</v>
      </c>
      <c r="E280" s="2" t="s">
        <v>496</v>
      </c>
      <c r="F280" s="2">
        <v>3066322384</v>
      </c>
      <c r="G280" s="3"/>
      <c r="H280" s="3"/>
      <c r="I280" s="3"/>
      <c r="J280" s="12">
        <f t="shared" si="30"/>
        <v>0</v>
      </c>
      <c r="K280" s="4"/>
      <c r="L280" s="4"/>
      <c r="M280" s="4"/>
      <c r="N280" s="13">
        <f t="shared" si="31"/>
        <v>0</v>
      </c>
      <c r="O280" s="5">
        <v>5000</v>
      </c>
      <c r="P280" s="5"/>
      <c r="Q280" s="5"/>
      <c r="R280" s="14">
        <f t="shared" si="32"/>
        <v>5000</v>
      </c>
      <c r="S280" s="9">
        <v>18000</v>
      </c>
      <c r="T280" s="10">
        <v>6000</v>
      </c>
      <c r="U280" s="10" t="s">
        <v>1486</v>
      </c>
      <c r="V280" s="7"/>
      <c r="W280" s="7"/>
      <c r="X280" s="6"/>
      <c r="Y280" s="6"/>
      <c r="Z280" s="8"/>
      <c r="AA280" s="8"/>
      <c r="AB280" s="10"/>
      <c r="AC280" s="10"/>
      <c r="AD280" s="15">
        <f t="shared" si="33"/>
        <v>12000</v>
      </c>
      <c r="AE280" s="11"/>
      <c r="AF280" s="11"/>
      <c r="AG280" s="11"/>
      <c r="AH280" s="16">
        <f t="shared" si="34"/>
        <v>17000</v>
      </c>
    </row>
    <row r="281" spans="1:34" ht="30" x14ac:dyDescent="0.25">
      <c r="A281" s="2">
        <v>281</v>
      </c>
      <c r="B281" s="2"/>
      <c r="C281" s="2" t="s">
        <v>486</v>
      </c>
      <c r="D281" s="2" t="s">
        <v>430</v>
      </c>
      <c r="E281" s="2" t="s">
        <v>496</v>
      </c>
      <c r="F281" s="2">
        <v>3049036063</v>
      </c>
      <c r="G281" s="3"/>
      <c r="H281" s="3"/>
      <c r="I281" s="3"/>
      <c r="J281" s="12">
        <f t="shared" si="30"/>
        <v>0</v>
      </c>
      <c r="K281" s="4"/>
      <c r="L281" s="4"/>
      <c r="M281" s="4"/>
      <c r="N281" s="13">
        <f t="shared" si="31"/>
        <v>0</v>
      </c>
      <c r="O281" s="5">
        <v>5000</v>
      </c>
      <c r="P281" s="5"/>
      <c r="Q281" s="5"/>
      <c r="R281" s="14">
        <f t="shared" si="32"/>
        <v>5000</v>
      </c>
      <c r="S281" s="9">
        <v>20000</v>
      </c>
      <c r="T281" s="10">
        <v>5000</v>
      </c>
      <c r="U281" s="10" t="s">
        <v>1364</v>
      </c>
      <c r="V281" s="7">
        <v>5000</v>
      </c>
      <c r="W281" s="7" t="s">
        <v>1553</v>
      </c>
      <c r="X281" s="6"/>
      <c r="Y281" s="6"/>
      <c r="Z281" s="8"/>
      <c r="AA281" s="8"/>
      <c r="AB281" s="10"/>
      <c r="AC281" s="10"/>
      <c r="AD281" s="15">
        <f t="shared" si="33"/>
        <v>10000</v>
      </c>
      <c r="AE281" s="11"/>
      <c r="AF281" s="11"/>
      <c r="AG281" s="11"/>
      <c r="AH281" s="16">
        <f t="shared" si="34"/>
        <v>15000</v>
      </c>
    </row>
    <row r="282" spans="1:34" ht="30" x14ac:dyDescent="0.25">
      <c r="A282" s="2">
        <v>282</v>
      </c>
      <c r="B282" s="2"/>
      <c r="C282" s="2" t="s">
        <v>487</v>
      </c>
      <c r="D282" s="2" t="s">
        <v>504</v>
      </c>
      <c r="E282" s="2" t="s">
        <v>496</v>
      </c>
      <c r="F282" s="2">
        <v>3044917523</v>
      </c>
      <c r="G282" s="3"/>
      <c r="H282" s="3"/>
      <c r="I282" s="3"/>
      <c r="J282" s="12">
        <f t="shared" si="30"/>
        <v>0</v>
      </c>
      <c r="K282" s="4"/>
      <c r="L282" s="4"/>
      <c r="M282" s="4"/>
      <c r="N282" s="13">
        <f t="shared" si="31"/>
        <v>0</v>
      </c>
      <c r="O282" s="5">
        <v>5000</v>
      </c>
      <c r="P282" s="5"/>
      <c r="Q282" s="5"/>
      <c r="R282" s="14">
        <f t="shared" si="32"/>
        <v>5000</v>
      </c>
      <c r="S282" s="9">
        <v>19000</v>
      </c>
      <c r="T282" s="10">
        <v>2000</v>
      </c>
      <c r="U282" s="10" t="s">
        <v>1161</v>
      </c>
      <c r="V282" s="7">
        <v>5500</v>
      </c>
      <c r="W282" s="7" t="s">
        <v>1459</v>
      </c>
      <c r="X282" s="6">
        <v>5500</v>
      </c>
      <c r="Y282" s="6" t="s">
        <v>1716</v>
      </c>
      <c r="Z282" s="8"/>
      <c r="AA282" s="8"/>
      <c r="AB282" s="10"/>
      <c r="AC282" s="10"/>
      <c r="AD282" s="15">
        <f t="shared" si="33"/>
        <v>6000</v>
      </c>
      <c r="AE282" s="11"/>
      <c r="AF282" s="11"/>
      <c r="AG282" s="11"/>
      <c r="AH282" s="16">
        <f t="shared" si="34"/>
        <v>11000</v>
      </c>
    </row>
    <row r="283" spans="1:34" ht="30" x14ac:dyDescent="0.25">
      <c r="A283" s="2">
        <v>283</v>
      </c>
      <c r="B283" s="2"/>
      <c r="C283" s="2" t="s">
        <v>488</v>
      </c>
      <c r="D283" s="2" t="s">
        <v>503</v>
      </c>
      <c r="E283" s="2" t="s">
        <v>496</v>
      </c>
      <c r="F283" s="2">
        <v>3067182175</v>
      </c>
      <c r="G283" s="3"/>
      <c r="H283" s="3"/>
      <c r="I283" s="3"/>
      <c r="J283" s="12">
        <f t="shared" si="30"/>
        <v>0</v>
      </c>
      <c r="K283" s="4"/>
      <c r="L283" s="4"/>
      <c r="M283" s="4"/>
      <c r="N283" s="13">
        <f t="shared" si="31"/>
        <v>0</v>
      </c>
      <c r="O283" s="5">
        <v>5000</v>
      </c>
      <c r="P283" s="5"/>
      <c r="Q283" s="5"/>
      <c r="R283" s="14">
        <f t="shared" si="32"/>
        <v>5000</v>
      </c>
      <c r="S283" s="9">
        <v>20000</v>
      </c>
      <c r="T283" s="10">
        <v>4000</v>
      </c>
      <c r="U283" s="10" t="s">
        <v>1362</v>
      </c>
      <c r="V283" s="7">
        <v>8000</v>
      </c>
      <c r="W283" s="7" t="s">
        <v>1747</v>
      </c>
      <c r="X283" s="6"/>
      <c r="Y283" s="6"/>
      <c r="Z283" s="8"/>
      <c r="AA283" s="8"/>
      <c r="AB283" s="10"/>
      <c r="AC283" s="10"/>
      <c r="AD283" s="15">
        <f t="shared" si="33"/>
        <v>8000</v>
      </c>
      <c r="AE283" s="11"/>
      <c r="AF283" s="11"/>
      <c r="AG283" s="11"/>
      <c r="AH283" s="16">
        <f t="shared" si="34"/>
        <v>13000</v>
      </c>
    </row>
    <row r="284" spans="1:34" ht="30" x14ac:dyDescent="0.25">
      <c r="A284" s="2">
        <v>284</v>
      </c>
      <c r="B284" s="2"/>
      <c r="C284" s="2" t="s">
        <v>489</v>
      </c>
      <c r="D284" s="2" t="s">
        <v>502</v>
      </c>
      <c r="E284" s="2" t="s">
        <v>496</v>
      </c>
      <c r="F284" s="2">
        <v>3047281912</v>
      </c>
      <c r="G284" s="3"/>
      <c r="H284" s="3"/>
      <c r="I284" s="3"/>
      <c r="J284" s="12">
        <f t="shared" si="30"/>
        <v>0</v>
      </c>
      <c r="K284" s="4"/>
      <c r="L284" s="4"/>
      <c r="M284" s="4"/>
      <c r="N284" s="13">
        <f t="shared" si="31"/>
        <v>0</v>
      </c>
      <c r="O284" s="5">
        <v>5000</v>
      </c>
      <c r="P284" s="5"/>
      <c r="Q284" s="5"/>
      <c r="R284" s="14">
        <f t="shared" si="32"/>
        <v>5000</v>
      </c>
      <c r="S284" s="9">
        <v>12000</v>
      </c>
      <c r="T284" s="10">
        <v>2500</v>
      </c>
      <c r="U284" s="10" t="s">
        <v>1387</v>
      </c>
      <c r="V284" s="7">
        <v>2500</v>
      </c>
      <c r="W284" s="7" t="s">
        <v>1523</v>
      </c>
      <c r="X284" s="6">
        <v>2000</v>
      </c>
      <c r="Y284" s="6" t="s">
        <v>1821</v>
      </c>
      <c r="Z284" s="8"/>
      <c r="AA284" s="8"/>
      <c r="AB284" s="10"/>
      <c r="AC284" s="10"/>
      <c r="AD284" s="15">
        <f t="shared" si="33"/>
        <v>5000</v>
      </c>
      <c r="AE284" s="11"/>
      <c r="AF284" s="11"/>
      <c r="AG284" s="11"/>
      <c r="AH284" s="16">
        <f t="shared" si="34"/>
        <v>10000</v>
      </c>
    </row>
    <row r="285" spans="1:34" ht="30" x14ac:dyDescent="0.25">
      <c r="A285" s="2">
        <v>285</v>
      </c>
      <c r="B285" s="2"/>
      <c r="C285" s="2" t="s">
        <v>490</v>
      </c>
      <c r="D285" s="2" t="s">
        <v>111</v>
      </c>
      <c r="E285" s="2" t="s">
        <v>496</v>
      </c>
      <c r="F285" s="2">
        <v>3017247262</v>
      </c>
      <c r="G285" s="3"/>
      <c r="H285" s="3"/>
      <c r="I285" s="3"/>
      <c r="J285" s="12">
        <f t="shared" si="30"/>
        <v>0</v>
      </c>
      <c r="K285" s="4"/>
      <c r="L285" s="4"/>
      <c r="M285" s="4"/>
      <c r="N285" s="13">
        <f t="shared" si="31"/>
        <v>0</v>
      </c>
      <c r="O285" s="5">
        <v>5000</v>
      </c>
      <c r="P285" s="5"/>
      <c r="Q285" s="5"/>
      <c r="R285" s="14">
        <f t="shared" si="32"/>
        <v>5000</v>
      </c>
      <c r="S285" s="9">
        <v>20000</v>
      </c>
      <c r="T285" s="10">
        <v>5000</v>
      </c>
      <c r="U285" s="10" t="s">
        <v>1392</v>
      </c>
      <c r="V285" s="7"/>
      <c r="W285" s="7"/>
      <c r="X285" s="6"/>
      <c r="Y285" s="6"/>
      <c r="Z285" s="8"/>
      <c r="AA285" s="8"/>
      <c r="AB285" s="10"/>
      <c r="AC285" s="10"/>
      <c r="AD285" s="15">
        <f t="shared" si="33"/>
        <v>15000</v>
      </c>
      <c r="AE285" s="11"/>
      <c r="AF285" s="11"/>
      <c r="AG285" s="11"/>
      <c r="AH285" s="16">
        <f t="shared" si="34"/>
        <v>20000</v>
      </c>
    </row>
    <row r="286" spans="1:34" ht="30" x14ac:dyDescent="0.25">
      <c r="A286" s="2">
        <v>286</v>
      </c>
      <c r="B286" s="2"/>
      <c r="C286" s="2" t="s">
        <v>491</v>
      </c>
      <c r="D286" s="2" t="s">
        <v>501</v>
      </c>
      <c r="E286" s="2" t="s">
        <v>496</v>
      </c>
      <c r="F286" s="2">
        <v>3036912482</v>
      </c>
      <c r="G286" s="3"/>
      <c r="H286" s="3"/>
      <c r="I286" s="3"/>
      <c r="J286" s="12">
        <f t="shared" si="30"/>
        <v>0</v>
      </c>
      <c r="K286" s="4"/>
      <c r="L286" s="4"/>
      <c r="M286" s="4"/>
      <c r="N286" s="13">
        <f t="shared" si="31"/>
        <v>0</v>
      </c>
      <c r="O286" s="5">
        <v>5000</v>
      </c>
      <c r="P286" s="5"/>
      <c r="Q286" s="5"/>
      <c r="R286" s="14">
        <f t="shared" si="32"/>
        <v>5000</v>
      </c>
      <c r="S286" s="9">
        <v>13000</v>
      </c>
      <c r="T286" s="10">
        <v>3000</v>
      </c>
      <c r="U286" s="36" t="s">
        <v>1406</v>
      </c>
      <c r="V286" s="7">
        <v>5000</v>
      </c>
      <c r="W286" s="7" t="s">
        <v>1452</v>
      </c>
      <c r="X286" s="6"/>
      <c r="Y286" s="6"/>
      <c r="Z286" s="8"/>
      <c r="AA286" s="8"/>
      <c r="AB286" s="10"/>
      <c r="AC286" s="10"/>
      <c r="AD286" s="15">
        <f t="shared" si="33"/>
        <v>5000</v>
      </c>
      <c r="AE286" s="11"/>
      <c r="AF286" s="11"/>
      <c r="AG286" s="11"/>
      <c r="AH286" s="16">
        <f t="shared" si="34"/>
        <v>10000</v>
      </c>
    </row>
    <row r="287" spans="1:34" ht="30" x14ac:dyDescent="0.25">
      <c r="A287" s="2">
        <v>287</v>
      </c>
      <c r="B287" s="2"/>
      <c r="C287" s="2" t="s">
        <v>418</v>
      </c>
      <c r="D287" s="2" t="s">
        <v>500</v>
      </c>
      <c r="E287" s="2" t="s">
        <v>496</v>
      </c>
      <c r="F287" s="2">
        <v>3017606710</v>
      </c>
      <c r="G287" s="3"/>
      <c r="H287" s="3"/>
      <c r="I287" s="3"/>
      <c r="J287" s="12">
        <f t="shared" si="30"/>
        <v>0</v>
      </c>
      <c r="K287" s="4"/>
      <c r="L287" s="4"/>
      <c r="M287" s="4"/>
      <c r="N287" s="13">
        <f t="shared" si="31"/>
        <v>0</v>
      </c>
      <c r="O287" s="5">
        <v>5000</v>
      </c>
      <c r="P287" s="5"/>
      <c r="Q287" s="5"/>
      <c r="R287" s="14">
        <f t="shared" si="32"/>
        <v>5000</v>
      </c>
      <c r="S287" s="9">
        <v>10000</v>
      </c>
      <c r="T287" s="10">
        <v>5000</v>
      </c>
      <c r="U287" s="10" t="s">
        <v>1464</v>
      </c>
      <c r="V287" s="7"/>
      <c r="W287" s="7"/>
      <c r="X287" s="6"/>
      <c r="Y287" s="6"/>
      <c r="Z287" s="8"/>
      <c r="AA287" s="8"/>
      <c r="AB287" s="10"/>
      <c r="AC287" s="10"/>
      <c r="AD287" s="15">
        <f t="shared" si="33"/>
        <v>5000</v>
      </c>
      <c r="AE287" s="11"/>
      <c r="AF287" s="11"/>
      <c r="AG287" s="11"/>
      <c r="AH287" s="16">
        <f t="shared" si="34"/>
        <v>10000</v>
      </c>
    </row>
    <row r="288" spans="1:34" ht="30" x14ac:dyDescent="0.25">
      <c r="A288" s="2">
        <v>288</v>
      </c>
      <c r="B288" s="2"/>
      <c r="C288" s="2" t="s">
        <v>492</v>
      </c>
      <c r="D288" s="2"/>
      <c r="E288" s="2" t="s">
        <v>496</v>
      </c>
      <c r="F288" s="2"/>
      <c r="G288" s="3"/>
      <c r="H288" s="3"/>
      <c r="I288" s="3"/>
      <c r="J288" s="12">
        <f t="shared" si="30"/>
        <v>0</v>
      </c>
      <c r="K288" s="4"/>
      <c r="L288" s="4"/>
      <c r="M288" s="4"/>
      <c r="N288" s="13">
        <f t="shared" si="31"/>
        <v>0</v>
      </c>
      <c r="O288" s="5"/>
      <c r="P288" s="5"/>
      <c r="Q288" s="5"/>
      <c r="R288" s="14">
        <f t="shared" si="32"/>
        <v>0</v>
      </c>
      <c r="S288" s="9"/>
      <c r="T288" s="10"/>
      <c r="U288" s="10"/>
      <c r="V288" s="7"/>
      <c r="W288" s="7"/>
      <c r="X288" s="6"/>
      <c r="Y288" s="6"/>
      <c r="Z288" s="8"/>
      <c r="AA288" s="8"/>
      <c r="AB288" s="10"/>
      <c r="AC288" s="10"/>
      <c r="AD288" s="15">
        <f t="shared" si="33"/>
        <v>0</v>
      </c>
      <c r="AE288" s="11"/>
      <c r="AF288" s="11"/>
      <c r="AG288" s="11"/>
      <c r="AH288" s="16">
        <f t="shared" si="34"/>
        <v>0</v>
      </c>
    </row>
    <row r="289" spans="1:34" ht="21" x14ac:dyDescent="0.25">
      <c r="A289" s="2">
        <v>289</v>
      </c>
      <c r="B289" s="2"/>
      <c r="C289" s="2" t="s">
        <v>493</v>
      </c>
      <c r="D289" s="2"/>
      <c r="E289" s="2" t="s">
        <v>496</v>
      </c>
      <c r="F289" s="2"/>
      <c r="G289" s="3"/>
      <c r="H289" s="3"/>
      <c r="I289" s="3"/>
      <c r="J289" s="12">
        <f t="shared" si="30"/>
        <v>0</v>
      </c>
      <c r="K289" s="4"/>
      <c r="L289" s="4"/>
      <c r="M289" s="4"/>
      <c r="N289" s="13">
        <f t="shared" si="31"/>
        <v>0</v>
      </c>
      <c r="O289" s="5"/>
      <c r="P289" s="5"/>
      <c r="Q289" s="5"/>
      <c r="R289" s="14">
        <f t="shared" si="32"/>
        <v>0</v>
      </c>
      <c r="S289" s="9"/>
      <c r="T289" s="10"/>
      <c r="U289" s="10"/>
      <c r="V289" s="7"/>
      <c r="W289" s="7"/>
      <c r="X289" s="6"/>
      <c r="Y289" s="6"/>
      <c r="Z289" s="8"/>
      <c r="AA289" s="8"/>
      <c r="AB289" s="10"/>
      <c r="AC289" s="10"/>
      <c r="AD289" s="15">
        <f t="shared" si="33"/>
        <v>0</v>
      </c>
      <c r="AE289" s="11"/>
      <c r="AF289" s="11"/>
      <c r="AG289" s="11"/>
      <c r="AH289" s="16">
        <f t="shared" si="34"/>
        <v>0</v>
      </c>
    </row>
    <row r="290" spans="1:34" ht="30" x14ac:dyDescent="0.25">
      <c r="A290" s="2">
        <v>290</v>
      </c>
      <c r="B290" s="2"/>
      <c r="C290" s="2" t="s">
        <v>494</v>
      </c>
      <c r="D290" s="2" t="s">
        <v>1773</v>
      </c>
      <c r="E290" s="2" t="s">
        <v>496</v>
      </c>
      <c r="F290" s="2">
        <v>3047134604</v>
      </c>
      <c r="G290" s="3"/>
      <c r="H290" s="3"/>
      <c r="I290" s="3"/>
      <c r="J290" s="12">
        <f t="shared" si="30"/>
        <v>0</v>
      </c>
      <c r="K290" s="4"/>
      <c r="L290" s="4"/>
      <c r="M290" s="4"/>
      <c r="N290" s="13">
        <f t="shared" si="31"/>
        <v>0</v>
      </c>
      <c r="O290" s="5">
        <v>5000</v>
      </c>
      <c r="P290" s="5"/>
      <c r="Q290" s="5"/>
      <c r="R290" s="14">
        <f t="shared" si="32"/>
        <v>5000</v>
      </c>
      <c r="S290" s="9">
        <v>25000</v>
      </c>
      <c r="T290" s="10">
        <v>5000</v>
      </c>
      <c r="U290" s="10" t="s">
        <v>1796</v>
      </c>
      <c r="V290" s="7"/>
      <c r="W290" s="7"/>
      <c r="X290" s="6"/>
      <c r="Y290" s="6"/>
      <c r="Z290" s="8"/>
      <c r="AA290" s="8"/>
      <c r="AB290" s="10"/>
      <c r="AC290" s="10"/>
      <c r="AD290" s="15">
        <f t="shared" si="33"/>
        <v>20000</v>
      </c>
      <c r="AE290" s="11"/>
      <c r="AF290" s="11"/>
      <c r="AG290" s="11"/>
      <c r="AH290" s="16">
        <f t="shared" si="34"/>
        <v>25000</v>
      </c>
    </row>
    <row r="291" spans="1:34" ht="30" x14ac:dyDescent="0.25">
      <c r="A291" s="2">
        <v>291</v>
      </c>
      <c r="B291" s="2"/>
      <c r="C291" s="2" t="s">
        <v>1534</v>
      </c>
      <c r="D291" s="2" t="s">
        <v>302</v>
      </c>
      <c r="E291" s="2" t="s">
        <v>121</v>
      </c>
      <c r="F291" s="2">
        <v>3037791217</v>
      </c>
      <c r="G291" s="3"/>
      <c r="H291" s="3"/>
      <c r="I291" s="3"/>
      <c r="J291" s="12">
        <f t="shared" si="30"/>
        <v>0</v>
      </c>
      <c r="K291" s="4"/>
      <c r="L291" s="4"/>
      <c r="M291" s="4"/>
      <c r="N291" s="13">
        <f t="shared" si="31"/>
        <v>0</v>
      </c>
      <c r="O291" s="5">
        <v>5000</v>
      </c>
      <c r="P291" s="5"/>
      <c r="Q291" s="5"/>
      <c r="R291" s="14">
        <f t="shared" si="32"/>
        <v>5000</v>
      </c>
      <c r="S291" s="9">
        <v>19000</v>
      </c>
      <c r="T291" s="10">
        <v>3000</v>
      </c>
      <c r="U291" s="10" t="s">
        <v>1535</v>
      </c>
      <c r="V291" s="7">
        <v>3000</v>
      </c>
      <c r="W291" s="7" t="s">
        <v>1536</v>
      </c>
      <c r="X291" s="6">
        <v>3000</v>
      </c>
      <c r="Y291" s="6" t="s">
        <v>1537</v>
      </c>
      <c r="Z291" s="8"/>
      <c r="AA291" s="8"/>
      <c r="AB291" s="10"/>
      <c r="AC291" s="10"/>
      <c r="AD291" s="15">
        <f t="shared" si="33"/>
        <v>10000</v>
      </c>
      <c r="AE291" s="11"/>
      <c r="AF291" s="11"/>
      <c r="AG291" s="11"/>
      <c r="AH291" s="16">
        <f t="shared" si="34"/>
        <v>15000</v>
      </c>
    </row>
    <row r="292" spans="1:34" ht="30" x14ac:dyDescent="0.25">
      <c r="A292" s="2">
        <v>292</v>
      </c>
      <c r="B292" s="2"/>
      <c r="C292" s="2" t="s">
        <v>1775</v>
      </c>
      <c r="D292" s="2" t="s">
        <v>1776</v>
      </c>
      <c r="E292" s="2" t="s">
        <v>496</v>
      </c>
      <c r="F292" s="2">
        <v>3072723674</v>
      </c>
      <c r="G292" s="3"/>
      <c r="H292" s="3"/>
      <c r="I292" s="3"/>
      <c r="J292" s="12">
        <f t="shared" si="30"/>
        <v>0</v>
      </c>
      <c r="K292" s="4"/>
      <c r="L292" s="4"/>
      <c r="M292" s="4"/>
      <c r="N292" s="13">
        <f t="shared" si="31"/>
        <v>0</v>
      </c>
      <c r="O292" s="5">
        <v>5000</v>
      </c>
      <c r="P292" s="5"/>
      <c r="Q292" s="5"/>
      <c r="R292" s="14">
        <f t="shared" si="32"/>
        <v>5000</v>
      </c>
      <c r="S292" s="9">
        <v>15000</v>
      </c>
      <c r="T292" s="10"/>
      <c r="U292" s="10">
        <v>2245</v>
      </c>
      <c r="V292" s="7"/>
      <c r="W292" s="7"/>
      <c r="X292" s="6"/>
      <c r="Y292" s="6"/>
      <c r="Z292" s="8"/>
      <c r="AA292" s="8"/>
      <c r="AB292" s="10"/>
      <c r="AC292" s="10"/>
      <c r="AD292" s="15">
        <f t="shared" si="33"/>
        <v>15000</v>
      </c>
      <c r="AE292" s="11"/>
      <c r="AF292" s="11"/>
      <c r="AG292" s="11"/>
      <c r="AH292" s="16">
        <f t="shared" si="34"/>
        <v>20000</v>
      </c>
    </row>
    <row r="293" spans="1:34" ht="30" x14ac:dyDescent="0.25">
      <c r="A293" s="2">
        <v>293</v>
      </c>
      <c r="B293" s="2"/>
      <c r="C293" s="2" t="s">
        <v>1787</v>
      </c>
      <c r="D293" s="2" t="s">
        <v>1788</v>
      </c>
      <c r="E293" s="2" t="s">
        <v>121</v>
      </c>
      <c r="F293" s="2">
        <v>3041534408</v>
      </c>
      <c r="G293" s="3"/>
      <c r="H293" s="3"/>
      <c r="I293" s="3"/>
      <c r="J293" s="12">
        <f t="shared" si="30"/>
        <v>0</v>
      </c>
      <c r="K293" s="4"/>
      <c r="L293" s="4"/>
      <c r="M293" s="4"/>
      <c r="N293" s="13">
        <f t="shared" si="31"/>
        <v>0</v>
      </c>
      <c r="O293" s="5">
        <v>5000</v>
      </c>
      <c r="P293" s="5"/>
      <c r="Q293" s="5"/>
      <c r="R293" s="14">
        <f t="shared" si="32"/>
        <v>5000</v>
      </c>
      <c r="S293" s="9">
        <v>10000</v>
      </c>
      <c r="T293" s="10">
        <v>5000</v>
      </c>
      <c r="U293" s="10" t="s">
        <v>1789</v>
      </c>
      <c r="V293" s="7"/>
      <c r="W293" s="7"/>
      <c r="X293" s="6"/>
      <c r="Y293" s="6"/>
      <c r="Z293" s="8"/>
      <c r="AA293" s="8"/>
      <c r="AB293" s="10"/>
      <c r="AC293" s="10"/>
      <c r="AD293" s="15">
        <f t="shared" si="33"/>
        <v>5000</v>
      </c>
      <c r="AE293" s="11"/>
      <c r="AF293" s="11"/>
      <c r="AG293" s="11"/>
      <c r="AH293" s="16">
        <f t="shared" si="34"/>
        <v>10000</v>
      </c>
    </row>
    <row r="294" spans="1:34" ht="21" x14ac:dyDescent="0.25">
      <c r="A294" s="2"/>
      <c r="B294" s="2"/>
      <c r="C294" s="2"/>
      <c r="D294" s="2"/>
      <c r="E294" s="2"/>
      <c r="F294" s="2"/>
      <c r="G294" s="3"/>
      <c r="H294" s="3"/>
      <c r="I294" s="3"/>
      <c r="J294" s="12">
        <f t="shared" si="30"/>
        <v>0</v>
      </c>
      <c r="K294" s="4"/>
      <c r="L294" s="4"/>
      <c r="M294" s="4"/>
      <c r="N294" s="13">
        <f t="shared" si="31"/>
        <v>0</v>
      </c>
      <c r="O294" s="5"/>
      <c r="P294" s="5"/>
      <c r="Q294" s="5"/>
      <c r="R294" s="14">
        <f t="shared" si="32"/>
        <v>0</v>
      </c>
      <c r="S294" s="9"/>
      <c r="T294" s="10"/>
      <c r="U294" s="10"/>
      <c r="V294" s="7"/>
      <c r="W294" s="7"/>
      <c r="X294" s="6"/>
      <c r="Y294" s="6"/>
      <c r="Z294" s="8"/>
      <c r="AA294" s="8"/>
      <c r="AB294" s="10"/>
      <c r="AC294" s="10"/>
      <c r="AD294" s="15">
        <f t="shared" si="33"/>
        <v>0</v>
      </c>
      <c r="AE294" s="11"/>
      <c r="AF294" s="11"/>
      <c r="AG294" s="11"/>
      <c r="AH294" s="16">
        <f t="shared" si="34"/>
        <v>0</v>
      </c>
    </row>
    <row r="295" spans="1:34" ht="21" x14ac:dyDescent="0.25">
      <c r="A295" s="2"/>
      <c r="B295" s="2"/>
      <c r="C295" s="2"/>
      <c r="D295" s="2"/>
      <c r="E295" s="2"/>
      <c r="F295" s="2"/>
      <c r="G295" s="3"/>
      <c r="H295" s="3"/>
      <c r="I295" s="3"/>
      <c r="J295" s="12">
        <f t="shared" si="30"/>
        <v>0</v>
      </c>
      <c r="K295" s="4"/>
      <c r="L295" s="4"/>
      <c r="M295" s="4"/>
      <c r="N295" s="13">
        <f t="shared" si="31"/>
        <v>0</v>
      </c>
      <c r="O295" s="5"/>
      <c r="P295" s="5"/>
      <c r="Q295" s="5"/>
      <c r="R295" s="14">
        <f t="shared" si="32"/>
        <v>0</v>
      </c>
      <c r="S295" s="9"/>
      <c r="T295" s="10"/>
      <c r="U295" s="10"/>
      <c r="V295" s="7"/>
      <c r="W295" s="7"/>
      <c r="X295" s="6"/>
      <c r="Y295" s="6"/>
      <c r="Z295" s="8"/>
      <c r="AA295" s="8"/>
      <c r="AB295" s="10"/>
      <c r="AC295" s="10"/>
      <c r="AD295" s="15">
        <f t="shared" si="33"/>
        <v>0</v>
      </c>
      <c r="AE295" s="11"/>
      <c r="AF295" s="11"/>
      <c r="AG295" s="11"/>
      <c r="AH295" s="16">
        <f t="shared" si="34"/>
        <v>0</v>
      </c>
    </row>
    <row r="296" spans="1:34" ht="21" x14ac:dyDescent="0.25">
      <c r="A296" s="2"/>
      <c r="B296" s="2"/>
      <c r="C296" s="2"/>
      <c r="D296" s="2"/>
      <c r="E296" s="2"/>
      <c r="F296" s="2"/>
      <c r="G296" s="3"/>
      <c r="H296" s="3"/>
      <c r="I296" s="3"/>
      <c r="J296" s="12">
        <f t="shared" si="30"/>
        <v>0</v>
      </c>
      <c r="K296" s="4"/>
      <c r="L296" s="4"/>
      <c r="M296" s="4"/>
      <c r="N296" s="13">
        <f t="shared" si="31"/>
        <v>0</v>
      </c>
      <c r="O296" s="5"/>
      <c r="P296" s="5"/>
      <c r="Q296" s="5"/>
      <c r="R296" s="14">
        <f t="shared" si="32"/>
        <v>0</v>
      </c>
      <c r="S296" s="9"/>
      <c r="T296" s="10"/>
      <c r="U296" s="10"/>
      <c r="V296" s="7"/>
      <c r="W296" s="7"/>
      <c r="X296" s="6"/>
      <c r="Y296" s="6"/>
      <c r="Z296" s="8"/>
      <c r="AA296" s="8"/>
      <c r="AB296" s="10"/>
      <c r="AC296" s="10"/>
      <c r="AD296" s="15">
        <f t="shared" si="33"/>
        <v>0</v>
      </c>
      <c r="AE296" s="11"/>
      <c r="AF296" s="11"/>
      <c r="AG296" s="11"/>
      <c r="AH296" s="16">
        <f t="shared" si="34"/>
        <v>0</v>
      </c>
    </row>
    <row r="297" spans="1:34" ht="21" x14ac:dyDescent="0.25">
      <c r="A297" s="2"/>
      <c r="B297" s="2"/>
      <c r="C297" s="2"/>
      <c r="D297" s="2"/>
      <c r="E297" s="2"/>
      <c r="F297" s="2"/>
      <c r="G297" s="3"/>
      <c r="H297" s="3"/>
      <c r="I297" s="3"/>
      <c r="J297" s="12">
        <f t="shared" si="30"/>
        <v>0</v>
      </c>
      <c r="K297" s="4"/>
      <c r="L297" s="4"/>
      <c r="M297" s="4"/>
      <c r="N297" s="13">
        <f t="shared" si="31"/>
        <v>0</v>
      </c>
      <c r="O297" s="5"/>
      <c r="P297" s="5"/>
      <c r="Q297" s="5"/>
      <c r="R297" s="14">
        <f t="shared" si="32"/>
        <v>0</v>
      </c>
      <c r="S297" s="9"/>
      <c r="T297" s="10"/>
      <c r="U297" s="10"/>
      <c r="V297" s="7"/>
      <c r="W297" s="7"/>
      <c r="X297" s="6"/>
      <c r="Y297" s="6"/>
      <c r="Z297" s="8"/>
      <c r="AA297" s="8"/>
      <c r="AB297" s="10"/>
      <c r="AC297" s="10"/>
      <c r="AD297" s="15">
        <f t="shared" si="33"/>
        <v>0</v>
      </c>
      <c r="AE297" s="11"/>
      <c r="AF297" s="11"/>
      <c r="AG297" s="11"/>
      <c r="AH297" s="16">
        <f t="shared" si="34"/>
        <v>0</v>
      </c>
    </row>
    <row r="298" spans="1:34" ht="21" x14ac:dyDescent="0.25">
      <c r="A298" s="2"/>
      <c r="B298" s="2"/>
      <c r="C298" s="2"/>
      <c r="D298" s="2"/>
      <c r="E298" s="2"/>
      <c r="F298" s="2"/>
      <c r="G298" s="3"/>
      <c r="H298" s="3"/>
      <c r="I298" s="3"/>
      <c r="J298" s="12">
        <f t="shared" si="30"/>
        <v>0</v>
      </c>
      <c r="K298" s="4"/>
      <c r="L298" s="4"/>
      <c r="M298" s="4"/>
      <c r="N298" s="13">
        <f t="shared" si="31"/>
        <v>0</v>
      </c>
      <c r="O298" s="5"/>
      <c r="P298" s="5"/>
      <c r="Q298" s="5"/>
      <c r="R298" s="14">
        <f t="shared" si="32"/>
        <v>0</v>
      </c>
      <c r="S298" s="9"/>
      <c r="T298" s="10"/>
      <c r="U298" s="10"/>
      <c r="V298" s="7"/>
      <c r="W298" s="7"/>
      <c r="X298" s="6"/>
      <c r="Y298" s="6"/>
      <c r="Z298" s="8"/>
      <c r="AA298" s="8"/>
      <c r="AB298" s="10"/>
      <c r="AC298" s="10"/>
      <c r="AD298" s="15">
        <f t="shared" si="33"/>
        <v>0</v>
      </c>
      <c r="AE298" s="11"/>
      <c r="AF298" s="11"/>
      <c r="AG298" s="11"/>
      <c r="AH298" s="16">
        <f t="shared" si="34"/>
        <v>0</v>
      </c>
    </row>
    <row r="299" spans="1:34" ht="21" x14ac:dyDescent="0.25">
      <c r="A299" s="2"/>
      <c r="B299" s="2"/>
      <c r="C299" s="2"/>
      <c r="D299" s="2"/>
      <c r="E299" s="2"/>
      <c r="F299" s="2"/>
      <c r="G299" s="3"/>
      <c r="H299" s="3"/>
      <c r="I299" s="3"/>
      <c r="J299" s="12">
        <f t="shared" si="30"/>
        <v>0</v>
      </c>
      <c r="K299" s="4"/>
      <c r="L299" s="4"/>
      <c r="M299" s="4"/>
      <c r="N299" s="13">
        <f t="shared" si="31"/>
        <v>0</v>
      </c>
      <c r="O299" s="5"/>
      <c r="P299" s="5"/>
      <c r="Q299" s="5"/>
      <c r="R299" s="14">
        <f t="shared" si="32"/>
        <v>0</v>
      </c>
      <c r="S299" s="9"/>
      <c r="T299" s="10"/>
      <c r="U299" s="10"/>
      <c r="V299" s="7"/>
      <c r="W299" s="7"/>
      <c r="X299" s="6"/>
      <c r="Y299" s="6"/>
      <c r="Z299" s="8"/>
      <c r="AA299" s="8"/>
      <c r="AB299" s="10"/>
      <c r="AC299" s="10"/>
      <c r="AD299" s="15">
        <f t="shared" si="33"/>
        <v>0</v>
      </c>
      <c r="AE299" s="11"/>
      <c r="AF299" s="11"/>
      <c r="AG299" s="11"/>
      <c r="AH299" s="16">
        <f t="shared" si="34"/>
        <v>0</v>
      </c>
    </row>
    <row r="300" spans="1:34" ht="30" x14ac:dyDescent="0.25">
      <c r="A300" s="2"/>
      <c r="B300" s="2"/>
      <c r="C300" s="2"/>
      <c r="D300" s="2"/>
      <c r="E300" s="2"/>
      <c r="F300" s="2"/>
      <c r="G300" s="3"/>
      <c r="H300" s="3"/>
      <c r="I300" s="3"/>
      <c r="J300" s="12">
        <f t="shared" si="30"/>
        <v>0</v>
      </c>
      <c r="K300" s="4"/>
      <c r="L300" s="4"/>
      <c r="M300" s="4"/>
      <c r="N300" s="13">
        <f t="shared" si="31"/>
        <v>0</v>
      </c>
      <c r="O300" s="5"/>
      <c r="P300" s="5"/>
      <c r="Q300" s="5"/>
      <c r="R300" s="14">
        <f t="shared" si="32"/>
        <v>0</v>
      </c>
      <c r="S300" s="9"/>
      <c r="T300" s="10">
        <v>5000</v>
      </c>
      <c r="U300" s="36" t="s">
        <v>1413</v>
      </c>
      <c r="V300" s="7"/>
      <c r="W300" s="7"/>
      <c r="X300" s="6"/>
      <c r="Y300" s="6"/>
      <c r="Z300" s="8"/>
      <c r="AA300" s="8"/>
      <c r="AB300" s="10"/>
      <c r="AC300" s="10"/>
      <c r="AD300" s="15">
        <f t="shared" si="33"/>
        <v>-5000</v>
      </c>
      <c r="AE300" s="11"/>
      <c r="AF300" s="11"/>
      <c r="AG300" s="11"/>
      <c r="AH300" s="16">
        <f t="shared" si="34"/>
        <v>-5000</v>
      </c>
    </row>
    <row r="301" spans="1:34" ht="21" x14ac:dyDescent="0.25">
      <c r="A301" s="2"/>
      <c r="B301" s="2"/>
      <c r="C301" s="2"/>
      <c r="D301" s="2"/>
      <c r="E301" s="2"/>
      <c r="F301" s="2"/>
      <c r="G301" s="3"/>
      <c r="H301" s="3"/>
      <c r="I301" s="3"/>
      <c r="J301" s="12">
        <f t="shared" si="30"/>
        <v>0</v>
      </c>
      <c r="K301" s="4"/>
      <c r="L301" s="4"/>
      <c r="M301" s="4"/>
      <c r="N301" s="13">
        <f t="shared" si="31"/>
        <v>0</v>
      </c>
      <c r="O301" s="5"/>
      <c r="P301" s="5"/>
      <c r="Q301" s="5"/>
      <c r="R301" s="14">
        <f t="shared" si="32"/>
        <v>0</v>
      </c>
      <c r="S301" s="9"/>
      <c r="T301" s="10"/>
      <c r="U301" s="10"/>
      <c r="V301" s="7"/>
      <c r="W301" s="7"/>
      <c r="X301" s="6"/>
      <c r="Y301" s="6"/>
      <c r="Z301" s="8"/>
      <c r="AA301" s="8"/>
      <c r="AB301" s="10"/>
      <c r="AC301" s="10"/>
      <c r="AD301" s="15">
        <f t="shared" si="33"/>
        <v>0</v>
      </c>
      <c r="AE301" s="11"/>
      <c r="AF301" s="11"/>
      <c r="AG301" s="11"/>
      <c r="AH301" s="16">
        <f t="shared" si="34"/>
        <v>0</v>
      </c>
    </row>
    <row r="302" spans="1:34" ht="21" x14ac:dyDescent="0.25">
      <c r="A302" s="2"/>
      <c r="B302" s="2"/>
      <c r="C302" s="2"/>
      <c r="D302" s="2"/>
      <c r="E302" s="2"/>
      <c r="F302" s="2"/>
      <c r="G302" s="3"/>
      <c r="H302" s="3"/>
      <c r="I302" s="3"/>
      <c r="J302" s="12">
        <f t="shared" si="30"/>
        <v>0</v>
      </c>
      <c r="K302" s="4"/>
      <c r="L302" s="4"/>
      <c r="M302" s="4"/>
      <c r="N302" s="13">
        <f t="shared" si="31"/>
        <v>0</v>
      </c>
      <c r="O302" s="5"/>
      <c r="P302" s="5"/>
      <c r="Q302" s="5"/>
      <c r="R302" s="14">
        <f t="shared" si="32"/>
        <v>0</v>
      </c>
      <c r="S302" s="9"/>
      <c r="T302" s="10"/>
      <c r="U302" s="10"/>
      <c r="V302" s="7"/>
      <c r="W302" s="7"/>
      <c r="X302" s="6"/>
      <c r="Y302" s="6"/>
      <c r="Z302" s="8"/>
      <c r="AA302" s="8"/>
      <c r="AB302" s="10"/>
      <c r="AC302" s="10"/>
      <c r="AD302" s="15">
        <f t="shared" si="33"/>
        <v>0</v>
      </c>
      <c r="AE302" s="11"/>
      <c r="AF302" s="11"/>
      <c r="AG302" s="11"/>
      <c r="AH302" s="16">
        <f t="shared" si="34"/>
        <v>0</v>
      </c>
    </row>
    <row r="303" spans="1:34" ht="30" x14ac:dyDescent="0.25">
      <c r="A303" s="2"/>
      <c r="B303" s="2"/>
      <c r="C303" s="2"/>
      <c r="D303" s="2"/>
      <c r="E303" s="2"/>
      <c r="F303" s="2"/>
      <c r="G303" s="3"/>
      <c r="H303" s="3"/>
      <c r="I303" s="3"/>
      <c r="J303" s="12">
        <f t="shared" si="30"/>
        <v>0</v>
      </c>
      <c r="K303" s="4"/>
      <c r="L303" s="4"/>
      <c r="M303" s="4"/>
      <c r="N303" s="13">
        <f t="shared" si="31"/>
        <v>0</v>
      </c>
      <c r="O303" s="5"/>
      <c r="P303" s="5">
        <v>8000</v>
      </c>
      <c r="Q303" s="35" t="s">
        <v>1403</v>
      </c>
      <c r="R303" s="14">
        <f t="shared" si="32"/>
        <v>-8000</v>
      </c>
      <c r="S303" s="9"/>
      <c r="T303" s="10"/>
      <c r="U303" s="10"/>
      <c r="V303" s="7"/>
      <c r="W303" s="7"/>
      <c r="X303" s="6"/>
      <c r="Y303" s="6"/>
      <c r="Z303" s="8"/>
      <c r="AA303" s="8"/>
      <c r="AB303" s="10"/>
      <c r="AC303" s="10"/>
      <c r="AD303" s="15">
        <f t="shared" si="33"/>
        <v>0</v>
      </c>
      <c r="AE303" s="11"/>
      <c r="AF303" s="11"/>
      <c r="AG303" s="11"/>
      <c r="AH303" s="16">
        <f t="shared" si="34"/>
        <v>-8000</v>
      </c>
    </row>
  </sheetData>
  <autoFilter ref="A1:AH303"/>
  <pageMargins left="1.45" right="0.25" top="0.25" bottom="0.25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272"/>
  <sheetViews>
    <sheetView workbookViewId="0">
      <selection activeCell="C143" sqref="C143"/>
    </sheetView>
  </sheetViews>
  <sheetFormatPr defaultRowHeight="15" x14ac:dyDescent="0.25"/>
  <cols>
    <col min="1" max="1" width="5.7109375" customWidth="1"/>
    <col min="2" max="2" width="5" customWidth="1"/>
    <col min="3" max="3" width="23.85546875" customWidth="1"/>
    <col min="4" max="4" width="20.85546875" customWidth="1"/>
    <col min="5" max="5" width="7.28515625" customWidth="1"/>
    <col min="6" max="6" width="12.7109375" style="44" customWidth="1"/>
    <col min="7" max="14" width="0" hidden="1" customWidth="1"/>
    <col min="17" max="17" width="12.7109375" customWidth="1"/>
    <col min="19" max="19" width="13" customWidth="1"/>
    <col min="21" max="21" width="13" customWidth="1"/>
  </cols>
  <sheetData>
    <row r="1" spans="1:34" ht="51" customHeight="1" x14ac:dyDescent="0.25">
      <c r="A1" s="49" t="s">
        <v>3182</v>
      </c>
      <c r="B1" s="50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48" t="s">
        <v>199</v>
      </c>
      <c r="AD1" s="16" t="s">
        <v>197</v>
      </c>
      <c r="AE1" s="11"/>
      <c r="AF1" s="11"/>
      <c r="AG1" s="17"/>
      <c r="AH1" s="16"/>
    </row>
    <row r="2" spans="1:34" x14ac:dyDescent="0.25">
      <c r="A2">
        <v>1</v>
      </c>
      <c r="B2" s="40"/>
      <c r="C2" s="40" t="s">
        <v>3183</v>
      </c>
      <c r="D2" s="40" t="s">
        <v>2494</v>
      </c>
      <c r="E2" s="40" t="s">
        <v>226</v>
      </c>
      <c r="F2" s="43" t="s">
        <v>3271</v>
      </c>
      <c r="G2" s="40"/>
      <c r="H2" s="40"/>
      <c r="I2" s="40"/>
      <c r="J2" s="40"/>
      <c r="K2" s="40"/>
      <c r="L2" s="40"/>
      <c r="M2" s="40"/>
      <c r="N2" s="40"/>
      <c r="O2" s="40">
        <v>17000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34" x14ac:dyDescent="0.25">
      <c r="A3">
        <v>2</v>
      </c>
      <c r="B3" s="40"/>
      <c r="C3" s="40" t="s">
        <v>3184</v>
      </c>
      <c r="D3" s="40" t="s">
        <v>3236</v>
      </c>
      <c r="E3" s="40" t="s">
        <v>226</v>
      </c>
      <c r="F3" s="43" t="s">
        <v>3272</v>
      </c>
      <c r="G3" s="40"/>
      <c r="H3" s="40"/>
      <c r="I3" s="40"/>
      <c r="J3" s="40"/>
      <c r="K3" s="40"/>
      <c r="L3" s="40"/>
      <c r="M3" s="40"/>
      <c r="N3" s="40"/>
      <c r="O3" s="40">
        <v>20000</v>
      </c>
      <c r="P3" s="40">
        <v>5000</v>
      </c>
      <c r="Q3" s="40" t="s">
        <v>3319</v>
      </c>
      <c r="R3" s="40">
        <v>5000</v>
      </c>
      <c r="S3" s="40" t="s">
        <v>3360</v>
      </c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</row>
    <row r="4" spans="1:34" x14ac:dyDescent="0.25">
      <c r="A4">
        <v>3</v>
      </c>
      <c r="B4" s="40"/>
      <c r="C4" s="40" t="s">
        <v>3185</v>
      </c>
      <c r="D4" s="40" t="s">
        <v>3237</v>
      </c>
      <c r="E4" s="40" t="s">
        <v>226</v>
      </c>
      <c r="F4" s="43" t="s">
        <v>3273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</row>
    <row r="5" spans="1:34" x14ac:dyDescent="0.25">
      <c r="A5">
        <v>4</v>
      </c>
      <c r="B5" s="40"/>
      <c r="C5" s="40" t="s">
        <v>3186</v>
      </c>
      <c r="D5" s="40" t="s">
        <v>3238</v>
      </c>
      <c r="E5" s="40" t="s">
        <v>226</v>
      </c>
      <c r="F5" s="43" t="s">
        <v>3274</v>
      </c>
      <c r="G5" s="40"/>
      <c r="H5" s="40"/>
      <c r="I5" s="40"/>
      <c r="J5" s="40"/>
      <c r="K5" s="40"/>
      <c r="L5" s="40"/>
      <c r="M5" s="40"/>
      <c r="N5" s="40"/>
      <c r="O5" s="40" t="s">
        <v>1842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 spans="1:34" x14ac:dyDescent="0.25">
      <c r="A6">
        <v>5</v>
      </c>
      <c r="B6" s="40"/>
      <c r="C6" s="40" t="s">
        <v>3187</v>
      </c>
      <c r="D6" s="40" t="s">
        <v>1944</v>
      </c>
      <c r="E6" s="40" t="s">
        <v>226</v>
      </c>
      <c r="F6" s="43" t="s">
        <v>3275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3320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spans="1:34" x14ac:dyDescent="0.25">
      <c r="A7">
        <v>6</v>
      </c>
      <c r="B7" s="40"/>
      <c r="C7" s="40" t="s">
        <v>3188</v>
      </c>
      <c r="D7" s="40" t="s">
        <v>3239</v>
      </c>
      <c r="E7" s="40" t="s">
        <v>226</v>
      </c>
      <c r="F7" s="43" t="s">
        <v>3276</v>
      </c>
      <c r="G7" s="40"/>
      <c r="H7" s="40"/>
      <c r="I7" s="40"/>
      <c r="J7" s="40"/>
      <c r="K7" s="40"/>
      <c r="L7" s="40"/>
      <c r="M7" s="40"/>
      <c r="N7" s="40"/>
      <c r="O7" s="40">
        <v>2000</v>
      </c>
      <c r="P7" s="40">
        <v>2000</v>
      </c>
      <c r="Q7" s="40" t="s">
        <v>3321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spans="1:34" x14ac:dyDescent="0.25">
      <c r="A8">
        <v>7</v>
      </c>
      <c r="B8" s="40"/>
      <c r="C8" s="40" t="s">
        <v>3189</v>
      </c>
      <c r="D8" s="40" t="s">
        <v>3240</v>
      </c>
      <c r="E8" s="40" t="s">
        <v>226</v>
      </c>
      <c r="F8" s="43" t="s">
        <v>3277</v>
      </c>
      <c r="G8" s="40"/>
      <c r="H8" s="40"/>
      <c r="I8" s="40"/>
      <c r="J8" s="40"/>
      <c r="K8" s="40"/>
      <c r="L8" s="40"/>
      <c r="M8" s="40"/>
      <c r="N8" s="40"/>
      <c r="O8" s="40">
        <v>5000</v>
      </c>
      <c r="P8" s="40">
        <v>3000</v>
      </c>
      <c r="Q8" s="40" t="s">
        <v>3051</v>
      </c>
      <c r="R8" s="40">
        <v>2000</v>
      </c>
      <c r="S8" s="40" t="s">
        <v>3361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>
        <v>8</v>
      </c>
      <c r="B9" s="40"/>
      <c r="C9" s="40" t="s">
        <v>3190</v>
      </c>
      <c r="D9" s="40" t="s">
        <v>3241</v>
      </c>
      <c r="E9" s="40" t="s">
        <v>226</v>
      </c>
      <c r="F9" s="43" t="s">
        <v>3278</v>
      </c>
      <c r="G9" s="40"/>
      <c r="H9" s="40"/>
      <c r="I9" s="40"/>
      <c r="J9" s="40"/>
      <c r="K9" s="40"/>
      <c r="L9" s="40"/>
      <c r="M9" s="40"/>
      <c r="N9" s="40"/>
      <c r="O9" s="40">
        <v>5000</v>
      </c>
      <c r="P9" s="40">
        <v>5000</v>
      </c>
      <c r="Q9" s="40" t="s">
        <v>3322</v>
      </c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spans="1:34" x14ac:dyDescent="0.25">
      <c r="A10">
        <v>9</v>
      </c>
      <c r="B10" s="40"/>
      <c r="C10" s="40" t="s">
        <v>3191</v>
      </c>
      <c r="D10" s="40" t="s">
        <v>2070</v>
      </c>
      <c r="E10" s="40" t="s">
        <v>226</v>
      </c>
      <c r="F10" s="43" t="s">
        <v>3279</v>
      </c>
      <c r="G10" s="40"/>
      <c r="H10" s="40"/>
      <c r="I10" s="40"/>
      <c r="J10" s="40"/>
      <c r="K10" s="40"/>
      <c r="L10" s="40"/>
      <c r="M10" s="40"/>
      <c r="N10" s="40"/>
      <c r="O10" s="40">
        <v>5000</v>
      </c>
      <c r="P10" s="40">
        <v>2000</v>
      </c>
      <c r="Q10" s="40" t="s">
        <v>3323</v>
      </c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>
        <v>10</v>
      </c>
      <c r="B11" s="40"/>
      <c r="C11" s="40" t="s">
        <v>3192</v>
      </c>
      <c r="D11" s="40" t="s">
        <v>3242</v>
      </c>
      <c r="E11" s="40" t="s">
        <v>226</v>
      </c>
      <c r="F11" s="43" t="s">
        <v>3280</v>
      </c>
      <c r="G11" s="40"/>
      <c r="H11" s="40"/>
      <c r="I11" s="40"/>
      <c r="J11" s="40"/>
      <c r="K11" s="40"/>
      <c r="L11" s="40"/>
      <c r="M11" s="40"/>
      <c r="N11" s="40"/>
      <c r="O11" s="40">
        <v>2000</v>
      </c>
      <c r="P11" s="40">
        <v>2000</v>
      </c>
      <c r="Q11" s="40" t="s">
        <v>3324</v>
      </c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>
        <v>11</v>
      </c>
      <c r="B12" s="40"/>
      <c r="C12" s="40" t="s">
        <v>3193</v>
      </c>
      <c r="D12" s="40" t="s">
        <v>3243</v>
      </c>
      <c r="E12" s="40" t="s">
        <v>226</v>
      </c>
      <c r="F12" s="43" t="s">
        <v>3281</v>
      </c>
      <c r="G12" s="40"/>
      <c r="H12" s="40"/>
      <c r="I12" s="40"/>
      <c r="J12" s="40"/>
      <c r="K12" s="40"/>
      <c r="L12" s="40"/>
      <c r="M12" s="40"/>
      <c r="N12" s="40"/>
      <c r="O12" s="40">
        <v>10000</v>
      </c>
      <c r="P12" s="40">
        <v>5000</v>
      </c>
      <c r="Q12" s="40" t="s">
        <v>3325</v>
      </c>
      <c r="R12" s="40">
        <v>3000</v>
      </c>
      <c r="S12" s="40" t="s">
        <v>3362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>
        <v>12</v>
      </c>
      <c r="B13" s="40"/>
      <c r="C13" s="40" t="s">
        <v>3194</v>
      </c>
      <c r="D13" s="40" t="s">
        <v>3244</v>
      </c>
      <c r="E13" s="40" t="s">
        <v>226</v>
      </c>
      <c r="F13" s="43" t="s">
        <v>3282</v>
      </c>
      <c r="G13" s="40"/>
      <c r="H13" s="40"/>
      <c r="I13" s="40"/>
      <c r="J13" s="40"/>
      <c r="K13" s="40"/>
      <c r="L13" s="40"/>
      <c r="M13" s="40"/>
      <c r="N13" s="40"/>
      <c r="O13" s="40">
        <v>5000</v>
      </c>
      <c r="P13" s="40">
        <v>2000</v>
      </c>
      <c r="Q13" s="40" t="s">
        <v>3326</v>
      </c>
      <c r="R13" s="40">
        <v>1000</v>
      </c>
      <c r="S13" s="40" t="s">
        <v>3363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>
        <v>13</v>
      </c>
      <c r="B14" s="40"/>
      <c r="C14" s="40" t="s">
        <v>3195</v>
      </c>
      <c r="D14" s="40" t="s">
        <v>3245</v>
      </c>
      <c r="E14" s="40" t="s">
        <v>226</v>
      </c>
      <c r="F14" s="43" t="s">
        <v>2712</v>
      </c>
      <c r="G14" s="40"/>
      <c r="H14" s="40"/>
      <c r="I14" s="40"/>
      <c r="J14" s="40"/>
      <c r="K14" s="40"/>
      <c r="L14" s="40"/>
      <c r="M14" s="40"/>
      <c r="N14" s="40"/>
      <c r="O14" s="45">
        <v>5000</v>
      </c>
      <c r="P14" s="40">
        <v>2500</v>
      </c>
      <c r="Q14" s="40" t="s">
        <v>3327</v>
      </c>
      <c r="R14" s="40">
        <v>1000</v>
      </c>
      <c r="S14" s="40" t="s">
        <v>3364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>
        <v>14</v>
      </c>
      <c r="B15" s="40"/>
      <c r="C15" s="40" t="s">
        <v>3196</v>
      </c>
      <c r="D15" s="45" t="s">
        <v>2672</v>
      </c>
      <c r="E15" s="40" t="s">
        <v>226</v>
      </c>
      <c r="F15" s="43" t="s">
        <v>2712</v>
      </c>
      <c r="G15" s="40"/>
      <c r="H15" s="40"/>
      <c r="I15" s="40"/>
      <c r="J15" s="40"/>
      <c r="K15" s="40"/>
      <c r="L15" s="40"/>
      <c r="M15" s="40"/>
      <c r="N15" s="40"/>
      <c r="O15" s="40">
        <v>7000</v>
      </c>
      <c r="P15" s="40">
        <v>1000</v>
      </c>
      <c r="Q15" s="40" t="s">
        <v>3328</v>
      </c>
      <c r="R15" s="40">
        <v>2000</v>
      </c>
      <c r="S15" s="40" t="s">
        <v>3365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>
        <v>15</v>
      </c>
      <c r="B16" s="40"/>
      <c r="C16" s="40" t="s">
        <v>3197</v>
      </c>
      <c r="D16" s="40" t="s">
        <v>3246</v>
      </c>
      <c r="E16" s="40" t="s">
        <v>226</v>
      </c>
      <c r="F16" s="43" t="s">
        <v>3283</v>
      </c>
      <c r="G16" s="40"/>
      <c r="H16" s="40"/>
      <c r="I16" s="40"/>
      <c r="J16" s="40"/>
      <c r="K16" s="40"/>
      <c r="L16" s="40"/>
      <c r="M16" s="40"/>
      <c r="N16" s="40"/>
      <c r="O16" s="40">
        <v>7000</v>
      </c>
      <c r="P16" s="40">
        <v>3000</v>
      </c>
      <c r="Q16" s="40" t="s">
        <v>3329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>
        <v>16</v>
      </c>
      <c r="B17" s="40"/>
      <c r="C17" s="40" t="s">
        <v>3198</v>
      </c>
      <c r="D17" s="40" t="s">
        <v>3247</v>
      </c>
      <c r="E17" s="40" t="s">
        <v>226</v>
      </c>
      <c r="F17" s="43" t="s">
        <v>3284</v>
      </c>
      <c r="G17" s="40"/>
      <c r="H17" s="40"/>
      <c r="I17" s="40"/>
      <c r="J17" s="40"/>
      <c r="K17" s="40"/>
      <c r="L17" s="40"/>
      <c r="M17" s="40"/>
      <c r="N17" s="40"/>
      <c r="O17" s="40">
        <v>20000</v>
      </c>
      <c r="P17" s="40">
        <v>2000</v>
      </c>
      <c r="Q17" s="40" t="s">
        <v>3330</v>
      </c>
      <c r="R17" s="40">
        <v>1800</v>
      </c>
      <c r="S17" s="40" t="s">
        <v>3366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>
        <v>17</v>
      </c>
      <c r="B18" s="40"/>
      <c r="C18" s="40" t="s">
        <v>3199</v>
      </c>
      <c r="D18" s="40" t="s">
        <v>3248</v>
      </c>
      <c r="E18" s="40" t="s">
        <v>226</v>
      </c>
      <c r="F18" s="43" t="s">
        <v>3285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2500</v>
      </c>
      <c r="Q18" s="40" t="s">
        <v>3331</v>
      </c>
      <c r="R18" s="40">
        <v>2500</v>
      </c>
      <c r="S18" s="40" t="s">
        <v>3367</v>
      </c>
      <c r="T18" s="40">
        <v>2000</v>
      </c>
      <c r="U18" s="40" t="s">
        <v>3387</v>
      </c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>
        <v>18</v>
      </c>
      <c r="B19" s="40"/>
      <c r="C19" s="40" t="s">
        <v>3200</v>
      </c>
      <c r="D19" s="40" t="s">
        <v>3249</v>
      </c>
      <c r="E19" s="40" t="s">
        <v>226</v>
      </c>
      <c r="F19" s="43" t="s">
        <v>3286</v>
      </c>
      <c r="G19" s="40"/>
      <c r="H19" s="40"/>
      <c r="I19" s="40"/>
      <c r="J19" s="40"/>
      <c r="K19" s="40"/>
      <c r="L19" s="40"/>
      <c r="M19" s="40"/>
      <c r="N19" s="40"/>
      <c r="O19" s="40">
        <v>10000</v>
      </c>
      <c r="P19" s="40">
        <v>5000</v>
      </c>
      <c r="Q19" s="40" t="s">
        <v>3332</v>
      </c>
      <c r="R19" s="40">
        <v>5000</v>
      </c>
      <c r="S19" s="40" t="s">
        <v>3368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>
        <v>19</v>
      </c>
      <c r="B20" s="40"/>
      <c r="C20" s="40" t="s">
        <v>3201</v>
      </c>
      <c r="D20" s="40" t="s">
        <v>2013</v>
      </c>
      <c r="E20" s="40" t="s">
        <v>226</v>
      </c>
      <c r="F20" s="43" t="s">
        <v>3287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>
        <v>5000</v>
      </c>
      <c r="Q20" s="40" t="s">
        <v>3333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>
        <v>20</v>
      </c>
      <c r="B21" s="40"/>
      <c r="C21" s="40" t="s">
        <v>3202</v>
      </c>
      <c r="D21" s="40" t="s">
        <v>1942</v>
      </c>
      <c r="E21" s="40" t="s">
        <v>226</v>
      </c>
      <c r="F21" s="43" t="s">
        <v>3288</v>
      </c>
      <c r="G21" s="40"/>
      <c r="H21" s="40"/>
      <c r="I21" s="40"/>
      <c r="J21" s="40"/>
      <c r="K21" s="40"/>
      <c r="L21" s="40"/>
      <c r="M21" s="40"/>
      <c r="N21" s="40"/>
      <c r="O21" s="40" t="s">
        <v>1842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>
        <v>21</v>
      </c>
      <c r="B22" s="40"/>
      <c r="C22" s="40" t="s">
        <v>3203</v>
      </c>
      <c r="D22" s="40" t="s">
        <v>2660</v>
      </c>
      <c r="E22" s="40" t="s">
        <v>226</v>
      </c>
      <c r="F22" s="43" t="s">
        <v>3289</v>
      </c>
      <c r="G22" s="40"/>
      <c r="H22" s="40"/>
      <c r="I22" s="40"/>
      <c r="J22" s="40"/>
      <c r="K22" s="40"/>
      <c r="L22" s="40"/>
      <c r="M22" s="40"/>
      <c r="N22" s="40"/>
      <c r="O22" s="40">
        <v>15000</v>
      </c>
      <c r="P22" s="40">
        <v>1000</v>
      </c>
      <c r="Q22" s="40" t="s">
        <v>3334</v>
      </c>
      <c r="R22" s="40">
        <v>4000</v>
      </c>
      <c r="S22" s="40" t="s">
        <v>3369</v>
      </c>
      <c r="T22" s="40">
        <v>4000</v>
      </c>
      <c r="U22" s="40" t="s">
        <v>3388</v>
      </c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ht="14.25" customHeight="1" x14ac:dyDescent="0.25">
      <c r="A23">
        <v>22</v>
      </c>
      <c r="B23" s="40"/>
      <c r="C23" s="40" t="s">
        <v>3204</v>
      </c>
      <c r="D23" s="40" t="s">
        <v>1877</v>
      </c>
      <c r="E23" s="40" t="s">
        <v>226</v>
      </c>
      <c r="F23" s="43" t="s">
        <v>3290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>
        <v>23</v>
      </c>
      <c r="B24" s="40"/>
      <c r="C24" s="40" t="s">
        <v>3205</v>
      </c>
      <c r="D24" s="40" t="s">
        <v>3251</v>
      </c>
      <c r="E24" s="40" t="s">
        <v>226</v>
      </c>
      <c r="F24" s="43" t="s">
        <v>3291</v>
      </c>
      <c r="G24" s="40"/>
      <c r="H24" s="40"/>
      <c r="I24" s="40"/>
      <c r="J24" s="40"/>
      <c r="K24" s="40"/>
      <c r="L24" s="40"/>
      <c r="M24" s="40"/>
      <c r="N24" s="40"/>
      <c r="O24" s="40">
        <v>14000</v>
      </c>
      <c r="P24" s="40">
        <v>5000</v>
      </c>
      <c r="Q24" s="40" t="s">
        <v>3335</v>
      </c>
      <c r="R24" s="40">
        <v>2000</v>
      </c>
      <c r="S24" s="40" t="s">
        <v>3370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>
        <v>24</v>
      </c>
      <c r="B25" s="40"/>
      <c r="C25" s="40" t="s">
        <v>3206</v>
      </c>
      <c r="D25" s="40" t="s">
        <v>3252</v>
      </c>
      <c r="E25" s="40" t="s">
        <v>226</v>
      </c>
      <c r="F25" s="43" t="s">
        <v>3292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>
        <v>5000</v>
      </c>
      <c r="Q25" s="40" t="s">
        <v>3336</v>
      </c>
      <c r="R25" s="40">
        <v>33000</v>
      </c>
      <c r="S25" s="40" t="s">
        <v>3371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>
        <v>25</v>
      </c>
      <c r="B26" s="40"/>
      <c r="C26" s="40" t="s">
        <v>3207</v>
      </c>
      <c r="D26" s="40" t="s">
        <v>2166</v>
      </c>
      <c r="E26" s="40" t="s">
        <v>226</v>
      </c>
      <c r="F26" s="43" t="s">
        <v>3293</v>
      </c>
      <c r="G26" s="40"/>
      <c r="H26" s="40"/>
      <c r="I26" s="40"/>
      <c r="J26" s="40"/>
      <c r="K26" s="40"/>
      <c r="L26" s="40"/>
      <c r="M26" s="40"/>
      <c r="N26" s="40"/>
      <c r="O26" s="40">
        <v>7000</v>
      </c>
      <c r="P26" s="40">
        <v>5000</v>
      </c>
      <c r="Q26" s="40" t="s">
        <v>3337</v>
      </c>
      <c r="R26" s="40">
        <v>1000</v>
      </c>
      <c r="S26" s="40" t="s">
        <v>3372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>
        <v>26</v>
      </c>
      <c r="B27" s="40"/>
      <c r="C27" s="40" t="s">
        <v>3208</v>
      </c>
      <c r="D27" s="40" t="s">
        <v>1885</v>
      </c>
      <c r="E27" s="40" t="s">
        <v>226</v>
      </c>
      <c r="F27" s="43" t="s">
        <v>3294</v>
      </c>
      <c r="G27" s="40"/>
      <c r="H27" s="40"/>
      <c r="I27" s="40"/>
      <c r="J27" s="40"/>
      <c r="K27" s="40"/>
      <c r="L27" s="40"/>
      <c r="M27" s="40"/>
      <c r="N27" s="40"/>
      <c r="O27" s="40">
        <v>12000</v>
      </c>
      <c r="P27" s="40">
        <v>4000</v>
      </c>
      <c r="Q27" s="40" t="s">
        <v>3338</v>
      </c>
      <c r="R27" s="40">
        <v>2600</v>
      </c>
      <c r="S27" s="40" t="s">
        <v>3373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>
        <v>27</v>
      </c>
      <c r="B28" s="40"/>
      <c r="C28" s="40" t="s">
        <v>3250</v>
      </c>
      <c r="D28" s="40" t="s">
        <v>3253</v>
      </c>
      <c r="E28" s="40" t="s">
        <v>226</v>
      </c>
      <c r="F28" s="43" t="s">
        <v>3295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3339</v>
      </c>
      <c r="R28" s="40">
        <v>3300</v>
      </c>
      <c r="S28" s="40" t="s">
        <v>3374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>
        <v>28</v>
      </c>
      <c r="B29" s="40"/>
      <c r="C29" s="40" t="s">
        <v>3209</v>
      </c>
      <c r="D29" s="40" t="s">
        <v>3254</v>
      </c>
      <c r="E29" s="40" t="s">
        <v>226</v>
      </c>
      <c r="F29" s="43" t="s">
        <v>3296</v>
      </c>
      <c r="G29" s="40"/>
      <c r="H29" s="40"/>
      <c r="I29" s="40"/>
      <c r="J29" s="40"/>
      <c r="K29" s="40"/>
      <c r="L29" s="40"/>
      <c r="M29" s="40"/>
      <c r="N29" s="40"/>
      <c r="O29" s="40">
        <v>15000</v>
      </c>
      <c r="P29" s="40">
        <v>5000</v>
      </c>
      <c r="Q29" s="40" t="s">
        <v>3340</v>
      </c>
      <c r="R29" s="40">
        <v>3300</v>
      </c>
      <c r="S29" s="40" t="s">
        <v>3375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>
        <v>29</v>
      </c>
      <c r="B30" s="40"/>
      <c r="C30" s="40" t="s">
        <v>3210</v>
      </c>
      <c r="D30" s="40" t="s">
        <v>2010</v>
      </c>
      <c r="E30" s="40" t="s">
        <v>226</v>
      </c>
      <c r="F30" s="43" t="s">
        <v>3297</v>
      </c>
      <c r="G30" s="40"/>
      <c r="H30" s="40"/>
      <c r="I30" s="40"/>
      <c r="J30" s="40"/>
      <c r="K30" s="40"/>
      <c r="L30" s="40"/>
      <c r="M30" s="40"/>
      <c r="N30" s="40"/>
      <c r="O30" s="40">
        <v>15000</v>
      </c>
      <c r="P30" s="40">
        <v>7000</v>
      </c>
      <c r="Q30" s="40" t="s">
        <v>3341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>
        <v>30</v>
      </c>
      <c r="B31" s="40"/>
      <c r="C31" s="40" t="s">
        <v>3211</v>
      </c>
      <c r="D31" s="40" t="s">
        <v>3255</v>
      </c>
      <c r="E31" s="40" t="s">
        <v>226</v>
      </c>
      <c r="F31" s="43" t="s">
        <v>3298</v>
      </c>
      <c r="G31" s="40"/>
      <c r="H31" s="40"/>
      <c r="I31" s="40"/>
      <c r="J31" s="40"/>
      <c r="K31" s="40"/>
      <c r="L31" s="40"/>
      <c r="M31" s="40"/>
      <c r="N31" s="40"/>
      <c r="O31" s="40">
        <v>25000</v>
      </c>
      <c r="P31" s="40">
        <v>5000</v>
      </c>
      <c r="Q31" s="40" t="s">
        <v>3342</v>
      </c>
      <c r="R31" s="40">
        <v>6600</v>
      </c>
      <c r="S31" s="40" t="s">
        <v>3376</v>
      </c>
      <c r="T31" s="40">
        <v>5000</v>
      </c>
      <c r="U31" s="40" t="s">
        <v>3389</v>
      </c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>
        <v>31</v>
      </c>
      <c r="B32" s="40"/>
      <c r="C32" s="40" t="s">
        <v>3212</v>
      </c>
      <c r="D32" s="40" t="s">
        <v>3256</v>
      </c>
      <c r="E32" s="40" t="s">
        <v>226</v>
      </c>
      <c r="F32" s="43" t="s">
        <v>3299</v>
      </c>
      <c r="G32" s="40"/>
      <c r="H32" s="40"/>
      <c r="I32" s="40"/>
      <c r="J32" s="40"/>
      <c r="K32" s="40"/>
      <c r="L32" s="40"/>
      <c r="M32" s="40"/>
      <c r="N32" s="40"/>
      <c r="O32" s="40">
        <v>15000</v>
      </c>
      <c r="P32" s="40">
        <v>3000</v>
      </c>
      <c r="Q32" s="40" t="s">
        <v>3343</v>
      </c>
      <c r="R32" s="40">
        <v>5000</v>
      </c>
      <c r="S32" s="40" t="s">
        <v>3377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>
        <v>32</v>
      </c>
      <c r="B33" s="40"/>
      <c r="C33" s="40" t="s">
        <v>3213</v>
      </c>
      <c r="D33" s="40" t="s">
        <v>3257</v>
      </c>
      <c r="E33" s="40" t="s">
        <v>226</v>
      </c>
      <c r="F33" s="43" t="s">
        <v>3300</v>
      </c>
      <c r="G33" s="40"/>
      <c r="H33" s="40"/>
      <c r="I33" s="40"/>
      <c r="J33" s="40"/>
      <c r="K33" s="40"/>
      <c r="L33" s="40"/>
      <c r="M33" s="40"/>
      <c r="N33" s="40"/>
      <c r="O33" s="40">
        <v>7000</v>
      </c>
      <c r="P33" s="40">
        <v>7000</v>
      </c>
      <c r="Q33" s="40" t="s">
        <v>3344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>
        <v>33</v>
      </c>
      <c r="B34" s="40"/>
      <c r="C34" s="40" t="s">
        <v>3214</v>
      </c>
      <c r="D34" s="40" t="s">
        <v>3258</v>
      </c>
      <c r="E34" s="40" t="s">
        <v>226</v>
      </c>
      <c r="F34" s="43" t="s">
        <v>3301</v>
      </c>
      <c r="G34" s="40"/>
      <c r="H34" s="40"/>
      <c r="I34" s="40"/>
      <c r="J34" s="40"/>
      <c r="K34" s="40"/>
      <c r="L34" s="40"/>
      <c r="M34" s="40"/>
      <c r="N34" s="40"/>
      <c r="O34" s="40">
        <v>18000</v>
      </c>
      <c r="P34" s="40">
        <v>2000</v>
      </c>
      <c r="Q34" s="40" t="s">
        <v>3345</v>
      </c>
      <c r="R34" s="40">
        <v>5300</v>
      </c>
      <c r="S34" s="40" t="s">
        <v>3378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>
        <v>34</v>
      </c>
      <c r="B35" s="40"/>
      <c r="C35" s="40" t="s">
        <v>3215</v>
      </c>
      <c r="D35" s="40" t="s">
        <v>3259</v>
      </c>
      <c r="E35" s="40" t="s">
        <v>226</v>
      </c>
      <c r="F35" s="43" t="s">
        <v>3302</v>
      </c>
      <c r="G35" s="40"/>
      <c r="H35" s="40"/>
      <c r="I35" s="40"/>
      <c r="J35" s="40"/>
      <c r="K35" s="40"/>
      <c r="L35" s="40"/>
      <c r="M35" s="40"/>
      <c r="N35" s="40"/>
      <c r="O35" s="40">
        <v>17000</v>
      </c>
      <c r="P35" s="40">
        <v>5000</v>
      </c>
      <c r="Q35" s="40" t="s">
        <v>3346</v>
      </c>
      <c r="R35" s="40">
        <v>4000</v>
      </c>
      <c r="S35" s="40" t="s">
        <v>3379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>
        <v>35</v>
      </c>
      <c r="B36" s="40"/>
      <c r="C36" s="40" t="s">
        <v>3216</v>
      </c>
      <c r="D36" s="40" t="s">
        <v>3116</v>
      </c>
      <c r="E36" s="40" t="s">
        <v>226</v>
      </c>
      <c r="F36" s="43" t="s">
        <v>3303</v>
      </c>
      <c r="G36" s="40"/>
      <c r="H36" s="40"/>
      <c r="I36" s="40"/>
      <c r="J36" s="40"/>
      <c r="K36" s="40"/>
      <c r="L36" s="40"/>
      <c r="M36" s="40"/>
      <c r="N36" s="40"/>
      <c r="O36" s="40">
        <v>15000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>
        <v>36</v>
      </c>
      <c r="B37" s="40"/>
      <c r="C37" s="40" t="s">
        <v>3217</v>
      </c>
      <c r="D37" s="40" t="s">
        <v>2842</v>
      </c>
      <c r="E37" s="40" t="s">
        <v>226</v>
      </c>
      <c r="F37" s="43" t="s">
        <v>3304</v>
      </c>
      <c r="G37" s="40"/>
      <c r="H37" s="40"/>
      <c r="I37" s="40"/>
      <c r="J37" s="40"/>
      <c r="K37" s="40"/>
      <c r="L37" s="40"/>
      <c r="M37" s="40"/>
      <c r="N37" s="40"/>
      <c r="O37" s="40">
        <v>15000</v>
      </c>
      <c r="P37" s="40">
        <v>10000</v>
      </c>
      <c r="Q37" s="40" t="s">
        <v>3347</v>
      </c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>
        <v>37</v>
      </c>
      <c r="B38" s="40"/>
      <c r="C38" s="40" t="s">
        <v>3218</v>
      </c>
      <c r="D38" s="40" t="s">
        <v>3260</v>
      </c>
      <c r="E38" s="40" t="s">
        <v>226</v>
      </c>
      <c r="F38" s="43" t="s">
        <v>3305</v>
      </c>
      <c r="G38" s="40"/>
      <c r="H38" s="40"/>
      <c r="I38" s="40"/>
      <c r="J38" s="40"/>
      <c r="K38" s="40"/>
      <c r="L38" s="40"/>
      <c r="M38" s="40"/>
      <c r="N38" s="40"/>
      <c r="O38" s="40">
        <v>18000</v>
      </c>
      <c r="P38" s="40">
        <v>1000</v>
      </c>
      <c r="Q38" s="40" t="s">
        <v>3348</v>
      </c>
      <c r="R38" s="40">
        <v>5000</v>
      </c>
      <c r="S38" s="40" t="s">
        <v>3380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>
        <v>38</v>
      </c>
      <c r="B39" s="40"/>
      <c r="C39" s="40" t="s">
        <v>3219</v>
      </c>
      <c r="D39" s="40" t="s">
        <v>2831</v>
      </c>
      <c r="E39" s="40" t="s">
        <v>226</v>
      </c>
      <c r="F39" s="43" t="s">
        <v>3306</v>
      </c>
      <c r="G39" s="40"/>
      <c r="H39" s="40"/>
      <c r="I39" s="40"/>
      <c r="J39" s="40"/>
      <c r="K39" s="40"/>
      <c r="L39" s="40"/>
      <c r="M39" s="40"/>
      <c r="N39" s="40"/>
      <c r="O39" s="40">
        <v>20000</v>
      </c>
      <c r="P39" s="40">
        <v>5000</v>
      </c>
      <c r="Q39" s="40" t="s">
        <v>3350</v>
      </c>
      <c r="R39" s="40">
        <v>5000</v>
      </c>
      <c r="S39" s="40" t="s">
        <v>3381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>
        <v>39</v>
      </c>
      <c r="B40" s="40"/>
      <c r="C40" s="40" t="s">
        <v>3220</v>
      </c>
      <c r="D40" s="40" t="s">
        <v>1885</v>
      </c>
      <c r="E40" s="40" t="s">
        <v>226</v>
      </c>
      <c r="F40" s="43" t="s">
        <v>3308</v>
      </c>
      <c r="G40" s="40"/>
      <c r="H40" s="40"/>
      <c r="I40" s="40"/>
      <c r="J40" s="40"/>
      <c r="K40" s="40"/>
      <c r="L40" s="40"/>
      <c r="M40" s="40"/>
      <c r="N40" s="40"/>
      <c r="O40" s="40">
        <v>15000</v>
      </c>
      <c r="P40" s="40">
        <v>2000</v>
      </c>
      <c r="Q40" s="40" t="s">
        <v>3349</v>
      </c>
      <c r="R40" s="40">
        <v>3000</v>
      </c>
      <c r="S40" s="40" t="s">
        <v>3382</v>
      </c>
      <c r="T40" s="40">
        <v>5000</v>
      </c>
      <c r="U40" s="40" t="s">
        <v>3390</v>
      </c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>
        <v>40</v>
      </c>
      <c r="B41" s="40"/>
      <c r="C41" s="40" t="s">
        <v>3221</v>
      </c>
      <c r="D41" s="40" t="s">
        <v>3261</v>
      </c>
      <c r="E41" s="40" t="s">
        <v>226</v>
      </c>
      <c r="F41" s="43" t="s">
        <v>3307</v>
      </c>
      <c r="G41" s="40"/>
      <c r="H41" s="40"/>
      <c r="I41" s="40"/>
      <c r="J41" s="40"/>
      <c r="K41" s="40"/>
      <c r="L41" s="40"/>
      <c r="M41" s="40"/>
      <c r="N41" s="40"/>
      <c r="O41" s="40">
        <v>10000</v>
      </c>
      <c r="P41" s="40">
        <v>1700</v>
      </c>
      <c r="Q41" s="40" t="s">
        <v>3351</v>
      </c>
      <c r="R41" s="40">
        <v>2000</v>
      </c>
      <c r="S41" s="40" t="s">
        <v>3383</v>
      </c>
      <c r="T41" s="40">
        <v>6500</v>
      </c>
      <c r="U41" s="40" t="s">
        <v>3391</v>
      </c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>
        <v>41</v>
      </c>
      <c r="B42" s="40"/>
      <c r="C42" s="40" t="s">
        <v>3222</v>
      </c>
      <c r="D42" s="40" t="s">
        <v>2493</v>
      </c>
      <c r="E42" s="40" t="s">
        <v>226</v>
      </c>
      <c r="F42" s="43" t="s">
        <v>3309</v>
      </c>
      <c r="G42" s="40"/>
      <c r="H42" s="40"/>
      <c r="I42" s="40"/>
      <c r="J42" s="40"/>
      <c r="K42" s="40"/>
      <c r="L42" s="40"/>
      <c r="M42" s="40"/>
      <c r="N42" s="40"/>
      <c r="O42" s="40">
        <v>5000</v>
      </c>
      <c r="P42" s="40">
        <v>2000</v>
      </c>
      <c r="Q42" s="40" t="s">
        <v>3352</v>
      </c>
      <c r="R42" s="40">
        <v>1000</v>
      </c>
      <c r="S42" s="40" t="s">
        <v>3384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>
        <v>42</v>
      </c>
      <c r="B43" s="40"/>
      <c r="C43" s="40" t="s">
        <v>3223</v>
      </c>
      <c r="D43" s="40" t="s">
        <v>3262</v>
      </c>
      <c r="E43" s="40" t="s">
        <v>226</v>
      </c>
      <c r="F43" s="43" t="s">
        <v>3310</v>
      </c>
      <c r="G43" s="40"/>
      <c r="H43" s="40"/>
      <c r="I43" s="40"/>
      <c r="J43" s="40"/>
      <c r="K43" s="40"/>
      <c r="L43" s="40"/>
      <c r="M43" s="40"/>
      <c r="N43" s="40"/>
      <c r="O43" s="40">
        <v>15000</v>
      </c>
      <c r="P43" s="40">
        <v>1000</v>
      </c>
      <c r="Q43" s="40" t="s">
        <v>3353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>
        <v>43</v>
      </c>
      <c r="B44" s="40"/>
      <c r="C44" s="40" t="s">
        <v>3224</v>
      </c>
      <c r="D44" s="40" t="s">
        <v>3263</v>
      </c>
      <c r="E44" s="40" t="s">
        <v>226</v>
      </c>
      <c r="F44" s="43" t="s">
        <v>3311</v>
      </c>
      <c r="G44" s="40"/>
      <c r="H44" s="40"/>
      <c r="I44" s="40"/>
      <c r="J44" s="40"/>
      <c r="K44" s="40"/>
      <c r="L44" s="40"/>
      <c r="M44" s="40"/>
      <c r="N44" s="40"/>
      <c r="O44" s="40">
        <v>10000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>
        <v>44</v>
      </c>
      <c r="B45" s="40"/>
      <c r="C45" s="40" t="s">
        <v>3225</v>
      </c>
      <c r="D45" s="40" t="s">
        <v>3264</v>
      </c>
      <c r="E45" s="40" t="s">
        <v>226</v>
      </c>
      <c r="F45" s="43" t="s">
        <v>3312</v>
      </c>
      <c r="G45" s="40"/>
      <c r="H45" s="40"/>
      <c r="I45" s="40"/>
      <c r="J45" s="40"/>
      <c r="K45" s="40"/>
      <c r="L45" s="40"/>
      <c r="M45" s="40"/>
      <c r="N45" s="40"/>
      <c r="O45" s="40">
        <v>5000</v>
      </c>
      <c r="P45" s="40">
        <v>1000</v>
      </c>
      <c r="Q45" s="40" t="s">
        <v>3354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>
        <v>45</v>
      </c>
      <c r="B46" s="40"/>
      <c r="C46" s="40" t="s">
        <v>3226</v>
      </c>
      <c r="D46" s="40" t="s">
        <v>3265</v>
      </c>
      <c r="E46" s="40" t="s">
        <v>226</v>
      </c>
      <c r="F46" s="43" t="s">
        <v>3313</v>
      </c>
      <c r="G46" s="40"/>
      <c r="H46" s="40"/>
      <c r="I46" s="40"/>
      <c r="J46" s="40"/>
      <c r="K46" s="40"/>
      <c r="L46" s="40"/>
      <c r="M46" s="40"/>
      <c r="N46" s="40"/>
      <c r="O46" s="40">
        <v>5000</v>
      </c>
      <c r="P46" s="40">
        <v>5000</v>
      </c>
      <c r="Q46" s="40" t="s">
        <v>3355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>
        <v>46</v>
      </c>
      <c r="B47" s="40"/>
      <c r="C47" s="40" t="s">
        <v>3227</v>
      </c>
      <c r="D47" s="40" t="s">
        <v>3266</v>
      </c>
      <c r="E47" s="40" t="s">
        <v>226</v>
      </c>
      <c r="F47" s="43" t="s">
        <v>3314</v>
      </c>
      <c r="G47" s="40"/>
      <c r="H47" s="40"/>
      <c r="I47" s="40"/>
      <c r="J47" s="40"/>
      <c r="K47" s="40"/>
      <c r="L47" s="40"/>
      <c r="M47" s="40"/>
      <c r="N47" s="40"/>
      <c r="O47" s="40">
        <v>12000</v>
      </c>
      <c r="P47" s="40">
        <v>5000</v>
      </c>
      <c r="Q47" s="40" t="s">
        <v>3356</v>
      </c>
      <c r="R47" s="40">
        <v>2000</v>
      </c>
      <c r="S47" s="40" t="s">
        <v>3385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>
        <v>47</v>
      </c>
      <c r="B48" s="40"/>
      <c r="C48" s="40" t="s">
        <v>3228</v>
      </c>
      <c r="D48" s="40" t="s">
        <v>3242</v>
      </c>
      <c r="E48" s="40" t="s">
        <v>226</v>
      </c>
      <c r="F48" s="43" t="s">
        <v>3315</v>
      </c>
      <c r="G48" s="40"/>
      <c r="H48" s="40"/>
      <c r="I48" s="40"/>
      <c r="J48" s="40"/>
      <c r="K48" s="40"/>
      <c r="L48" s="40"/>
      <c r="M48" s="40"/>
      <c r="N48" s="40"/>
      <c r="O48" s="40">
        <v>5000</v>
      </c>
      <c r="P48" s="40">
        <v>1000</v>
      </c>
      <c r="Q48" s="40" t="s">
        <v>3357</v>
      </c>
      <c r="R48" s="40">
        <v>4000</v>
      </c>
      <c r="S48" s="40" t="s">
        <v>3386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>
        <v>48</v>
      </c>
      <c r="B49" s="40"/>
      <c r="C49" s="40" t="s">
        <v>3229</v>
      </c>
      <c r="D49" s="40" t="s">
        <v>3118</v>
      </c>
      <c r="E49" s="40" t="s">
        <v>226</v>
      </c>
      <c r="F49" s="43" t="s">
        <v>3316</v>
      </c>
      <c r="G49" s="40"/>
      <c r="H49" s="40"/>
      <c r="I49" s="40"/>
      <c r="J49" s="40"/>
      <c r="K49" s="40"/>
      <c r="L49" s="40"/>
      <c r="M49" s="40"/>
      <c r="N49" s="40"/>
      <c r="O49" s="40">
        <v>15000</v>
      </c>
      <c r="P49" s="40">
        <v>2000</v>
      </c>
      <c r="Q49" s="40" t="s">
        <v>3358</v>
      </c>
      <c r="R49" s="40">
        <v>5000</v>
      </c>
      <c r="S49" s="40" t="s">
        <v>3700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>
        <v>49</v>
      </c>
      <c r="B50" s="40"/>
      <c r="C50" s="40" t="s">
        <v>3230</v>
      </c>
      <c r="D50" s="40" t="s">
        <v>3267</v>
      </c>
      <c r="E50" s="40" t="s">
        <v>226</v>
      </c>
      <c r="F50" s="43"/>
      <c r="G50" s="40"/>
      <c r="H50" s="40"/>
      <c r="I50" s="40"/>
      <c r="J50" s="40"/>
      <c r="K50" s="40"/>
      <c r="L50" s="40"/>
      <c r="M50" s="40"/>
      <c r="N50" s="40"/>
      <c r="O50" s="40">
        <v>5000</v>
      </c>
      <c r="P50" s="40">
        <v>5000</v>
      </c>
      <c r="Q50" s="40" t="s">
        <v>3359</v>
      </c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>
        <v>50</v>
      </c>
      <c r="B51" s="40"/>
      <c r="C51" s="40" t="s">
        <v>3231</v>
      </c>
      <c r="D51" s="40" t="s">
        <v>3268</v>
      </c>
      <c r="E51" s="40" t="s">
        <v>226</v>
      </c>
      <c r="F51" s="43" t="s">
        <v>3317</v>
      </c>
      <c r="G51" s="40"/>
      <c r="H51" s="40"/>
      <c r="I51" s="40"/>
      <c r="J51" s="40"/>
      <c r="K51" s="40"/>
      <c r="L51" s="40"/>
      <c r="M51" s="40"/>
      <c r="N51" s="40"/>
      <c r="O51" s="40">
        <v>12000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>
        <v>51</v>
      </c>
      <c r="B52" s="40"/>
      <c r="C52" s="40" t="s">
        <v>3232</v>
      </c>
      <c r="D52" s="40" t="s">
        <v>2493</v>
      </c>
      <c r="E52" s="40" t="s">
        <v>226</v>
      </c>
      <c r="F52" s="43" t="s">
        <v>1878</v>
      </c>
      <c r="G52" s="40"/>
      <c r="H52" s="40"/>
      <c r="I52" s="40"/>
      <c r="J52" s="40"/>
      <c r="K52" s="40"/>
      <c r="L52" s="40"/>
      <c r="M52" s="40"/>
      <c r="N52" s="40"/>
      <c r="O52" s="40">
        <v>15000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>
        <v>52</v>
      </c>
      <c r="B53" s="40"/>
      <c r="C53" s="40" t="s">
        <v>3233</v>
      </c>
      <c r="D53" s="40" t="s">
        <v>3269</v>
      </c>
      <c r="E53" s="40" t="s">
        <v>226</v>
      </c>
      <c r="F53" s="43" t="s">
        <v>3318</v>
      </c>
      <c r="G53" s="40"/>
      <c r="H53" s="40"/>
      <c r="I53" s="40"/>
      <c r="J53" s="40"/>
      <c r="K53" s="40"/>
      <c r="L53" s="40"/>
      <c r="M53" s="40"/>
      <c r="N53" s="40"/>
      <c r="O53" s="40">
        <v>15000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>
        <v>53</v>
      </c>
      <c r="B54" s="40"/>
      <c r="C54" s="40" t="s">
        <v>3234</v>
      </c>
      <c r="D54" s="40" t="s">
        <v>2776</v>
      </c>
      <c r="E54" s="40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>
        <v>17000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>
        <v>54</v>
      </c>
      <c r="B55" s="51"/>
      <c r="C55" s="51" t="s">
        <v>3235</v>
      </c>
      <c r="D55" s="51" t="s">
        <v>3270</v>
      </c>
      <c r="E55" s="51" t="s">
        <v>226</v>
      </c>
      <c r="F55" s="52" t="s">
        <v>3314</v>
      </c>
      <c r="G55" s="51"/>
      <c r="H55" s="51"/>
      <c r="I55" s="51"/>
      <c r="J55" s="51"/>
      <c r="K55" s="51"/>
      <c r="L55" s="51"/>
      <c r="M55" s="51"/>
      <c r="N55" s="51"/>
      <c r="O55" s="51" t="s">
        <v>1842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</row>
    <row r="56" spans="1:34" x14ac:dyDescent="0.25">
      <c r="A56" s="40">
        <v>1</v>
      </c>
      <c r="B56" s="40"/>
      <c r="C56" s="40" t="s">
        <v>3392</v>
      </c>
      <c r="D56" s="40" t="s">
        <v>3451</v>
      </c>
      <c r="E56" s="40" t="s">
        <v>336</v>
      </c>
      <c r="F56" s="43" t="s">
        <v>3478</v>
      </c>
      <c r="G56" s="40"/>
      <c r="H56" s="40"/>
      <c r="I56" s="40"/>
      <c r="J56" s="40"/>
      <c r="K56" s="40"/>
      <c r="L56" s="40"/>
      <c r="M56" s="40"/>
      <c r="N56" s="40"/>
      <c r="O56" s="40">
        <v>20000</v>
      </c>
      <c r="P56" s="40">
        <v>2000</v>
      </c>
      <c r="Q56" s="40" t="s">
        <v>3528</v>
      </c>
      <c r="R56" s="40">
        <v>6000</v>
      </c>
      <c r="S56" s="40" t="s">
        <v>3701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2</v>
      </c>
      <c r="B57" s="40"/>
      <c r="C57" s="40" t="s">
        <v>3393</v>
      </c>
      <c r="D57" s="40" t="s">
        <v>3452</v>
      </c>
      <c r="E57" s="40" t="s">
        <v>336</v>
      </c>
      <c r="F57" s="43" t="s">
        <v>3479</v>
      </c>
      <c r="G57" s="40"/>
      <c r="H57" s="40"/>
      <c r="I57" s="40"/>
      <c r="J57" s="40"/>
      <c r="K57" s="40"/>
      <c r="L57" s="40"/>
      <c r="M57" s="40"/>
      <c r="N57" s="40"/>
      <c r="O57" s="40">
        <v>10000</v>
      </c>
      <c r="P57" s="40">
        <v>2000</v>
      </c>
      <c r="Q57" s="40" t="s">
        <v>3529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3</v>
      </c>
      <c r="B58" s="40"/>
      <c r="C58" s="40" t="s">
        <v>3394</v>
      </c>
      <c r="D58" s="40" t="s">
        <v>2838</v>
      </c>
      <c r="E58" s="40" t="s">
        <v>336</v>
      </c>
      <c r="F58" s="43" t="s">
        <v>3480</v>
      </c>
      <c r="G58" s="40"/>
      <c r="H58" s="40"/>
      <c r="I58" s="40"/>
      <c r="J58" s="40"/>
      <c r="K58" s="40"/>
      <c r="L58" s="40"/>
      <c r="M58" s="40"/>
      <c r="N58" s="40"/>
      <c r="O58" s="40">
        <v>10000</v>
      </c>
      <c r="P58" s="40">
        <v>5000</v>
      </c>
      <c r="Q58" s="40" t="s">
        <v>3530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4</v>
      </c>
      <c r="B59" s="40"/>
      <c r="C59" s="40" t="s">
        <v>3395</v>
      </c>
      <c r="D59" s="40" t="s">
        <v>1893</v>
      </c>
      <c r="E59" s="40" t="s">
        <v>336</v>
      </c>
      <c r="F59" s="43" t="s">
        <v>3481</v>
      </c>
      <c r="G59" s="40"/>
      <c r="H59" s="40"/>
      <c r="I59" s="40"/>
      <c r="J59" s="40"/>
      <c r="K59" s="40"/>
      <c r="L59" s="40"/>
      <c r="M59" s="40"/>
      <c r="N59" s="40"/>
      <c r="O59" s="40">
        <v>20000</v>
      </c>
      <c r="P59" s="40">
        <v>2000</v>
      </c>
      <c r="Q59" s="40" t="s">
        <v>3531</v>
      </c>
      <c r="R59" s="40">
        <v>5000</v>
      </c>
      <c r="S59" s="40" t="s">
        <v>3702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5</v>
      </c>
      <c r="B60" s="40"/>
      <c r="C60" s="40" t="s">
        <v>3396</v>
      </c>
      <c r="D60" s="40" t="s">
        <v>3453</v>
      </c>
      <c r="E60" s="40" t="s">
        <v>336</v>
      </c>
      <c r="F60" s="43" t="s">
        <v>3482</v>
      </c>
      <c r="G60" s="40"/>
      <c r="H60" s="40"/>
      <c r="I60" s="40"/>
      <c r="J60" s="40"/>
      <c r="K60" s="40"/>
      <c r="L60" s="40"/>
      <c r="M60" s="40"/>
      <c r="N60" s="40"/>
      <c r="O60" s="40">
        <v>2000</v>
      </c>
      <c r="P60" s="40">
        <v>2000</v>
      </c>
      <c r="Q60" s="40" t="s">
        <v>3532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6</v>
      </c>
      <c r="B61" s="40"/>
      <c r="C61" s="40" t="s">
        <v>3397</v>
      </c>
      <c r="D61" s="40" t="s">
        <v>3246</v>
      </c>
      <c r="E61" s="40" t="s">
        <v>336</v>
      </c>
      <c r="F61" s="43" t="s">
        <v>3483</v>
      </c>
      <c r="G61" s="40"/>
      <c r="H61" s="40"/>
      <c r="I61" s="40"/>
      <c r="J61" s="40"/>
      <c r="K61" s="40"/>
      <c r="L61" s="40"/>
      <c r="M61" s="40"/>
      <c r="N61" s="40"/>
      <c r="O61" s="40">
        <v>7000</v>
      </c>
      <c r="P61" s="40">
        <v>5000</v>
      </c>
      <c r="Q61" s="40" t="s">
        <v>3533</v>
      </c>
      <c r="R61" s="40">
        <v>1000</v>
      </c>
      <c r="S61" s="40" t="s">
        <v>3703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7</v>
      </c>
      <c r="B62" s="40"/>
      <c r="C62" s="40" t="s">
        <v>3398</v>
      </c>
      <c r="D62" s="40" t="s">
        <v>2521</v>
      </c>
      <c r="E62" s="40" t="s">
        <v>336</v>
      </c>
      <c r="F62" s="43" t="s">
        <v>3484</v>
      </c>
      <c r="G62" s="40"/>
      <c r="H62" s="40"/>
      <c r="I62" s="40"/>
      <c r="J62" s="40"/>
      <c r="K62" s="40"/>
      <c r="L62" s="40"/>
      <c r="M62" s="40"/>
      <c r="N62" s="40"/>
      <c r="O62" s="40">
        <v>8000</v>
      </c>
      <c r="P62" s="40">
        <v>2000</v>
      </c>
      <c r="Q62" s="40" t="s">
        <v>3534</v>
      </c>
      <c r="R62" s="40">
        <v>2000</v>
      </c>
      <c r="S62" s="40" t="s">
        <v>3704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8</v>
      </c>
      <c r="B63" s="40"/>
      <c r="C63" s="40" t="s">
        <v>3399</v>
      </c>
      <c r="D63" s="40" t="s">
        <v>2521</v>
      </c>
      <c r="E63" s="40" t="s">
        <v>336</v>
      </c>
      <c r="F63" s="43" t="s">
        <v>3485</v>
      </c>
      <c r="G63" s="40"/>
      <c r="H63" s="40"/>
      <c r="I63" s="40"/>
      <c r="J63" s="40"/>
      <c r="K63" s="40"/>
      <c r="L63" s="40"/>
      <c r="M63" s="40"/>
      <c r="N63" s="40"/>
      <c r="O63" s="40">
        <v>5000</v>
      </c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40">
        <v>9</v>
      </c>
      <c r="B64" s="40"/>
      <c r="C64" s="40" t="s">
        <v>3400</v>
      </c>
      <c r="D64" s="40" t="s">
        <v>3454</v>
      </c>
      <c r="E64" s="40" t="s">
        <v>336</v>
      </c>
      <c r="F64" s="43" t="s">
        <v>3486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7000</v>
      </c>
      <c r="Q64" s="40" t="s">
        <v>3535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10</v>
      </c>
      <c r="B65" s="40"/>
      <c r="C65" s="40" t="s">
        <v>3401</v>
      </c>
      <c r="D65" s="40" t="s">
        <v>3455</v>
      </c>
      <c r="E65" s="40" t="s">
        <v>336</v>
      </c>
      <c r="F65" s="43" t="s">
        <v>3487</v>
      </c>
      <c r="G65" s="40"/>
      <c r="H65" s="40"/>
      <c r="I65" s="40"/>
      <c r="J65" s="40"/>
      <c r="K65" s="40"/>
      <c r="L65" s="40"/>
      <c r="M65" s="40"/>
      <c r="N65" s="40"/>
      <c r="O65" s="40">
        <v>10000</v>
      </c>
      <c r="P65" s="40">
        <v>3000</v>
      </c>
      <c r="Q65" s="40" t="s">
        <v>3536</v>
      </c>
      <c r="R65" s="40">
        <v>2300</v>
      </c>
      <c r="S65" s="40" t="s">
        <v>3705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11</v>
      </c>
      <c r="B66" s="40"/>
      <c r="C66" s="40" t="s">
        <v>3402</v>
      </c>
      <c r="D66" s="40" t="s">
        <v>3456</v>
      </c>
      <c r="E66" s="40" t="s">
        <v>336</v>
      </c>
      <c r="F66" s="43" t="s">
        <v>3488</v>
      </c>
      <c r="G66" s="40"/>
      <c r="H66" s="40"/>
      <c r="I66" s="40"/>
      <c r="J66" s="40"/>
      <c r="K66" s="40"/>
      <c r="L66" s="40"/>
      <c r="M66" s="40"/>
      <c r="N66" s="40"/>
      <c r="O66" s="40">
        <v>10000</v>
      </c>
      <c r="P66" s="40">
        <v>2000</v>
      </c>
      <c r="Q66" s="40" t="s">
        <v>3537</v>
      </c>
      <c r="R66" s="40">
        <v>4000</v>
      </c>
      <c r="S66" s="40" t="s">
        <v>3706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12</v>
      </c>
      <c r="B67" s="40"/>
      <c r="C67" s="40" t="s">
        <v>3403</v>
      </c>
      <c r="D67" s="40" t="s">
        <v>3457</v>
      </c>
      <c r="E67" s="40" t="s">
        <v>336</v>
      </c>
      <c r="F67" s="43" t="s">
        <v>3489</v>
      </c>
      <c r="G67" s="40"/>
      <c r="H67" s="40"/>
      <c r="I67" s="40"/>
      <c r="J67" s="40"/>
      <c r="K67" s="40"/>
      <c r="L67" s="40"/>
      <c r="M67" s="40"/>
      <c r="N67" s="40"/>
      <c r="O67" s="40">
        <v>19000</v>
      </c>
      <c r="P67" s="40">
        <v>1000</v>
      </c>
      <c r="Q67" s="40" t="s">
        <v>3538</v>
      </c>
      <c r="R67" s="40">
        <v>5000</v>
      </c>
      <c r="S67" s="40" t="s">
        <v>3707</v>
      </c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13</v>
      </c>
      <c r="B68" s="40"/>
      <c r="C68" s="40" t="s">
        <v>3404</v>
      </c>
      <c r="D68" s="40" t="s">
        <v>2667</v>
      </c>
      <c r="E68" s="40" t="s">
        <v>336</v>
      </c>
      <c r="F68" s="43" t="s">
        <v>2704</v>
      </c>
      <c r="G68" s="40"/>
      <c r="H68" s="40"/>
      <c r="I68" s="40"/>
      <c r="J68" s="40"/>
      <c r="K68" s="40"/>
      <c r="L68" s="40"/>
      <c r="M68" s="40"/>
      <c r="N68" s="40"/>
      <c r="O68" s="40">
        <v>17000</v>
      </c>
      <c r="P68" s="40">
        <v>3000</v>
      </c>
      <c r="Q68" s="40" t="s">
        <v>3539</v>
      </c>
      <c r="R68" s="40">
        <v>5000</v>
      </c>
      <c r="S68" s="40" t="s">
        <v>3708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14</v>
      </c>
      <c r="B69" s="40"/>
      <c r="C69" s="40" t="s">
        <v>3405</v>
      </c>
      <c r="D69" s="40" t="s">
        <v>3249</v>
      </c>
      <c r="E69" s="40" t="s">
        <v>336</v>
      </c>
      <c r="F69" s="43" t="s">
        <v>3490</v>
      </c>
      <c r="G69" s="40"/>
      <c r="H69" s="40"/>
      <c r="I69" s="40"/>
      <c r="J69" s="40"/>
      <c r="K69" s="40"/>
      <c r="L69" s="40"/>
      <c r="M69" s="40"/>
      <c r="N69" s="40"/>
      <c r="O69" s="40">
        <v>5000</v>
      </c>
      <c r="P69" s="40">
        <v>1000</v>
      </c>
      <c r="Q69" s="40" t="s">
        <v>3540</v>
      </c>
      <c r="R69" s="40">
        <v>2000</v>
      </c>
      <c r="S69" s="40" t="s">
        <v>3709</v>
      </c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spans="1:34" x14ac:dyDescent="0.25">
      <c r="A70" s="40">
        <v>15</v>
      </c>
      <c r="B70" s="40"/>
      <c r="C70" s="40" t="s">
        <v>3406</v>
      </c>
      <c r="D70" s="40" t="s">
        <v>3458</v>
      </c>
      <c r="E70" s="40" t="s">
        <v>336</v>
      </c>
      <c r="F70" s="43" t="s">
        <v>3491</v>
      </c>
      <c r="G70" s="40"/>
      <c r="H70" s="40"/>
      <c r="I70" s="40"/>
      <c r="J70" s="40"/>
      <c r="K70" s="40"/>
      <c r="L70" s="40"/>
      <c r="M70" s="40"/>
      <c r="N70" s="40"/>
      <c r="O70" s="40">
        <v>7000</v>
      </c>
      <c r="P70" s="40">
        <v>1500</v>
      </c>
      <c r="Q70" s="40" t="s">
        <v>3541</v>
      </c>
      <c r="R70" s="40">
        <v>1800</v>
      </c>
      <c r="S70" s="40" t="s">
        <v>3710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16</v>
      </c>
      <c r="B71" s="40"/>
      <c r="C71" s="40" t="s">
        <v>3407</v>
      </c>
      <c r="D71" s="40" t="s">
        <v>3459</v>
      </c>
      <c r="E71" s="40" t="s">
        <v>336</v>
      </c>
      <c r="F71" s="43" t="s">
        <v>3492</v>
      </c>
      <c r="G71" s="40"/>
      <c r="H71" s="40"/>
      <c r="I71" s="40"/>
      <c r="J71" s="40"/>
      <c r="K71" s="40"/>
      <c r="L71" s="40"/>
      <c r="M71" s="40"/>
      <c r="N71" s="40"/>
      <c r="O71" s="40">
        <v>15000</v>
      </c>
      <c r="P71" s="40">
        <v>1000</v>
      </c>
      <c r="Q71" s="40" t="s">
        <v>3542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17</v>
      </c>
      <c r="B72" s="40"/>
      <c r="C72" s="40" t="s">
        <v>3408</v>
      </c>
      <c r="D72" s="40" t="s">
        <v>2165</v>
      </c>
      <c r="E72" s="40" t="s">
        <v>336</v>
      </c>
      <c r="F72" s="43" t="s">
        <v>3493</v>
      </c>
      <c r="G72" s="40"/>
      <c r="H72" s="40"/>
      <c r="I72" s="40"/>
      <c r="J72" s="40"/>
      <c r="K72" s="40"/>
      <c r="L72" s="40"/>
      <c r="M72" s="40"/>
      <c r="N72" s="40"/>
      <c r="O72" s="40">
        <v>15000</v>
      </c>
      <c r="P72" s="40">
        <v>3000</v>
      </c>
      <c r="Q72" s="40" t="s">
        <v>3543</v>
      </c>
      <c r="R72" s="40">
        <v>4000</v>
      </c>
      <c r="S72" s="40" t="s">
        <v>3711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18</v>
      </c>
      <c r="B73" s="40"/>
      <c r="C73" s="40" t="s">
        <v>3409</v>
      </c>
      <c r="D73" s="40" t="s">
        <v>3460</v>
      </c>
      <c r="E73" s="40" t="s">
        <v>336</v>
      </c>
      <c r="F73" s="43" t="s">
        <v>3494</v>
      </c>
      <c r="G73" s="40"/>
      <c r="H73" s="40"/>
      <c r="I73" s="40"/>
      <c r="J73" s="40"/>
      <c r="K73" s="40"/>
      <c r="L73" s="40"/>
      <c r="M73" s="40"/>
      <c r="N73" s="40"/>
      <c r="O73" s="40">
        <v>15000</v>
      </c>
      <c r="P73" s="40">
        <v>1000</v>
      </c>
      <c r="Q73" s="40" t="s">
        <v>3544</v>
      </c>
      <c r="R73" s="40">
        <v>4600</v>
      </c>
      <c r="S73" s="40" t="s">
        <v>3712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19</v>
      </c>
      <c r="B74" s="40"/>
      <c r="C74" s="40" t="s">
        <v>3410</v>
      </c>
      <c r="D74" s="40" t="s">
        <v>3457</v>
      </c>
      <c r="E74" s="40" t="s">
        <v>336</v>
      </c>
      <c r="F74" s="43" t="s">
        <v>3495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>
        <v>2000</v>
      </c>
      <c r="Q74" s="40" t="s">
        <v>3545</v>
      </c>
      <c r="R74" s="40">
        <v>5000</v>
      </c>
      <c r="S74" s="40" t="s">
        <v>3713</v>
      </c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40">
        <v>20</v>
      </c>
      <c r="B75" s="40"/>
      <c r="C75" s="40" t="s">
        <v>3411</v>
      </c>
      <c r="D75" s="40" t="s">
        <v>2834</v>
      </c>
      <c r="E75" s="40" t="s">
        <v>336</v>
      </c>
      <c r="F75" s="43" t="s">
        <v>3496</v>
      </c>
      <c r="G75" s="40"/>
      <c r="H75" s="40"/>
      <c r="I75" s="40"/>
      <c r="J75" s="40"/>
      <c r="K75" s="40"/>
      <c r="L75" s="40"/>
      <c r="M75" s="40"/>
      <c r="N75" s="40"/>
      <c r="O75" s="40">
        <v>17000</v>
      </c>
      <c r="P75" s="40">
        <v>2000</v>
      </c>
      <c r="Q75" s="40" t="s">
        <v>3546</v>
      </c>
      <c r="R75" s="40">
        <v>5000</v>
      </c>
      <c r="S75" s="40" t="s">
        <v>3714</v>
      </c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21</v>
      </c>
      <c r="B76" s="40"/>
      <c r="C76" s="40" t="s">
        <v>3412</v>
      </c>
      <c r="D76" s="40" t="s">
        <v>2294</v>
      </c>
      <c r="E76" s="40" t="s">
        <v>336</v>
      </c>
      <c r="F76" s="43" t="s">
        <v>3497</v>
      </c>
      <c r="G76" s="40"/>
      <c r="H76" s="40"/>
      <c r="I76" s="40"/>
      <c r="J76" s="40"/>
      <c r="K76" s="40"/>
      <c r="L76" s="40"/>
      <c r="M76" s="40"/>
      <c r="N76" s="40"/>
      <c r="O76" s="40">
        <v>17000</v>
      </c>
      <c r="P76" s="40">
        <v>5000</v>
      </c>
      <c r="Q76" s="40" t="s">
        <v>3547</v>
      </c>
      <c r="R76" s="40">
        <v>5000</v>
      </c>
      <c r="S76" s="40" t="s">
        <v>3715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40">
        <v>22</v>
      </c>
      <c r="B77" s="40"/>
      <c r="C77" s="40" t="s">
        <v>3413</v>
      </c>
      <c r="D77" s="40" t="s">
        <v>3249</v>
      </c>
      <c r="E77" s="40" t="s">
        <v>336</v>
      </c>
      <c r="F77" s="43" t="s">
        <v>3498</v>
      </c>
      <c r="G77" s="40"/>
      <c r="H77" s="40"/>
      <c r="I77" s="40"/>
      <c r="J77" s="40"/>
      <c r="K77" s="40"/>
      <c r="L77" s="40"/>
      <c r="M77" s="40"/>
      <c r="N77" s="40"/>
      <c r="O77" s="40">
        <v>10000</v>
      </c>
      <c r="P77" s="40">
        <v>2000</v>
      </c>
      <c r="Q77" s="40" t="s">
        <v>3548</v>
      </c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40">
        <v>23</v>
      </c>
      <c r="B78" s="40"/>
      <c r="C78" s="40" t="s">
        <v>3414</v>
      </c>
      <c r="D78" s="40" t="s">
        <v>2065</v>
      </c>
      <c r="E78" s="40" t="s">
        <v>336</v>
      </c>
      <c r="F78" s="43" t="s">
        <v>3499</v>
      </c>
      <c r="G78" s="40"/>
      <c r="H78" s="40"/>
      <c r="I78" s="40"/>
      <c r="J78" s="40"/>
      <c r="K78" s="40"/>
      <c r="L78" s="40"/>
      <c r="M78" s="40"/>
      <c r="N78" s="40"/>
      <c r="O78" s="40">
        <v>15000</v>
      </c>
      <c r="P78" s="40">
        <v>5000</v>
      </c>
      <c r="Q78" s="40" t="s">
        <v>3671</v>
      </c>
      <c r="R78" s="40">
        <v>3000</v>
      </c>
      <c r="S78" s="40" t="s">
        <v>3716</v>
      </c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24</v>
      </c>
      <c r="B79" s="40"/>
      <c r="C79" s="40" t="s">
        <v>3415</v>
      </c>
      <c r="D79" s="40" t="s">
        <v>2297</v>
      </c>
      <c r="E79" s="40" t="s">
        <v>336</v>
      </c>
      <c r="F79" s="43" t="s">
        <v>3500</v>
      </c>
      <c r="G79" s="40"/>
      <c r="H79" s="40"/>
      <c r="I79" s="40"/>
      <c r="J79" s="40"/>
      <c r="K79" s="40"/>
      <c r="L79" s="40"/>
      <c r="M79" s="40"/>
      <c r="N79" s="40"/>
      <c r="O79" s="40">
        <v>22000</v>
      </c>
      <c r="P79" s="40">
        <v>2000</v>
      </c>
      <c r="Q79" s="40" t="s">
        <v>3672</v>
      </c>
      <c r="R79" s="40">
        <v>5000</v>
      </c>
      <c r="S79" s="40" t="s">
        <v>3717</v>
      </c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40">
        <v>25</v>
      </c>
      <c r="B80" s="40"/>
      <c r="C80" s="40" t="s">
        <v>3416</v>
      </c>
      <c r="D80" s="40" t="s">
        <v>2012</v>
      </c>
      <c r="E80" s="40" t="s">
        <v>336</v>
      </c>
      <c r="F80" s="43" t="s">
        <v>3501</v>
      </c>
      <c r="G80" s="40"/>
      <c r="H80" s="40"/>
      <c r="I80" s="40"/>
      <c r="J80" s="40"/>
      <c r="K80" s="40"/>
      <c r="L80" s="40"/>
      <c r="M80" s="40"/>
      <c r="N80" s="40"/>
      <c r="O80" s="40">
        <v>15000</v>
      </c>
      <c r="P80" s="40">
        <v>3000</v>
      </c>
      <c r="Q80" s="40" t="s">
        <v>3673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26</v>
      </c>
      <c r="B81" s="40"/>
      <c r="C81" s="40" t="s">
        <v>3417</v>
      </c>
      <c r="D81" s="40" t="s">
        <v>1893</v>
      </c>
      <c r="E81" s="40" t="s">
        <v>336</v>
      </c>
      <c r="F81" s="43" t="s">
        <v>3502</v>
      </c>
      <c r="G81" s="40"/>
      <c r="H81" s="40"/>
      <c r="I81" s="40"/>
      <c r="J81" s="40"/>
      <c r="K81" s="40"/>
      <c r="L81" s="40"/>
      <c r="M81" s="40"/>
      <c r="N81" s="40"/>
      <c r="O81" s="40">
        <v>8000</v>
      </c>
      <c r="P81" s="40">
        <v>2000</v>
      </c>
      <c r="Q81" s="40" t="s">
        <v>3674</v>
      </c>
      <c r="R81" s="40">
        <v>2000</v>
      </c>
      <c r="S81" s="40" t="s">
        <v>3718</v>
      </c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40">
        <v>27</v>
      </c>
      <c r="B82" s="40"/>
      <c r="C82" s="40" t="s">
        <v>3426</v>
      </c>
      <c r="D82" s="40" t="s">
        <v>3461</v>
      </c>
      <c r="E82" s="40" t="s">
        <v>336</v>
      </c>
      <c r="F82" s="43" t="s">
        <v>3503</v>
      </c>
      <c r="G82" s="40"/>
      <c r="H82" s="40"/>
      <c r="I82" s="40"/>
      <c r="J82" s="40"/>
      <c r="K82" s="40"/>
      <c r="L82" s="40"/>
      <c r="M82" s="40"/>
      <c r="N82" s="40"/>
      <c r="O82" s="40">
        <v>10000</v>
      </c>
      <c r="P82" s="40" t="s">
        <v>3675</v>
      </c>
      <c r="Q82" s="40" t="s">
        <v>3676</v>
      </c>
      <c r="R82" s="40">
        <v>2000</v>
      </c>
      <c r="S82" s="40" t="s">
        <v>3719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40">
        <v>28</v>
      </c>
      <c r="B83" s="40"/>
      <c r="C83" s="45" t="s">
        <v>3427</v>
      </c>
      <c r="D83" s="40" t="s">
        <v>3462</v>
      </c>
      <c r="E83" s="40" t="s">
        <v>336</v>
      </c>
      <c r="F83" s="43" t="s">
        <v>3504</v>
      </c>
      <c r="G83" s="40"/>
      <c r="H83" s="40"/>
      <c r="I83" s="40"/>
      <c r="J83" s="40"/>
      <c r="K83" s="40"/>
      <c r="L83" s="40"/>
      <c r="M83" s="40"/>
      <c r="N83" s="40"/>
      <c r="O83" s="40">
        <v>5000</v>
      </c>
      <c r="P83" s="40">
        <v>5000</v>
      </c>
      <c r="Q83" s="40" t="s">
        <v>3677</v>
      </c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29</v>
      </c>
      <c r="B84" s="40"/>
      <c r="C84" s="40" t="s">
        <v>3418</v>
      </c>
      <c r="D84" s="40" t="s">
        <v>2503</v>
      </c>
      <c r="E84" s="40" t="s">
        <v>336</v>
      </c>
      <c r="F84" s="43" t="s">
        <v>3505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5000</v>
      </c>
      <c r="Q84" s="40" t="s">
        <v>3678</v>
      </c>
      <c r="R84" s="40">
        <v>5000</v>
      </c>
      <c r="S84" s="40" t="s">
        <v>3720</v>
      </c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40">
        <v>30</v>
      </c>
      <c r="B85" s="40"/>
      <c r="C85" s="40" t="s">
        <v>3419</v>
      </c>
      <c r="D85" s="40" t="s">
        <v>3116</v>
      </c>
      <c r="E85" s="40" t="s">
        <v>336</v>
      </c>
      <c r="F85" s="43" t="s">
        <v>3506</v>
      </c>
      <c r="G85" s="40"/>
      <c r="H85" s="40"/>
      <c r="I85" s="40"/>
      <c r="J85" s="40"/>
      <c r="K85" s="40"/>
      <c r="L85" s="40"/>
      <c r="M85" s="40"/>
      <c r="N85" s="40"/>
      <c r="O85" s="40">
        <v>19000</v>
      </c>
      <c r="P85" s="40">
        <v>1000</v>
      </c>
      <c r="Q85" s="40" t="s">
        <v>3679</v>
      </c>
      <c r="R85" s="40">
        <v>6000</v>
      </c>
      <c r="S85" s="40" t="s">
        <v>3721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40">
        <v>31</v>
      </c>
      <c r="B86" s="40"/>
      <c r="C86" s="40" t="s">
        <v>3420</v>
      </c>
      <c r="D86" s="40" t="s">
        <v>2511</v>
      </c>
      <c r="E86" s="40" t="s">
        <v>336</v>
      </c>
      <c r="F86" s="43" t="s">
        <v>3507</v>
      </c>
      <c r="G86" s="40"/>
      <c r="H86" s="40"/>
      <c r="I86" s="40"/>
      <c r="J86" s="40"/>
      <c r="K86" s="40"/>
      <c r="L86" s="40"/>
      <c r="M86" s="40"/>
      <c r="N86" s="40"/>
      <c r="O86" s="40">
        <v>3000</v>
      </c>
      <c r="P86" s="40">
        <v>3000</v>
      </c>
      <c r="Q86" s="40" t="s">
        <v>3680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32</v>
      </c>
      <c r="B87" s="40"/>
      <c r="C87" s="40" t="s">
        <v>3430</v>
      </c>
      <c r="D87" s="40" t="s">
        <v>2246</v>
      </c>
      <c r="E87" s="40" t="s">
        <v>336</v>
      </c>
      <c r="F87" s="43" t="s">
        <v>3508</v>
      </c>
      <c r="G87" s="40"/>
      <c r="H87" s="40"/>
      <c r="I87" s="40"/>
      <c r="J87" s="40"/>
      <c r="K87" s="40"/>
      <c r="L87" s="40"/>
      <c r="M87" s="40"/>
      <c r="N87" s="40"/>
      <c r="O87" s="40">
        <v>15000</v>
      </c>
      <c r="P87" s="40">
        <v>1000</v>
      </c>
      <c r="Q87" s="40" t="s">
        <v>3681</v>
      </c>
      <c r="R87" s="40">
        <v>2000</v>
      </c>
      <c r="S87" s="40" t="s">
        <v>3722</v>
      </c>
      <c r="T87" s="40">
        <v>4000</v>
      </c>
      <c r="U87" s="40" t="s">
        <v>3734</v>
      </c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33</v>
      </c>
      <c r="B88" s="40"/>
      <c r="C88" s="45" t="s">
        <v>3428</v>
      </c>
      <c r="D88" s="40"/>
      <c r="E88" s="40" t="s">
        <v>336</v>
      </c>
      <c r="F88" s="43" t="s">
        <v>3509</v>
      </c>
      <c r="G88" s="40"/>
      <c r="H88" s="40"/>
      <c r="I88" s="40"/>
      <c r="J88" s="40"/>
      <c r="K88" s="40"/>
      <c r="L88" s="40"/>
      <c r="M88" s="40"/>
      <c r="N88" s="40"/>
      <c r="O88" s="40">
        <v>10000</v>
      </c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40">
        <v>34</v>
      </c>
      <c r="B89" s="40"/>
      <c r="C89" s="45" t="s">
        <v>3421</v>
      </c>
      <c r="D89" s="40" t="s">
        <v>2012</v>
      </c>
      <c r="E89" s="40" t="s">
        <v>336</v>
      </c>
      <c r="F89" s="43" t="s">
        <v>3510</v>
      </c>
      <c r="G89" s="40"/>
      <c r="H89" s="40"/>
      <c r="I89" s="40"/>
      <c r="J89" s="40"/>
      <c r="K89" s="40"/>
      <c r="L89" s="40"/>
      <c r="M89" s="40"/>
      <c r="N89" s="40"/>
      <c r="O89" s="40">
        <v>15000</v>
      </c>
      <c r="P89" s="40">
        <v>5000</v>
      </c>
      <c r="Q89" s="40" t="s">
        <v>3682</v>
      </c>
      <c r="R89" s="40">
        <v>3300</v>
      </c>
      <c r="S89" s="40" t="s">
        <v>3723</v>
      </c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40">
        <v>35</v>
      </c>
      <c r="B90" s="40"/>
      <c r="C90" s="40" t="s">
        <v>3422</v>
      </c>
      <c r="D90" s="40" t="s">
        <v>3463</v>
      </c>
      <c r="E90" s="40" t="s">
        <v>336</v>
      </c>
      <c r="F90" s="43" t="s">
        <v>3511</v>
      </c>
      <c r="G90" s="40"/>
      <c r="H90" s="40"/>
      <c r="I90" s="40"/>
      <c r="J90" s="40"/>
      <c r="K90" s="40"/>
      <c r="L90" s="40"/>
      <c r="M90" s="40"/>
      <c r="N90" s="40"/>
      <c r="O90" s="40">
        <v>15000</v>
      </c>
      <c r="P90" s="40">
        <v>5000</v>
      </c>
      <c r="Q90" s="40" t="s">
        <v>3683</v>
      </c>
      <c r="R90" s="40">
        <v>3300</v>
      </c>
      <c r="S90" s="40" t="s">
        <v>3724</v>
      </c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40">
        <v>36</v>
      </c>
      <c r="B91" s="40"/>
      <c r="C91" s="40" t="s">
        <v>3423</v>
      </c>
      <c r="D91" s="40" t="s">
        <v>2171</v>
      </c>
      <c r="E91" s="40" t="s">
        <v>336</v>
      </c>
      <c r="F91" s="43" t="s">
        <v>3512</v>
      </c>
      <c r="G91" s="40"/>
      <c r="H91" s="40"/>
      <c r="I91" s="40"/>
      <c r="J91" s="40"/>
      <c r="K91" s="40"/>
      <c r="L91" s="40"/>
      <c r="M91" s="40"/>
      <c r="N91" s="40"/>
      <c r="O91" s="40">
        <v>12000</v>
      </c>
      <c r="P91" s="40">
        <v>4000</v>
      </c>
      <c r="Q91" s="40" t="s">
        <v>3684</v>
      </c>
      <c r="R91" s="40">
        <v>2600</v>
      </c>
      <c r="S91" s="40" t="s">
        <v>3725</v>
      </c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37</v>
      </c>
      <c r="B92" s="40"/>
      <c r="C92" s="40" t="s">
        <v>3424</v>
      </c>
      <c r="D92" s="40" t="s">
        <v>3464</v>
      </c>
      <c r="E92" s="40" t="s">
        <v>336</v>
      </c>
      <c r="F92" s="43" t="s">
        <v>3513</v>
      </c>
      <c r="G92" s="40"/>
      <c r="H92" s="40"/>
      <c r="I92" s="40"/>
      <c r="J92" s="40"/>
      <c r="K92" s="40"/>
      <c r="L92" s="40"/>
      <c r="M92" s="40"/>
      <c r="N92" s="40"/>
      <c r="O92" s="40">
        <v>15000</v>
      </c>
      <c r="P92" s="40">
        <v>2000</v>
      </c>
      <c r="Q92" s="40" t="s">
        <v>3685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38</v>
      </c>
      <c r="B93" s="40"/>
      <c r="C93" s="40" t="s">
        <v>3425</v>
      </c>
      <c r="D93" s="40" t="s">
        <v>3465</v>
      </c>
      <c r="E93" s="40" t="s">
        <v>336</v>
      </c>
      <c r="F93" s="43" t="s">
        <v>3514</v>
      </c>
      <c r="G93" s="40"/>
      <c r="H93" s="40"/>
      <c r="I93" s="40"/>
      <c r="J93" s="40"/>
      <c r="K93" s="40"/>
      <c r="L93" s="40"/>
      <c r="M93" s="40"/>
      <c r="N93" s="40"/>
      <c r="O93" s="40">
        <v>2000</v>
      </c>
      <c r="P93" s="40">
        <v>2000</v>
      </c>
      <c r="Q93" s="40" t="s">
        <v>3686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40">
        <v>39</v>
      </c>
      <c r="B94" s="40"/>
      <c r="C94" s="40" t="s">
        <v>3429</v>
      </c>
      <c r="D94" s="40" t="s">
        <v>3466</v>
      </c>
      <c r="E94" s="40" t="s">
        <v>336</v>
      </c>
      <c r="F94" s="43" t="s">
        <v>3515</v>
      </c>
      <c r="G94" s="40"/>
      <c r="H94" s="40"/>
      <c r="I94" s="40"/>
      <c r="J94" s="40"/>
      <c r="K94" s="40"/>
      <c r="L94" s="40"/>
      <c r="M94" s="40"/>
      <c r="N94" s="40"/>
      <c r="O94" s="40">
        <v>20000</v>
      </c>
      <c r="P94" s="40">
        <v>5000</v>
      </c>
      <c r="Q94" s="40" t="s">
        <v>3687</v>
      </c>
      <c r="R94" s="40">
        <v>5000</v>
      </c>
      <c r="S94" s="40" t="s">
        <v>3726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40">
        <v>40</v>
      </c>
      <c r="B95" s="40"/>
      <c r="C95" s="40" t="s">
        <v>3431</v>
      </c>
      <c r="D95" s="40" t="s">
        <v>3467</v>
      </c>
      <c r="E95" s="40" t="s">
        <v>336</v>
      </c>
      <c r="F95" s="43" t="s">
        <v>3516</v>
      </c>
      <c r="G95" s="40"/>
      <c r="H95" s="40"/>
      <c r="I95" s="40"/>
      <c r="J95" s="40"/>
      <c r="K95" s="40"/>
      <c r="L95" s="40"/>
      <c r="M95" s="40"/>
      <c r="N95" s="40"/>
      <c r="O95" s="40">
        <v>15000</v>
      </c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41</v>
      </c>
      <c r="B96" s="40"/>
      <c r="C96" s="40" t="s">
        <v>3432</v>
      </c>
      <c r="D96" s="40" t="s">
        <v>3468</v>
      </c>
      <c r="E96" s="40" t="s">
        <v>336</v>
      </c>
      <c r="F96" s="43" t="s">
        <v>3517</v>
      </c>
      <c r="G96" s="40"/>
      <c r="H96" s="40"/>
      <c r="I96" s="40"/>
      <c r="J96" s="40"/>
      <c r="K96" s="40"/>
      <c r="L96" s="40"/>
      <c r="M96" s="40"/>
      <c r="N96" s="40"/>
      <c r="O96" s="40">
        <v>15000</v>
      </c>
      <c r="P96" s="40">
        <v>2000</v>
      </c>
      <c r="Q96" s="40" t="s">
        <v>3688</v>
      </c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40">
        <v>42</v>
      </c>
      <c r="B97" s="40"/>
      <c r="C97" s="40" t="s">
        <v>3433</v>
      </c>
      <c r="D97" s="40" t="s">
        <v>2109</v>
      </c>
      <c r="E97" s="40" t="s">
        <v>336</v>
      </c>
      <c r="F97" s="43" t="s">
        <v>3518</v>
      </c>
      <c r="G97" s="40"/>
      <c r="H97" s="40"/>
      <c r="I97" s="40"/>
      <c r="J97" s="40"/>
      <c r="K97" s="40"/>
      <c r="L97" s="40"/>
      <c r="M97" s="40"/>
      <c r="N97" s="40"/>
      <c r="O97" s="40">
        <v>22000</v>
      </c>
      <c r="P97" s="40">
        <v>1000</v>
      </c>
      <c r="Q97" s="40" t="s">
        <v>3689</v>
      </c>
      <c r="R97" s="40">
        <v>5000</v>
      </c>
      <c r="S97" s="40" t="s">
        <v>3727</v>
      </c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43</v>
      </c>
      <c r="B98" s="40"/>
      <c r="C98" s="40" t="s">
        <v>3434</v>
      </c>
      <c r="D98" s="40" t="s">
        <v>3116</v>
      </c>
      <c r="E98" s="40" t="s">
        <v>336</v>
      </c>
      <c r="F98" s="43" t="s">
        <v>3519</v>
      </c>
      <c r="G98" s="40"/>
      <c r="H98" s="40"/>
      <c r="I98" s="40"/>
      <c r="J98" s="40"/>
      <c r="K98" s="40"/>
      <c r="L98" s="40"/>
      <c r="M98" s="40"/>
      <c r="N98" s="40"/>
      <c r="O98" s="40">
        <v>17500</v>
      </c>
      <c r="P98" s="40">
        <v>1000</v>
      </c>
      <c r="Q98" s="40" t="s">
        <v>3690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45">
        <v>44</v>
      </c>
      <c r="B99" s="40"/>
      <c r="C99" s="40" t="s">
        <v>3435</v>
      </c>
      <c r="D99" s="40" t="s">
        <v>3469</v>
      </c>
      <c r="E99" s="40" t="s">
        <v>336</v>
      </c>
      <c r="F99" s="43" t="s">
        <v>3520</v>
      </c>
      <c r="G99" s="40"/>
      <c r="H99" s="40"/>
      <c r="I99" s="40"/>
      <c r="J99" s="40"/>
      <c r="K99" s="40"/>
      <c r="L99" s="40"/>
      <c r="M99" s="40"/>
      <c r="N99" s="40"/>
      <c r="O99" s="40">
        <v>10000</v>
      </c>
      <c r="P99" s="40">
        <v>3000</v>
      </c>
      <c r="Q99" s="40" t="s">
        <v>3691</v>
      </c>
      <c r="R99" s="40">
        <v>2000</v>
      </c>
      <c r="S99" s="40" t="s">
        <v>3728</v>
      </c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45</v>
      </c>
      <c r="B100" s="40"/>
      <c r="C100" s="40" t="s">
        <v>3436</v>
      </c>
      <c r="D100" s="40" t="s">
        <v>3470</v>
      </c>
      <c r="E100" s="40" t="s">
        <v>336</v>
      </c>
      <c r="F100" s="43" t="s">
        <v>3521</v>
      </c>
      <c r="G100" s="40"/>
      <c r="H100" s="40"/>
      <c r="I100" s="40"/>
      <c r="J100" s="40"/>
      <c r="K100" s="40"/>
      <c r="L100" s="40"/>
      <c r="M100" s="40"/>
      <c r="N100" s="40"/>
      <c r="O100" s="40">
        <v>25000</v>
      </c>
      <c r="P100" s="40">
        <v>3000</v>
      </c>
      <c r="Q100" s="40" t="s">
        <v>3692</v>
      </c>
      <c r="R100" s="40">
        <v>7300</v>
      </c>
      <c r="S100" s="40" t="s">
        <v>3729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40">
        <v>46</v>
      </c>
      <c r="B101" s="40"/>
      <c r="C101" s="40" t="s">
        <v>3437</v>
      </c>
      <c r="D101" s="40" t="s">
        <v>1885</v>
      </c>
      <c r="E101" s="40" t="s">
        <v>336</v>
      </c>
      <c r="F101" s="43" t="s">
        <v>3522</v>
      </c>
      <c r="G101" s="40"/>
      <c r="H101" s="40"/>
      <c r="I101" s="40"/>
      <c r="J101" s="40"/>
      <c r="K101" s="40"/>
      <c r="L101" s="40"/>
      <c r="M101" s="40"/>
      <c r="N101" s="40"/>
      <c r="O101" s="40">
        <v>15000</v>
      </c>
      <c r="P101" s="40">
        <v>500</v>
      </c>
      <c r="Q101" s="40" t="s">
        <v>3043</v>
      </c>
      <c r="R101" s="40"/>
      <c r="S101" s="40" t="s">
        <v>3730</v>
      </c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40">
        <v>47</v>
      </c>
      <c r="B102" s="40"/>
      <c r="C102" s="40" t="s">
        <v>3438</v>
      </c>
      <c r="D102" s="40" t="s">
        <v>3252</v>
      </c>
      <c r="E102" s="40" t="s">
        <v>336</v>
      </c>
      <c r="F102" s="43" t="s">
        <v>3313</v>
      </c>
      <c r="G102" s="40"/>
      <c r="H102" s="40"/>
      <c r="I102" s="40"/>
      <c r="J102" s="40"/>
      <c r="K102" s="40"/>
      <c r="L102" s="40"/>
      <c r="M102" s="40"/>
      <c r="N102" s="40"/>
      <c r="O102" s="40">
        <v>22000</v>
      </c>
      <c r="P102" s="40">
        <v>3000</v>
      </c>
      <c r="Q102" s="40" t="s">
        <v>3693</v>
      </c>
      <c r="R102" s="40">
        <v>6000</v>
      </c>
      <c r="S102" s="40" t="s">
        <v>3731</v>
      </c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40">
        <v>48</v>
      </c>
      <c r="B103" s="40"/>
      <c r="C103" s="40" t="s">
        <v>3439</v>
      </c>
      <c r="D103" s="40" t="s">
        <v>1922</v>
      </c>
      <c r="E103" s="40" t="s">
        <v>336</v>
      </c>
      <c r="F103" s="43" t="s">
        <v>3298</v>
      </c>
      <c r="G103" s="40"/>
      <c r="H103" s="40"/>
      <c r="I103" s="40"/>
      <c r="J103" s="40"/>
      <c r="K103" s="40"/>
      <c r="L103" s="40"/>
      <c r="M103" s="40"/>
      <c r="N103" s="40"/>
      <c r="O103" s="40">
        <v>20000</v>
      </c>
      <c r="P103" s="40">
        <v>2000</v>
      </c>
      <c r="Q103" s="40" t="s">
        <v>3694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40">
        <v>49</v>
      </c>
      <c r="B104" s="40"/>
      <c r="C104" s="40" t="s">
        <v>3440</v>
      </c>
      <c r="D104" s="40" t="s">
        <v>1943</v>
      </c>
      <c r="E104" s="40" t="s">
        <v>336</v>
      </c>
      <c r="F104" s="43" t="s">
        <v>3311</v>
      </c>
      <c r="G104" s="40"/>
      <c r="H104" s="40"/>
      <c r="I104" s="40"/>
      <c r="J104" s="40"/>
      <c r="K104" s="40"/>
      <c r="L104" s="40"/>
      <c r="M104" s="40"/>
      <c r="N104" s="40"/>
      <c r="O104" s="40">
        <v>17000</v>
      </c>
      <c r="P104" s="40">
        <v>5000</v>
      </c>
      <c r="Q104" s="40" t="s">
        <v>3695</v>
      </c>
      <c r="R104" s="40">
        <v>5000</v>
      </c>
      <c r="S104" s="40" t="s">
        <v>3732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40">
        <v>50</v>
      </c>
      <c r="B105" s="40"/>
      <c r="C105" s="40" t="s">
        <v>3441</v>
      </c>
      <c r="D105" s="40" t="s">
        <v>3471</v>
      </c>
      <c r="E105" s="40" t="s">
        <v>336</v>
      </c>
      <c r="F105" s="43" t="s">
        <v>3315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3000</v>
      </c>
      <c r="Q105" s="40" t="s">
        <v>3696</v>
      </c>
      <c r="R105" s="40">
        <v>5000</v>
      </c>
      <c r="S105" s="40" t="s">
        <v>3733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40">
        <v>51</v>
      </c>
      <c r="B106" s="40"/>
      <c r="C106" s="40" t="s">
        <v>3442</v>
      </c>
      <c r="D106" s="40" t="s">
        <v>2506</v>
      </c>
      <c r="E106" s="40" t="s">
        <v>336</v>
      </c>
      <c r="F106" s="43" t="s">
        <v>3523</v>
      </c>
      <c r="G106" s="40"/>
      <c r="H106" s="40"/>
      <c r="I106" s="40"/>
      <c r="J106" s="40"/>
      <c r="K106" s="40"/>
      <c r="L106" s="40"/>
      <c r="M106" s="40"/>
      <c r="N106" s="40"/>
      <c r="O106" s="40">
        <v>15000</v>
      </c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40">
        <v>52</v>
      </c>
      <c r="B107" s="40"/>
      <c r="C107" s="40" t="s">
        <v>3443</v>
      </c>
      <c r="D107" s="40" t="s">
        <v>3472</v>
      </c>
      <c r="E107" s="40" t="s">
        <v>336</v>
      </c>
      <c r="F107" s="43" t="s">
        <v>3524</v>
      </c>
      <c r="G107" s="40"/>
      <c r="H107" s="40"/>
      <c r="I107" s="40"/>
      <c r="J107" s="40"/>
      <c r="K107" s="40"/>
      <c r="L107" s="40"/>
      <c r="M107" s="40"/>
      <c r="N107" s="40"/>
      <c r="O107" s="40" t="s">
        <v>1842</v>
      </c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40">
        <v>53</v>
      </c>
      <c r="B108" s="40"/>
      <c r="C108" s="40" t="s">
        <v>3444</v>
      </c>
      <c r="D108" s="40" t="s">
        <v>3473</v>
      </c>
      <c r="E108" s="40" t="s">
        <v>336</v>
      </c>
      <c r="F108" s="43" t="s">
        <v>3525</v>
      </c>
      <c r="G108" s="40"/>
      <c r="H108" s="40"/>
      <c r="I108" s="40"/>
      <c r="J108" s="40"/>
      <c r="K108" s="40"/>
      <c r="L108" s="40"/>
      <c r="M108" s="40"/>
      <c r="N108" s="40"/>
      <c r="O108" s="40">
        <v>15000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40">
        <v>54</v>
      </c>
      <c r="B109" s="40"/>
      <c r="C109" s="40" t="s">
        <v>3445</v>
      </c>
      <c r="D109" s="40" t="s">
        <v>3474</v>
      </c>
      <c r="E109" s="40" t="s">
        <v>336</v>
      </c>
      <c r="F109" s="43" t="s">
        <v>3526</v>
      </c>
      <c r="G109" s="40"/>
      <c r="H109" s="40"/>
      <c r="I109" s="40"/>
      <c r="J109" s="40"/>
      <c r="K109" s="40"/>
      <c r="L109" s="40"/>
      <c r="M109" s="40"/>
      <c r="N109" s="40"/>
      <c r="O109" s="40">
        <v>20000</v>
      </c>
      <c r="P109" s="40">
        <v>5000</v>
      </c>
      <c r="Q109" s="40" t="s">
        <v>3697</v>
      </c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40">
        <v>55</v>
      </c>
      <c r="B110" s="40"/>
      <c r="C110" s="40" t="s">
        <v>3446</v>
      </c>
      <c r="D110" s="40" t="s">
        <v>3475</v>
      </c>
      <c r="E110" s="40" t="s">
        <v>336</v>
      </c>
      <c r="F110" s="4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40">
        <v>56</v>
      </c>
      <c r="B111" s="40"/>
      <c r="C111" s="40" t="s">
        <v>3447</v>
      </c>
      <c r="D111" s="40" t="s">
        <v>2070</v>
      </c>
      <c r="E111" s="40" t="s">
        <v>336</v>
      </c>
      <c r="F111" s="43" t="s">
        <v>3527</v>
      </c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40">
        <v>57</v>
      </c>
      <c r="B112" s="40"/>
      <c r="C112" s="40" t="s">
        <v>3448</v>
      </c>
      <c r="D112" s="40" t="s">
        <v>3476</v>
      </c>
      <c r="E112" s="40" t="s">
        <v>336</v>
      </c>
      <c r="F112" s="43"/>
      <c r="G112" s="40"/>
      <c r="H112" s="40"/>
      <c r="I112" s="40"/>
      <c r="J112" s="40"/>
      <c r="K112" s="40"/>
      <c r="L112" s="40"/>
      <c r="M112" s="40"/>
      <c r="N112" s="40"/>
      <c r="O112" s="40"/>
      <c r="P112" s="40">
        <v>5000</v>
      </c>
      <c r="Q112" s="40" t="s">
        <v>2123</v>
      </c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40">
        <v>58</v>
      </c>
      <c r="B113" s="40"/>
      <c r="C113" s="47" t="s">
        <v>3449</v>
      </c>
      <c r="D113" s="40" t="s">
        <v>3249</v>
      </c>
      <c r="E113" s="40" t="s">
        <v>336</v>
      </c>
      <c r="F113" s="43"/>
      <c r="G113" s="40"/>
      <c r="H113" s="40"/>
      <c r="I113" s="40"/>
      <c r="J113" s="40"/>
      <c r="K113" s="40"/>
      <c r="L113" s="40"/>
      <c r="M113" s="40"/>
      <c r="N113" s="40"/>
      <c r="O113" s="40"/>
      <c r="P113" s="40">
        <v>2000</v>
      </c>
      <c r="Q113" s="40" t="s">
        <v>3698</v>
      </c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7">
        <v>59</v>
      </c>
      <c r="B114" s="40"/>
      <c r="C114" s="47" t="s">
        <v>3450</v>
      </c>
      <c r="D114" s="40" t="s">
        <v>3477</v>
      </c>
      <c r="E114" s="40" t="s">
        <v>336</v>
      </c>
      <c r="F114" s="43"/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10000</v>
      </c>
      <c r="Q114" s="40" t="s">
        <v>3699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40">
        <v>1</v>
      </c>
      <c r="B115" s="40"/>
      <c r="C115" s="40" t="s">
        <v>3550</v>
      </c>
      <c r="D115" s="40" t="s">
        <v>2293</v>
      </c>
      <c r="E115" s="40" t="s">
        <v>3549</v>
      </c>
      <c r="F115" s="43" t="s">
        <v>3607</v>
      </c>
      <c r="G115" s="40"/>
      <c r="H115" s="40"/>
      <c r="I115" s="40"/>
      <c r="J115" s="40"/>
      <c r="K115" s="40"/>
      <c r="L115" s="40"/>
      <c r="M115" s="40"/>
      <c r="N115" s="40"/>
      <c r="O115" s="40">
        <v>18000</v>
      </c>
      <c r="P115" s="40">
        <v>4000</v>
      </c>
      <c r="Q115" s="40" t="s">
        <v>3735</v>
      </c>
      <c r="R115" s="40">
        <v>3750</v>
      </c>
      <c r="S115" s="40" t="s">
        <v>3765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40">
        <v>2</v>
      </c>
      <c r="B116" s="40"/>
      <c r="C116" s="40" t="s">
        <v>3551</v>
      </c>
      <c r="D116" s="40" t="s">
        <v>3588</v>
      </c>
      <c r="E116" s="40" t="s">
        <v>3549</v>
      </c>
      <c r="F116" s="43" t="s">
        <v>3608</v>
      </c>
      <c r="G116" s="40"/>
      <c r="H116" s="40"/>
      <c r="I116" s="40"/>
      <c r="J116" s="40"/>
      <c r="K116" s="40"/>
      <c r="L116" s="40"/>
      <c r="M116" s="40"/>
      <c r="N116" s="40"/>
      <c r="O116" s="40">
        <v>15000</v>
      </c>
      <c r="P116" s="40">
        <v>7500</v>
      </c>
      <c r="Q116" s="40" t="s">
        <v>3736</v>
      </c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40">
        <v>3</v>
      </c>
      <c r="B117" s="40"/>
      <c r="C117" s="40" t="s">
        <v>3552</v>
      </c>
      <c r="D117" s="40" t="s">
        <v>3589</v>
      </c>
      <c r="E117" s="40" t="s">
        <v>3549</v>
      </c>
      <c r="F117" s="44" t="s">
        <v>3609</v>
      </c>
      <c r="G117" s="40"/>
      <c r="H117" s="40"/>
      <c r="I117" s="40"/>
      <c r="J117" s="40"/>
      <c r="K117" s="40"/>
      <c r="L117" s="40"/>
      <c r="M117" s="40"/>
      <c r="N117" s="40"/>
      <c r="O117" s="40">
        <v>20000</v>
      </c>
      <c r="P117" s="40">
        <v>1000</v>
      </c>
      <c r="Q117" s="40" t="s">
        <v>3737</v>
      </c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40">
        <v>4</v>
      </c>
      <c r="B118" s="40"/>
      <c r="C118" s="40" t="s">
        <v>3553</v>
      </c>
      <c r="D118" s="40" t="s">
        <v>2496</v>
      </c>
      <c r="E118" s="40" t="s">
        <v>3549</v>
      </c>
      <c r="F118" s="43" t="s">
        <v>3610</v>
      </c>
      <c r="G118" s="40"/>
      <c r="H118" s="40"/>
      <c r="I118" s="40"/>
      <c r="J118" s="40"/>
      <c r="K118" s="40"/>
      <c r="L118" s="40"/>
      <c r="M118" s="40"/>
      <c r="N118" s="40"/>
      <c r="O118" s="40">
        <v>17000</v>
      </c>
      <c r="P118" s="40">
        <v>1000</v>
      </c>
      <c r="Q118" s="40" t="s">
        <v>3738</v>
      </c>
      <c r="R118" s="40">
        <v>5300</v>
      </c>
      <c r="S118" s="40" t="s">
        <v>3766</v>
      </c>
      <c r="T118" s="40">
        <v>4000</v>
      </c>
      <c r="U118" s="40" t="s">
        <v>3784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40">
        <v>5</v>
      </c>
      <c r="B119" s="40"/>
      <c r="C119" s="40" t="s">
        <v>3554</v>
      </c>
      <c r="D119" s="40" t="s">
        <v>2506</v>
      </c>
      <c r="E119" s="40" t="s">
        <v>3549</v>
      </c>
      <c r="F119" s="43" t="s">
        <v>2550</v>
      </c>
      <c r="G119" s="40"/>
      <c r="H119" s="40"/>
      <c r="I119" s="40"/>
      <c r="J119" s="40"/>
      <c r="K119" s="40"/>
      <c r="L119" s="40"/>
      <c r="M119" s="40"/>
      <c r="N119" s="40"/>
      <c r="O119" s="40">
        <v>17000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40">
        <v>6</v>
      </c>
      <c r="B120" s="40"/>
      <c r="C120" s="40" t="s">
        <v>3555</v>
      </c>
      <c r="D120" s="40" t="s">
        <v>2297</v>
      </c>
      <c r="E120" s="40" t="s">
        <v>3549</v>
      </c>
      <c r="F120" s="43" t="s">
        <v>3611</v>
      </c>
      <c r="G120" s="40"/>
      <c r="H120" s="40"/>
      <c r="I120" s="40"/>
      <c r="J120" s="40"/>
      <c r="K120" s="40"/>
      <c r="L120" s="40"/>
      <c r="M120" s="40"/>
      <c r="N120" s="40"/>
      <c r="O120" s="40">
        <v>16000</v>
      </c>
      <c r="P120" s="40">
        <v>1000</v>
      </c>
      <c r="Q120" s="40" t="s">
        <v>3739</v>
      </c>
      <c r="R120" s="40">
        <v>5000</v>
      </c>
      <c r="S120" s="40" t="s">
        <v>3767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40">
        <v>7</v>
      </c>
      <c r="B121" s="40"/>
      <c r="C121" s="40" t="s">
        <v>3556</v>
      </c>
      <c r="D121" s="40" t="s">
        <v>3590</v>
      </c>
      <c r="E121" s="40" t="s">
        <v>3549</v>
      </c>
      <c r="F121" s="43" t="s">
        <v>3612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5000</v>
      </c>
      <c r="Q121" s="40" t="s">
        <v>3740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40">
        <v>8</v>
      </c>
      <c r="B122" s="40"/>
      <c r="C122" s="40" t="s">
        <v>3557</v>
      </c>
      <c r="D122" s="40" t="s">
        <v>3591</v>
      </c>
      <c r="E122" s="40" t="s">
        <v>3549</v>
      </c>
      <c r="F122" s="43" t="s">
        <v>3613</v>
      </c>
      <c r="G122" s="40"/>
      <c r="H122" s="40"/>
      <c r="I122" s="40"/>
      <c r="J122" s="40"/>
      <c r="K122" s="40"/>
      <c r="L122" s="40"/>
      <c r="M122" s="40"/>
      <c r="N122" s="40"/>
      <c r="O122" s="40">
        <v>6000</v>
      </c>
      <c r="P122" s="40">
        <v>1000</v>
      </c>
      <c r="Q122" s="40" t="s">
        <v>3741</v>
      </c>
      <c r="R122" s="40">
        <v>1500</v>
      </c>
      <c r="S122" s="40" t="s">
        <v>3768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40">
        <v>9</v>
      </c>
      <c r="B123" s="40"/>
      <c r="C123" s="40" t="s">
        <v>3558</v>
      </c>
      <c r="D123" s="40" t="s">
        <v>1942</v>
      </c>
      <c r="E123" s="40" t="s">
        <v>3549</v>
      </c>
      <c r="F123" s="43" t="s">
        <v>3614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1000</v>
      </c>
      <c r="Q123" s="40" t="s">
        <v>3742</v>
      </c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40">
        <v>10</v>
      </c>
      <c r="B124" s="40"/>
      <c r="C124" s="40" t="s">
        <v>3559</v>
      </c>
      <c r="D124" s="40" t="s">
        <v>2503</v>
      </c>
      <c r="E124" s="40" t="s">
        <v>3549</v>
      </c>
      <c r="F124" s="43" t="s">
        <v>3615</v>
      </c>
      <c r="G124" s="40"/>
      <c r="H124" s="40"/>
      <c r="I124" s="40"/>
      <c r="J124" s="40"/>
      <c r="K124" s="40"/>
      <c r="L124" s="40"/>
      <c r="M124" s="40"/>
      <c r="N124" s="40"/>
      <c r="O124" s="40">
        <v>20000</v>
      </c>
      <c r="P124" s="40">
        <v>1000</v>
      </c>
      <c r="Q124" s="40" t="s">
        <v>3743</v>
      </c>
      <c r="R124" s="40">
        <v>5000</v>
      </c>
      <c r="S124" s="40" t="s">
        <v>3769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11</v>
      </c>
      <c r="B125" s="40"/>
      <c r="C125" s="40" t="s">
        <v>3560</v>
      </c>
      <c r="D125" s="40" t="s">
        <v>3592</v>
      </c>
      <c r="E125" s="40" t="s">
        <v>3549</v>
      </c>
      <c r="F125" s="43" t="s">
        <v>3616</v>
      </c>
      <c r="G125" s="40"/>
      <c r="H125" s="40"/>
      <c r="I125" s="40"/>
      <c r="J125" s="40"/>
      <c r="K125" s="40"/>
      <c r="L125" s="40"/>
      <c r="M125" s="40"/>
      <c r="N125" s="40"/>
      <c r="O125" s="40">
        <v>10000</v>
      </c>
      <c r="P125" s="40">
        <v>5000</v>
      </c>
      <c r="Q125" s="40" t="s">
        <v>3744</v>
      </c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12</v>
      </c>
      <c r="B126" s="40"/>
      <c r="C126" s="40" t="s">
        <v>3561</v>
      </c>
      <c r="D126" s="40" t="s">
        <v>1885</v>
      </c>
      <c r="E126" s="40" t="s">
        <v>3549</v>
      </c>
      <c r="F126" s="43" t="s">
        <v>3617</v>
      </c>
      <c r="G126" s="40"/>
      <c r="H126" s="40"/>
      <c r="I126" s="40"/>
      <c r="J126" s="40"/>
      <c r="K126" s="40"/>
      <c r="L126" s="40"/>
      <c r="M126" s="40"/>
      <c r="N126" s="40"/>
      <c r="O126" s="40">
        <v>20000</v>
      </c>
      <c r="P126" s="40">
        <v>1000</v>
      </c>
      <c r="Q126" s="40" t="s">
        <v>3745</v>
      </c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40">
        <v>13</v>
      </c>
      <c r="B127" s="40"/>
      <c r="C127" s="40" t="s">
        <v>3562</v>
      </c>
      <c r="D127" s="40" t="s">
        <v>3593</v>
      </c>
      <c r="E127" s="40" t="s">
        <v>3549</v>
      </c>
      <c r="F127" s="43" t="s">
        <v>3618</v>
      </c>
      <c r="G127" s="40"/>
      <c r="H127" s="40"/>
      <c r="I127" s="40"/>
      <c r="J127" s="40"/>
      <c r="K127" s="40"/>
      <c r="L127" s="40"/>
      <c r="M127" s="40"/>
      <c r="N127" s="40"/>
      <c r="O127" s="40">
        <v>20000</v>
      </c>
      <c r="P127" s="40">
        <v>2000</v>
      </c>
      <c r="Q127" s="40" t="s">
        <v>3746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40">
        <v>14</v>
      </c>
      <c r="B128" s="40"/>
      <c r="C128" s="40" t="s">
        <v>3563</v>
      </c>
      <c r="D128" s="40" t="s">
        <v>3594</v>
      </c>
      <c r="E128" s="40" t="s">
        <v>3549</v>
      </c>
      <c r="F128" s="43" t="s">
        <v>3619</v>
      </c>
      <c r="G128" s="40"/>
      <c r="H128" s="40"/>
      <c r="I128" s="40"/>
      <c r="J128" s="40"/>
      <c r="K128" s="40"/>
      <c r="L128" s="40"/>
      <c r="M128" s="40"/>
      <c r="N128" s="40"/>
      <c r="O128" s="40">
        <v>12000</v>
      </c>
      <c r="P128" s="40">
        <v>3000</v>
      </c>
      <c r="Q128" s="40" t="s">
        <v>3747</v>
      </c>
      <c r="R128" s="40">
        <v>3000</v>
      </c>
      <c r="S128" s="40" t="s">
        <v>3770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40">
        <v>15</v>
      </c>
      <c r="B129" s="40"/>
      <c r="C129" s="40" t="s">
        <v>3436</v>
      </c>
      <c r="D129" s="40" t="s">
        <v>3083</v>
      </c>
      <c r="E129" s="40" t="s">
        <v>3549</v>
      </c>
      <c r="F129" s="43" t="s">
        <v>3620</v>
      </c>
      <c r="G129" s="40"/>
      <c r="H129" s="40"/>
      <c r="I129" s="40"/>
      <c r="J129" s="40"/>
      <c r="K129" s="40"/>
      <c r="L129" s="40"/>
      <c r="M129" s="40"/>
      <c r="N129" s="40"/>
      <c r="O129" s="40">
        <v>20000</v>
      </c>
      <c r="P129" s="40">
        <v>7500</v>
      </c>
      <c r="Q129" s="40" t="s">
        <v>3748</v>
      </c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40">
        <v>16</v>
      </c>
      <c r="B130" s="40"/>
      <c r="C130" s="40" t="s">
        <v>3564</v>
      </c>
      <c r="D130" s="40" t="s">
        <v>3595</v>
      </c>
      <c r="E130" s="40" t="s">
        <v>3549</v>
      </c>
      <c r="F130" s="43" t="s">
        <v>3620</v>
      </c>
      <c r="G130" s="40"/>
      <c r="H130" s="40"/>
      <c r="I130" s="40"/>
      <c r="J130" s="40"/>
      <c r="K130" s="40"/>
      <c r="L130" s="40"/>
      <c r="M130" s="40"/>
      <c r="N130" s="40"/>
      <c r="O130" s="40">
        <v>20000</v>
      </c>
      <c r="P130" s="40">
        <v>7500</v>
      </c>
      <c r="Q130" s="40" t="s">
        <v>3749</v>
      </c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40">
        <v>17</v>
      </c>
      <c r="B131" s="40"/>
      <c r="C131" s="40" t="s">
        <v>3565</v>
      </c>
      <c r="D131" s="40" t="s">
        <v>2513</v>
      </c>
      <c r="E131" s="40" t="s">
        <v>3549</v>
      </c>
      <c r="F131" s="43" t="s">
        <v>3621</v>
      </c>
      <c r="G131" s="40"/>
      <c r="H131" s="40"/>
      <c r="I131" s="40"/>
      <c r="J131" s="40"/>
      <c r="K131" s="40"/>
      <c r="L131" s="40"/>
      <c r="M131" s="40"/>
      <c r="N131" s="40"/>
      <c r="O131" s="40">
        <v>22000</v>
      </c>
      <c r="P131" s="40">
        <v>5000</v>
      </c>
      <c r="Q131" s="40" t="s">
        <v>3750</v>
      </c>
      <c r="R131" s="40">
        <v>5600</v>
      </c>
      <c r="S131" s="40" t="s">
        <v>3771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40">
        <v>18</v>
      </c>
      <c r="B132" s="40"/>
      <c r="C132" s="40" t="s">
        <v>3566</v>
      </c>
      <c r="D132" s="40" t="s">
        <v>2070</v>
      </c>
      <c r="E132" s="40" t="s">
        <v>3549</v>
      </c>
      <c r="F132" s="43" t="s">
        <v>3622</v>
      </c>
      <c r="G132" s="40"/>
      <c r="H132" s="40"/>
      <c r="I132" s="40"/>
      <c r="J132" s="40"/>
      <c r="K132" s="40"/>
      <c r="L132" s="40"/>
      <c r="M132" s="40"/>
      <c r="N132" s="40"/>
      <c r="O132" s="40">
        <v>25000</v>
      </c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40">
        <v>19</v>
      </c>
      <c r="B133" s="40"/>
      <c r="C133" s="40" t="s">
        <v>3567</v>
      </c>
      <c r="D133" s="40" t="s">
        <v>3596</v>
      </c>
      <c r="E133" s="40" t="s">
        <v>3549</v>
      </c>
      <c r="F133" s="43" t="s">
        <v>3623</v>
      </c>
      <c r="G133" s="40"/>
      <c r="H133" s="40"/>
      <c r="I133" s="40"/>
      <c r="J133" s="40"/>
      <c r="K133" s="40"/>
      <c r="L133" s="40"/>
      <c r="M133" s="40"/>
      <c r="N133" s="40"/>
      <c r="O133" s="40">
        <v>12000</v>
      </c>
      <c r="P133" s="40">
        <v>1000</v>
      </c>
      <c r="Q133" s="40" t="s">
        <v>3751</v>
      </c>
      <c r="R133" s="40">
        <v>3600</v>
      </c>
      <c r="S133" s="40" t="s">
        <v>3772</v>
      </c>
      <c r="T133" s="40">
        <v>3500</v>
      </c>
      <c r="U133" s="40" t="s">
        <v>3785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40">
        <v>20</v>
      </c>
      <c r="B134" s="40"/>
      <c r="C134" s="40" t="s">
        <v>3568</v>
      </c>
      <c r="D134" s="40" t="s">
        <v>2808</v>
      </c>
      <c r="E134" s="40" t="s">
        <v>3549</v>
      </c>
      <c r="F134" s="43" t="s">
        <v>3624</v>
      </c>
      <c r="G134" s="40"/>
      <c r="H134" s="40"/>
      <c r="I134" s="40"/>
      <c r="J134" s="40"/>
      <c r="K134" s="40"/>
      <c r="L134" s="40"/>
      <c r="M134" s="40"/>
      <c r="N134" s="40"/>
      <c r="O134" s="40">
        <v>25000</v>
      </c>
      <c r="P134" s="40">
        <v>2000</v>
      </c>
      <c r="Q134" s="40" t="s">
        <v>3752</v>
      </c>
      <c r="R134" s="40">
        <v>5000</v>
      </c>
      <c r="S134" s="40" t="s">
        <v>3773</v>
      </c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40">
        <v>21</v>
      </c>
      <c r="B135" s="40"/>
      <c r="C135" s="40" t="s">
        <v>3562</v>
      </c>
      <c r="D135" s="40" t="s">
        <v>3597</v>
      </c>
      <c r="E135" s="40" t="s">
        <v>3549</v>
      </c>
      <c r="F135" s="43" t="s">
        <v>3625</v>
      </c>
      <c r="G135" s="40"/>
      <c r="H135" s="40"/>
      <c r="I135" s="40"/>
      <c r="J135" s="40"/>
      <c r="K135" s="40"/>
      <c r="L135" s="40"/>
      <c r="M135" s="40"/>
      <c r="N135" s="40"/>
      <c r="O135" s="40">
        <v>20000</v>
      </c>
      <c r="P135" s="40">
        <v>4000</v>
      </c>
      <c r="Q135" s="40" t="s">
        <v>3753</v>
      </c>
      <c r="R135" s="40">
        <v>5300</v>
      </c>
      <c r="S135" s="40" t="s">
        <v>3774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40">
        <v>22</v>
      </c>
      <c r="B136" s="40"/>
      <c r="C136" s="40" t="s">
        <v>3569</v>
      </c>
      <c r="D136" s="40" t="s">
        <v>2012</v>
      </c>
      <c r="E136" s="40" t="s">
        <v>3549</v>
      </c>
      <c r="F136" s="43" t="s">
        <v>3626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2000</v>
      </c>
      <c r="Q136" s="40" t="s">
        <v>3754</v>
      </c>
      <c r="R136" s="40">
        <v>2600</v>
      </c>
      <c r="S136" s="40" t="s">
        <v>3775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40">
        <v>23</v>
      </c>
      <c r="B137" s="40"/>
      <c r="C137" s="40" t="s">
        <v>3570</v>
      </c>
      <c r="D137" s="40" t="s">
        <v>3598</v>
      </c>
      <c r="E137" s="40" t="s">
        <v>3549</v>
      </c>
      <c r="F137" s="43" t="s">
        <v>3627</v>
      </c>
      <c r="G137" s="40"/>
      <c r="H137" s="40"/>
      <c r="I137" s="40"/>
      <c r="J137" s="40"/>
      <c r="K137" s="40"/>
      <c r="L137" s="40"/>
      <c r="M137" s="40"/>
      <c r="N137" s="40"/>
      <c r="O137" s="40">
        <v>17000</v>
      </c>
      <c r="P137" s="40">
        <v>5000</v>
      </c>
      <c r="Q137" s="40" t="s">
        <v>3755</v>
      </c>
      <c r="R137" s="40">
        <v>5000</v>
      </c>
      <c r="S137" s="40" t="s">
        <v>3776</v>
      </c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40">
        <v>24</v>
      </c>
      <c r="B138" s="40"/>
      <c r="C138" s="40" t="s">
        <v>3571</v>
      </c>
      <c r="D138" s="40" t="s">
        <v>2824</v>
      </c>
      <c r="E138" s="40" t="s">
        <v>3549</v>
      </c>
      <c r="F138" s="43" t="s">
        <v>3628</v>
      </c>
      <c r="G138" s="40"/>
      <c r="H138" s="40"/>
      <c r="I138" s="40"/>
      <c r="J138" s="40"/>
      <c r="K138" s="40"/>
      <c r="L138" s="40"/>
      <c r="M138" s="40"/>
      <c r="N138" s="40"/>
      <c r="O138" s="40">
        <v>20000</v>
      </c>
      <c r="P138" s="40">
        <v>1000</v>
      </c>
      <c r="Q138" s="40" t="s">
        <v>3756</v>
      </c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40">
        <v>25</v>
      </c>
      <c r="B139" s="40"/>
      <c r="C139" s="40" t="s">
        <v>3572</v>
      </c>
      <c r="D139" s="40" t="s">
        <v>2270</v>
      </c>
      <c r="E139" s="40" t="s">
        <v>3549</v>
      </c>
      <c r="F139" s="43" t="s">
        <v>3629</v>
      </c>
      <c r="G139" s="40"/>
      <c r="H139" s="40"/>
      <c r="I139" s="40"/>
      <c r="J139" s="40"/>
      <c r="K139" s="40"/>
      <c r="L139" s="40"/>
      <c r="M139" s="40"/>
      <c r="N139" s="40"/>
      <c r="O139" s="40">
        <v>14000</v>
      </c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40">
        <v>26</v>
      </c>
      <c r="B140" s="40"/>
      <c r="C140" s="40" t="s">
        <v>3573</v>
      </c>
      <c r="D140" s="40" t="s">
        <v>3599</v>
      </c>
      <c r="E140" s="40" t="s">
        <v>3549</v>
      </c>
      <c r="F140" s="43" t="s">
        <v>3630</v>
      </c>
      <c r="G140" s="40"/>
      <c r="H140" s="40"/>
      <c r="I140" s="40"/>
      <c r="J140" s="40"/>
      <c r="K140" s="40"/>
      <c r="L140" s="40"/>
      <c r="M140" s="40"/>
      <c r="N140" s="40"/>
      <c r="O140" s="40">
        <v>17000</v>
      </c>
      <c r="P140" s="40">
        <v>1000</v>
      </c>
      <c r="Q140" s="40" t="s">
        <v>3757</v>
      </c>
      <c r="R140" s="40">
        <v>4000</v>
      </c>
      <c r="S140" s="40" t="s">
        <v>3777</v>
      </c>
      <c r="T140" s="40">
        <v>5000</v>
      </c>
      <c r="U140" s="40" t="s">
        <v>3786</v>
      </c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40">
        <v>27</v>
      </c>
      <c r="B141" s="40"/>
      <c r="C141" s="40" t="s">
        <v>3574</v>
      </c>
      <c r="D141" s="40" t="s">
        <v>1885</v>
      </c>
      <c r="E141" s="40" t="s">
        <v>3549</v>
      </c>
      <c r="F141" s="43" t="s">
        <v>3631</v>
      </c>
      <c r="G141" s="40"/>
      <c r="H141" s="40"/>
      <c r="I141" s="40"/>
      <c r="J141" s="40"/>
      <c r="K141" s="40"/>
      <c r="L141" s="40"/>
      <c r="M141" s="40"/>
      <c r="N141" s="40"/>
      <c r="O141" s="40">
        <v>16000</v>
      </c>
      <c r="P141" s="40">
        <v>1000</v>
      </c>
      <c r="Q141" s="40" t="s">
        <v>3758</v>
      </c>
      <c r="R141" s="40">
        <v>5000</v>
      </c>
      <c r="S141" s="40" t="s">
        <v>3778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40">
        <v>28</v>
      </c>
      <c r="B142" s="40"/>
      <c r="C142" s="40" t="s">
        <v>3575</v>
      </c>
      <c r="D142" s="40" t="s">
        <v>3600</v>
      </c>
      <c r="E142" s="40" t="s">
        <v>3549</v>
      </c>
      <c r="F142" s="43" t="s">
        <v>3632</v>
      </c>
      <c r="G142" s="40"/>
      <c r="H142" s="40"/>
      <c r="I142" s="40"/>
      <c r="J142" s="40"/>
      <c r="K142" s="40"/>
      <c r="L142" s="40"/>
      <c r="M142" s="40"/>
      <c r="N142" s="40"/>
      <c r="O142" s="40">
        <v>12000</v>
      </c>
      <c r="P142" s="40">
        <v>5000</v>
      </c>
      <c r="Q142" s="40" t="s">
        <v>3759</v>
      </c>
      <c r="R142" s="40">
        <v>2300</v>
      </c>
      <c r="S142" s="40" t="s">
        <v>3779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40">
        <v>29</v>
      </c>
      <c r="B143" s="40"/>
      <c r="C143" s="40" t="s">
        <v>3576</v>
      </c>
      <c r="D143" s="40" t="s">
        <v>2175</v>
      </c>
      <c r="E143" s="40" t="s">
        <v>3549</v>
      </c>
      <c r="F143" s="43" t="s">
        <v>3633</v>
      </c>
      <c r="G143" s="40"/>
      <c r="H143" s="40"/>
      <c r="I143" s="40"/>
      <c r="J143" s="40"/>
      <c r="K143" s="40"/>
      <c r="L143" s="40"/>
      <c r="M143" s="40"/>
      <c r="N143" s="40"/>
      <c r="O143" s="40">
        <v>15000</v>
      </c>
      <c r="P143" s="40">
        <v>2500</v>
      </c>
      <c r="Q143" s="40" t="s">
        <v>3760</v>
      </c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40">
        <v>30</v>
      </c>
      <c r="B144" s="40"/>
      <c r="C144" s="40" t="s">
        <v>3577</v>
      </c>
      <c r="D144" s="40" t="s">
        <v>2042</v>
      </c>
      <c r="E144" s="40" t="s">
        <v>3549</v>
      </c>
      <c r="F144" s="43" t="s">
        <v>3634</v>
      </c>
      <c r="G144" s="40"/>
      <c r="H144" s="40"/>
      <c r="I144" s="40"/>
      <c r="J144" s="40"/>
      <c r="K144" s="40"/>
      <c r="L144" s="40"/>
      <c r="M144" s="40"/>
      <c r="N144" s="40"/>
      <c r="O144" s="40">
        <v>11000</v>
      </c>
      <c r="P144" s="40">
        <v>500</v>
      </c>
      <c r="Q144" s="40" t="s">
        <v>3761</v>
      </c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31</v>
      </c>
      <c r="B145" s="40"/>
      <c r="C145" s="40" t="s">
        <v>3578</v>
      </c>
      <c r="D145" s="40" t="s">
        <v>2498</v>
      </c>
      <c r="E145" s="40" t="s">
        <v>3549</v>
      </c>
      <c r="F145" s="43" t="s">
        <v>3635</v>
      </c>
      <c r="G145" s="40"/>
      <c r="H145" s="40"/>
      <c r="I145" s="40"/>
      <c r="J145" s="40"/>
      <c r="K145" s="40"/>
      <c r="L145" s="40"/>
      <c r="M145" s="40"/>
      <c r="N145" s="40"/>
      <c r="O145" s="40">
        <v>18000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40">
        <v>32</v>
      </c>
      <c r="B146" s="40"/>
      <c r="C146" s="40" t="s">
        <v>3579</v>
      </c>
      <c r="D146" s="40" t="s">
        <v>2007</v>
      </c>
      <c r="E146" s="40" t="s">
        <v>3549</v>
      </c>
      <c r="F146" s="43" t="s">
        <v>3636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33</v>
      </c>
      <c r="B147" s="40"/>
      <c r="C147" s="40" t="s">
        <v>3580</v>
      </c>
      <c r="D147" s="40" t="s">
        <v>3601</v>
      </c>
      <c r="E147" s="40" t="s">
        <v>3549</v>
      </c>
      <c r="F147" s="43" t="s">
        <v>3637</v>
      </c>
      <c r="G147" s="40"/>
      <c r="H147" s="40"/>
      <c r="I147" s="40"/>
      <c r="J147" s="40"/>
      <c r="K147" s="40"/>
      <c r="L147" s="40"/>
      <c r="M147" s="40"/>
      <c r="N147" s="40"/>
      <c r="O147" s="40">
        <v>20000</v>
      </c>
      <c r="P147" s="40">
        <v>5000</v>
      </c>
      <c r="Q147" s="40" t="s">
        <v>3762</v>
      </c>
      <c r="R147" s="40">
        <v>5000</v>
      </c>
      <c r="S147" s="40" t="s">
        <v>3780</v>
      </c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34</v>
      </c>
      <c r="B148" s="40"/>
      <c r="C148" s="40" t="s">
        <v>3581</v>
      </c>
      <c r="D148" s="40" t="s">
        <v>3602</v>
      </c>
      <c r="E148" s="40" t="s">
        <v>3549</v>
      </c>
      <c r="F148" s="43" t="s">
        <v>3638</v>
      </c>
      <c r="G148" s="40"/>
      <c r="H148" s="40"/>
      <c r="I148" s="40"/>
      <c r="J148" s="40"/>
      <c r="K148" s="40"/>
      <c r="L148" s="40"/>
      <c r="M148" s="40"/>
      <c r="N148" s="40"/>
      <c r="O148" s="40" t="s">
        <v>1834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40">
        <v>35</v>
      </c>
      <c r="B149" s="40"/>
      <c r="C149" s="40" t="s">
        <v>3582</v>
      </c>
      <c r="D149" s="40" t="s">
        <v>3603</v>
      </c>
      <c r="E149" s="40" t="s">
        <v>3549</v>
      </c>
      <c r="F149" s="43" t="s">
        <v>3639</v>
      </c>
      <c r="G149" s="40"/>
      <c r="H149" s="40"/>
      <c r="I149" s="40"/>
      <c r="J149" s="40"/>
      <c r="K149" s="40"/>
      <c r="L149" s="40"/>
      <c r="M149" s="40"/>
      <c r="N149" s="40"/>
      <c r="O149" s="40">
        <v>25000</v>
      </c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40">
        <v>36</v>
      </c>
      <c r="B150" s="40"/>
      <c r="C150" s="40" t="s">
        <v>3583</v>
      </c>
      <c r="D150" s="40" t="s">
        <v>3604</v>
      </c>
      <c r="E150" s="40" t="s">
        <v>3549</v>
      </c>
      <c r="F150" s="43" t="s">
        <v>3640</v>
      </c>
      <c r="G150" s="40"/>
      <c r="H150" s="40"/>
      <c r="I150" s="40"/>
      <c r="J150" s="40"/>
      <c r="K150" s="40"/>
      <c r="L150" s="40"/>
      <c r="M150" s="40"/>
      <c r="N150" s="40"/>
      <c r="O150" s="40">
        <v>10000</v>
      </c>
      <c r="P150" s="40">
        <v>1000</v>
      </c>
      <c r="Q150" s="40" t="s">
        <v>3763</v>
      </c>
      <c r="R150" s="40">
        <v>3000</v>
      </c>
      <c r="S150" s="40" t="s">
        <v>3781</v>
      </c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37</v>
      </c>
      <c r="B151" s="40"/>
      <c r="C151" s="40" t="s">
        <v>3584</v>
      </c>
      <c r="D151" s="40" t="s">
        <v>2068</v>
      </c>
      <c r="E151" s="40" t="s">
        <v>3549</v>
      </c>
      <c r="F151" s="43" t="s">
        <v>3310</v>
      </c>
      <c r="G151" s="40"/>
      <c r="H151" s="40"/>
      <c r="I151" s="40"/>
      <c r="J151" s="40"/>
      <c r="K151" s="40"/>
      <c r="L151" s="40"/>
      <c r="M151" s="40"/>
      <c r="N151" s="40"/>
      <c r="O151" s="40">
        <v>12000</v>
      </c>
      <c r="P151" s="40">
        <v>1000</v>
      </c>
      <c r="Q151" s="40" t="s">
        <v>3763</v>
      </c>
      <c r="R151" s="40">
        <v>3600</v>
      </c>
      <c r="S151" s="40" t="s">
        <v>3782</v>
      </c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40">
        <v>38</v>
      </c>
      <c r="B152" s="40"/>
      <c r="C152" s="40" t="s">
        <v>3585</v>
      </c>
      <c r="D152" s="40" t="s">
        <v>3605</v>
      </c>
      <c r="E152" s="40" t="s">
        <v>3549</v>
      </c>
      <c r="F152" s="43" t="s">
        <v>3641</v>
      </c>
      <c r="G152" s="40"/>
      <c r="H152" s="40"/>
      <c r="I152" s="40"/>
      <c r="J152" s="40"/>
      <c r="K152" s="40"/>
      <c r="L152" s="40"/>
      <c r="M152" s="40"/>
      <c r="N152" s="40"/>
      <c r="O152" s="40">
        <v>20000</v>
      </c>
      <c r="P152" s="40" t="s">
        <v>1834</v>
      </c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40">
        <v>39</v>
      </c>
      <c r="B153" s="40"/>
      <c r="C153" s="40" t="s">
        <v>3586</v>
      </c>
      <c r="D153" s="40" t="s">
        <v>3606</v>
      </c>
      <c r="E153" s="40" t="s">
        <v>3549</v>
      </c>
      <c r="F153" s="43" t="s">
        <v>3309</v>
      </c>
      <c r="G153" s="40"/>
      <c r="H153" s="40"/>
      <c r="I153" s="40"/>
      <c r="J153" s="40"/>
      <c r="K153" s="40"/>
      <c r="L153" s="40"/>
      <c r="M153" s="40"/>
      <c r="N153" s="40"/>
      <c r="O153" s="40">
        <v>20000</v>
      </c>
      <c r="P153" s="40">
        <v>500</v>
      </c>
      <c r="Q153" s="40" t="s">
        <v>3764</v>
      </c>
      <c r="R153" s="40">
        <v>6500</v>
      </c>
      <c r="S153" s="40" t="s">
        <v>3783</v>
      </c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40">
        <v>40</v>
      </c>
      <c r="B154" s="40"/>
      <c r="C154" s="40" t="s">
        <v>3587</v>
      </c>
      <c r="D154" s="40"/>
      <c r="E154" s="40" t="s">
        <v>3549</v>
      </c>
      <c r="F154" s="43" t="s">
        <v>3637</v>
      </c>
      <c r="G154" s="40"/>
      <c r="H154" s="40"/>
      <c r="I154" s="40"/>
      <c r="J154" s="40"/>
      <c r="K154" s="40"/>
      <c r="L154" s="40"/>
      <c r="M154" s="40"/>
      <c r="N154" s="40"/>
      <c r="O154" s="40" t="s">
        <v>1834</v>
      </c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1</v>
      </c>
      <c r="B155" s="40"/>
      <c r="C155" s="40" t="s">
        <v>3643</v>
      </c>
      <c r="D155" s="40" t="s">
        <v>3661</v>
      </c>
      <c r="E155" s="40" t="s">
        <v>3642</v>
      </c>
      <c r="F155" s="43" t="s">
        <v>3787</v>
      </c>
      <c r="G155" s="40"/>
      <c r="H155" s="40"/>
      <c r="I155" s="40"/>
      <c r="J155" s="40"/>
      <c r="K155" s="40"/>
      <c r="L155" s="40"/>
      <c r="M155" s="40"/>
      <c r="N155" s="40"/>
      <c r="O155" s="40">
        <v>15000</v>
      </c>
      <c r="P155" s="40">
        <v>1000</v>
      </c>
      <c r="Q155" s="40" t="s">
        <v>3803</v>
      </c>
      <c r="R155" s="40">
        <v>2500</v>
      </c>
      <c r="S155" s="40" t="s">
        <v>3815</v>
      </c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2</v>
      </c>
      <c r="B156" s="40"/>
      <c r="C156" s="40" t="s">
        <v>3644</v>
      </c>
      <c r="D156" s="40" t="s">
        <v>2489</v>
      </c>
      <c r="E156" s="40" t="s">
        <v>3642</v>
      </c>
      <c r="F156" s="43" t="s">
        <v>3788</v>
      </c>
      <c r="G156" s="40"/>
      <c r="H156" s="40"/>
      <c r="I156" s="40"/>
      <c r="J156" s="40"/>
      <c r="K156" s="40"/>
      <c r="L156" s="40"/>
      <c r="M156" s="40"/>
      <c r="N156" s="40"/>
      <c r="O156" s="40">
        <v>10000</v>
      </c>
      <c r="P156" s="40">
        <v>2500</v>
      </c>
      <c r="Q156" s="40" t="s">
        <v>3804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40">
        <v>3</v>
      </c>
      <c r="B157" s="40"/>
      <c r="C157" s="40" t="s">
        <v>3645</v>
      </c>
      <c r="D157" s="40" t="s">
        <v>3662</v>
      </c>
      <c r="E157" s="40" t="s">
        <v>3642</v>
      </c>
      <c r="F157" s="43" t="s">
        <v>3789</v>
      </c>
      <c r="G157" s="40"/>
      <c r="H157" s="40"/>
      <c r="I157" s="40"/>
      <c r="J157" s="40"/>
      <c r="K157" s="40"/>
      <c r="L157" s="40"/>
      <c r="M157" s="40"/>
      <c r="N157" s="40"/>
      <c r="O157" s="40">
        <v>2000</v>
      </c>
      <c r="P157" s="40">
        <v>1000</v>
      </c>
      <c r="Q157" s="40" t="s">
        <v>3741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40">
        <v>4</v>
      </c>
      <c r="B158" s="40"/>
      <c r="C158" s="40" t="s">
        <v>3646</v>
      </c>
      <c r="D158" s="40" t="s">
        <v>2521</v>
      </c>
      <c r="E158" s="40" t="s">
        <v>3642</v>
      </c>
      <c r="F158" s="43" t="s">
        <v>3790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3805</v>
      </c>
      <c r="R158" s="40">
        <v>4600</v>
      </c>
      <c r="S158" s="40" t="s">
        <v>3816</v>
      </c>
      <c r="T158" s="40">
        <v>3000</v>
      </c>
      <c r="U158" s="40" t="s">
        <v>3823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5</v>
      </c>
      <c r="B159" s="40"/>
      <c r="C159" s="40" t="s">
        <v>3647</v>
      </c>
      <c r="D159" s="40" t="s">
        <v>3663</v>
      </c>
      <c r="E159" s="40" t="s">
        <v>3642</v>
      </c>
      <c r="F159" s="43" t="s">
        <v>3791</v>
      </c>
      <c r="G159" s="40"/>
      <c r="H159" s="40"/>
      <c r="I159" s="40"/>
      <c r="J159" s="40"/>
      <c r="K159" s="40"/>
      <c r="L159" s="40"/>
      <c r="M159" s="40"/>
      <c r="N159" s="40"/>
      <c r="O159" s="40">
        <v>5000</v>
      </c>
      <c r="P159" s="40">
        <v>1500</v>
      </c>
      <c r="Q159" s="40" t="s">
        <v>3806</v>
      </c>
      <c r="R159" s="40">
        <v>2000</v>
      </c>
      <c r="S159" s="40" t="s">
        <v>3817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40">
        <v>6</v>
      </c>
      <c r="B160" s="40"/>
      <c r="C160" s="40" t="s">
        <v>3648</v>
      </c>
      <c r="D160" s="40" t="s">
        <v>3664</v>
      </c>
      <c r="E160" s="40" t="s">
        <v>3642</v>
      </c>
      <c r="F160" s="43" t="s">
        <v>3792</v>
      </c>
      <c r="G160" s="40"/>
      <c r="H160" s="40"/>
      <c r="I160" s="40"/>
      <c r="J160" s="40"/>
      <c r="K160" s="40"/>
      <c r="L160" s="40"/>
      <c r="M160" s="40"/>
      <c r="N160" s="40"/>
      <c r="O160" s="40">
        <v>6000</v>
      </c>
      <c r="P160" s="40">
        <v>1500</v>
      </c>
      <c r="Q160" s="40" t="s">
        <v>3807</v>
      </c>
      <c r="R160" s="40">
        <v>1500</v>
      </c>
      <c r="S160" s="40" t="s">
        <v>3818</v>
      </c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40">
        <v>7</v>
      </c>
      <c r="B161" s="40"/>
      <c r="C161" s="40" t="s">
        <v>3649</v>
      </c>
      <c r="D161" s="40" t="s">
        <v>3665</v>
      </c>
      <c r="E161" s="40" t="s">
        <v>3642</v>
      </c>
      <c r="F161" s="43" t="s">
        <v>2020</v>
      </c>
      <c r="G161" s="40"/>
      <c r="H161" s="40"/>
      <c r="I161" s="40"/>
      <c r="J161" s="40"/>
      <c r="K161" s="40"/>
      <c r="L161" s="40"/>
      <c r="M161" s="40"/>
      <c r="N161" s="40"/>
      <c r="O161" s="40" t="s">
        <v>1842</v>
      </c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40">
        <v>8</v>
      </c>
      <c r="B162" s="40"/>
      <c r="C162" s="40" t="s">
        <v>3650</v>
      </c>
      <c r="D162" s="40" t="s">
        <v>2808</v>
      </c>
      <c r="E162" s="40" t="s">
        <v>3642</v>
      </c>
      <c r="F162" s="43" t="s">
        <v>3793</v>
      </c>
      <c r="G162" s="40"/>
      <c r="H162" s="40"/>
      <c r="I162" s="40"/>
      <c r="J162" s="40"/>
      <c r="K162" s="40"/>
      <c r="L162" s="40"/>
      <c r="M162" s="40"/>
      <c r="N162" s="40"/>
      <c r="O162" s="40">
        <v>15000</v>
      </c>
      <c r="P162" s="40">
        <v>1000</v>
      </c>
      <c r="Q162" s="40" t="s">
        <v>3808</v>
      </c>
      <c r="R162" s="40">
        <v>2500</v>
      </c>
      <c r="S162" s="40" t="s">
        <v>3819</v>
      </c>
      <c r="T162" s="40">
        <v>2500</v>
      </c>
      <c r="U162" s="40" t="s">
        <v>3824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40">
        <v>9</v>
      </c>
      <c r="B163" s="40"/>
      <c r="C163" s="40" t="s">
        <v>3651</v>
      </c>
      <c r="D163" s="40" t="s">
        <v>3465</v>
      </c>
      <c r="E163" s="40" t="s">
        <v>3642</v>
      </c>
      <c r="F163" s="43" t="s">
        <v>3793</v>
      </c>
      <c r="G163" s="40"/>
      <c r="H163" s="40"/>
      <c r="I163" s="40"/>
      <c r="J163" s="40"/>
      <c r="K163" s="40"/>
      <c r="L163" s="40"/>
      <c r="M163" s="40"/>
      <c r="N163" s="40"/>
      <c r="O163" s="40">
        <v>15000</v>
      </c>
      <c r="P163" s="40">
        <v>1000</v>
      </c>
      <c r="Q163" s="40" t="s">
        <v>3809</v>
      </c>
      <c r="R163" s="40">
        <v>2500</v>
      </c>
      <c r="S163" s="40" t="s">
        <v>3820</v>
      </c>
      <c r="T163" s="40">
        <v>2500</v>
      </c>
      <c r="U163" s="40" t="s">
        <v>3825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40">
        <v>10</v>
      </c>
      <c r="B164" s="40"/>
      <c r="C164" s="40" t="s">
        <v>3652</v>
      </c>
      <c r="D164" s="40" t="s">
        <v>3666</v>
      </c>
      <c r="E164" s="40" t="s">
        <v>3642</v>
      </c>
      <c r="F164" s="43" t="s">
        <v>3794</v>
      </c>
      <c r="G164" s="40"/>
      <c r="H164" s="40"/>
      <c r="I164" s="40"/>
      <c r="J164" s="40"/>
      <c r="K164" s="40"/>
      <c r="L164" s="40"/>
      <c r="M164" s="40"/>
      <c r="N164" s="40"/>
      <c r="O164" s="40" t="s">
        <v>1834</v>
      </c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40">
        <v>11</v>
      </c>
      <c r="B165" s="40"/>
      <c r="C165" s="40" t="s">
        <v>3653</v>
      </c>
      <c r="D165" s="40" t="s">
        <v>3667</v>
      </c>
      <c r="E165" s="40" t="s">
        <v>3642</v>
      </c>
      <c r="F165" s="43" t="s">
        <v>3795</v>
      </c>
      <c r="G165" s="40"/>
      <c r="H165" s="40"/>
      <c r="I165" s="40"/>
      <c r="J165" s="40"/>
      <c r="K165" s="40"/>
      <c r="L165" s="40"/>
      <c r="M165" s="40"/>
      <c r="N165" s="40"/>
      <c r="O165" s="40">
        <v>15000</v>
      </c>
      <c r="P165" s="40">
        <v>5000</v>
      </c>
      <c r="Q165" s="40" t="s">
        <v>3810</v>
      </c>
      <c r="R165" s="40">
        <v>3200</v>
      </c>
      <c r="S165" s="40" t="s">
        <v>3821</v>
      </c>
      <c r="T165" s="40">
        <v>3200</v>
      </c>
      <c r="U165" s="40" t="s">
        <v>3821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40">
        <v>12</v>
      </c>
      <c r="B166" s="40"/>
      <c r="C166" s="40" t="s">
        <v>3654</v>
      </c>
      <c r="D166" s="40" t="s">
        <v>2043</v>
      </c>
      <c r="E166" s="40" t="s">
        <v>3642</v>
      </c>
      <c r="F166" s="43" t="s">
        <v>3796</v>
      </c>
      <c r="G166" s="40"/>
      <c r="H166" s="40"/>
      <c r="I166" s="40"/>
      <c r="J166" s="40"/>
      <c r="K166" s="40"/>
      <c r="L166" s="40"/>
      <c r="M166" s="40"/>
      <c r="N166" s="40"/>
      <c r="O166" s="40">
        <v>15000</v>
      </c>
      <c r="P166" s="40">
        <v>2000</v>
      </c>
      <c r="Q166" s="40" t="s">
        <v>3811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47">
        <v>13</v>
      </c>
      <c r="B167" s="40"/>
      <c r="C167" s="40" t="s">
        <v>3655</v>
      </c>
      <c r="D167" s="40" t="s">
        <v>3668</v>
      </c>
      <c r="E167" s="40" t="s">
        <v>3642</v>
      </c>
      <c r="F167" s="43" t="s">
        <v>3797</v>
      </c>
      <c r="G167" s="40"/>
      <c r="H167" s="40"/>
      <c r="I167" s="40"/>
      <c r="J167" s="40"/>
      <c r="K167" s="40"/>
      <c r="L167" s="40"/>
      <c r="M167" s="40"/>
      <c r="N167" s="40"/>
      <c r="O167" s="40">
        <v>5000</v>
      </c>
      <c r="P167" s="40">
        <v>1000</v>
      </c>
      <c r="Q167" s="40" t="s">
        <v>3812</v>
      </c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47">
        <v>14</v>
      </c>
      <c r="B168" s="40"/>
      <c r="C168" s="40" t="s">
        <v>3656</v>
      </c>
      <c r="D168" s="45" t="s">
        <v>2500</v>
      </c>
      <c r="E168" s="40" t="s">
        <v>3642</v>
      </c>
      <c r="F168" s="43" t="s">
        <v>3798</v>
      </c>
      <c r="G168" s="40"/>
      <c r="H168" s="40"/>
      <c r="I168" s="40"/>
      <c r="J168" s="40"/>
      <c r="K168" s="40"/>
      <c r="L168" s="40"/>
      <c r="M168" s="40"/>
      <c r="N168" s="40"/>
      <c r="O168" s="40">
        <v>12000</v>
      </c>
      <c r="P168" s="40">
        <v>1000</v>
      </c>
      <c r="Q168" s="40" t="s">
        <v>3813</v>
      </c>
      <c r="R168" s="40">
        <v>3000</v>
      </c>
      <c r="S168" s="40" t="s">
        <v>3822</v>
      </c>
      <c r="T168" s="40">
        <v>3000</v>
      </c>
      <c r="U168" s="40" t="s">
        <v>3822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47">
        <v>15</v>
      </c>
      <c r="B169" s="40"/>
      <c r="C169" s="40" t="s">
        <v>3657</v>
      </c>
      <c r="D169" s="40" t="s">
        <v>2838</v>
      </c>
      <c r="E169" s="40" t="s">
        <v>3642</v>
      </c>
      <c r="F169" s="43" t="s">
        <v>3799</v>
      </c>
      <c r="G169" s="40"/>
      <c r="H169" s="40"/>
      <c r="I169" s="40"/>
      <c r="J169" s="40"/>
      <c r="K169" s="40"/>
      <c r="L169" s="40"/>
      <c r="M169" s="40"/>
      <c r="N169" s="40"/>
      <c r="O169" s="40">
        <v>16000</v>
      </c>
      <c r="P169" s="40">
        <v>6000</v>
      </c>
      <c r="Q169" s="40" t="s">
        <v>3814</v>
      </c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47">
        <v>16</v>
      </c>
      <c r="B170" s="40"/>
      <c r="C170" s="40" t="s">
        <v>3658</v>
      </c>
      <c r="D170" s="40" t="s">
        <v>3669</v>
      </c>
      <c r="E170" s="40" t="s">
        <v>3642</v>
      </c>
      <c r="F170" s="43" t="s">
        <v>3800</v>
      </c>
      <c r="G170" s="40"/>
      <c r="H170" s="40"/>
      <c r="I170" s="40"/>
      <c r="J170" s="40"/>
      <c r="K170" s="40"/>
      <c r="L170" s="40"/>
      <c r="M170" s="40"/>
      <c r="N170" s="40"/>
      <c r="O170" s="40" t="s">
        <v>1834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47">
        <v>17</v>
      </c>
      <c r="B171" s="40"/>
      <c r="C171" s="40" t="s">
        <v>3659</v>
      </c>
      <c r="D171" s="40" t="s">
        <v>3670</v>
      </c>
      <c r="E171" s="40" t="s">
        <v>3642</v>
      </c>
      <c r="F171" s="43" t="s">
        <v>3801</v>
      </c>
      <c r="G171" s="40"/>
      <c r="H171" s="40"/>
      <c r="I171" s="40"/>
      <c r="J171" s="40"/>
      <c r="K171" s="40"/>
      <c r="L171" s="40"/>
      <c r="M171" s="40"/>
      <c r="N171" s="40"/>
      <c r="O171" s="40">
        <v>10000</v>
      </c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47">
        <v>18</v>
      </c>
      <c r="B172" s="40"/>
      <c r="C172" s="40" t="s">
        <v>3660</v>
      </c>
      <c r="D172" s="40" t="s">
        <v>1893</v>
      </c>
      <c r="E172" s="40" t="s">
        <v>3642</v>
      </c>
      <c r="F172" s="43" t="s">
        <v>3802</v>
      </c>
      <c r="G172" s="40"/>
      <c r="H172" s="40"/>
      <c r="I172" s="40"/>
      <c r="J172" s="40"/>
      <c r="K172" s="40"/>
      <c r="L172" s="40"/>
      <c r="M172" s="40"/>
      <c r="N172" s="40"/>
      <c r="O172" s="40">
        <v>19000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</v>
      </c>
      <c r="B173" s="40">
        <v>132</v>
      </c>
      <c r="C173" s="40" t="s">
        <v>3826</v>
      </c>
      <c r="D173" s="45" t="s">
        <v>3857</v>
      </c>
      <c r="E173" s="40" t="s">
        <v>342</v>
      </c>
      <c r="F173" s="44" t="s">
        <v>3880</v>
      </c>
      <c r="G173" s="40"/>
      <c r="H173" s="40"/>
      <c r="I173" s="40"/>
      <c r="J173" s="40"/>
      <c r="K173" s="40"/>
      <c r="L173" s="40"/>
      <c r="M173" s="40"/>
      <c r="N173" s="40"/>
      <c r="O173" s="40">
        <v>5000</v>
      </c>
      <c r="P173" s="40">
        <v>1000</v>
      </c>
      <c r="Q173" s="40" t="s">
        <v>3888</v>
      </c>
      <c r="R173" s="40">
        <v>3000</v>
      </c>
      <c r="S173" s="40" t="s">
        <v>3914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47">
        <v>2</v>
      </c>
      <c r="B174" s="40">
        <v>133</v>
      </c>
      <c r="C174" s="40" t="s">
        <v>3827</v>
      </c>
      <c r="D174" s="45" t="s">
        <v>3858</v>
      </c>
      <c r="E174" s="40" t="s">
        <v>342</v>
      </c>
      <c r="F174" s="44" t="s">
        <v>3877</v>
      </c>
      <c r="G174" s="40"/>
      <c r="H174" s="40"/>
      <c r="I174" s="40"/>
      <c r="J174" s="40"/>
      <c r="K174" s="40"/>
      <c r="L174" s="40"/>
      <c r="M174" s="40"/>
      <c r="N174" s="40"/>
      <c r="O174" s="40">
        <v>15000</v>
      </c>
      <c r="P174" s="40">
        <v>2000</v>
      </c>
      <c r="Q174" s="40" t="s">
        <v>3889</v>
      </c>
      <c r="R174" s="40">
        <v>4500</v>
      </c>
      <c r="S174" s="40" t="s">
        <v>3915</v>
      </c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7">
        <v>3</v>
      </c>
      <c r="B175" s="40">
        <v>134</v>
      </c>
      <c r="C175" s="40" t="s">
        <v>3828</v>
      </c>
      <c r="D175" s="45" t="s">
        <v>3859</v>
      </c>
      <c r="E175" s="40" t="s">
        <v>342</v>
      </c>
      <c r="F175" s="44" t="s">
        <v>3881</v>
      </c>
      <c r="G175" s="40"/>
      <c r="H175" s="40"/>
      <c r="I175" s="40"/>
      <c r="J175" s="40"/>
      <c r="K175" s="40"/>
      <c r="L175" s="40"/>
      <c r="M175" s="40"/>
      <c r="N175" s="40"/>
      <c r="O175" s="40">
        <v>15000</v>
      </c>
      <c r="P175" s="40">
        <v>2000</v>
      </c>
      <c r="Q175" s="40" t="s">
        <v>3890</v>
      </c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47">
        <v>4</v>
      </c>
      <c r="B176" s="40">
        <v>135</v>
      </c>
      <c r="C176" s="40" t="s">
        <v>3829</v>
      </c>
      <c r="D176" s="45" t="s">
        <v>3860</v>
      </c>
      <c r="E176" s="40" t="s">
        <v>342</v>
      </c>
      <c r="F176" s="44" t="s">
        <v>3882</v>
      </c>
      <c r="G176" s="40"/>
      <c r="H176" s="40"/>
      <c r="I176" s="40"/>
      <c r="J176" s="40"/>
      <c r="K176" s="40"/>
      <c r="L176" s="40"/>
      <c r="M176" s="40"/>
      <c r="N176" s="40"/>
      <c r="O176" s="40">
        <v>20000</v>
      </c>
      <c r="P176" s="40">
        <v>1000</v>
      </c>
      <c r="Q176" s="40" t="s">
        <v>3891</v>
      </c>
      <c r="R176" s="40">
        <v>19000</v>
      </c>
      <c r="S176" s="40" t="s">
        <v>3916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47">
        <v>5</v>
      </c>
      <c r="B177" s="40">
        <v>136</v>
      </c>
      <c r="C177" s="40" t="s">
        <v>3830</v>
      </c>
      <c r="D177" s="45" t="s">
        <v>2165</v>
      </c>
      <c r="E177" s="40" t="s">
        <v>342</v>
      </c>
      <c r="F177" s="44" t="s">
        <v>3883</v>
      </c>
      <c r="G177" s="40"/>
      <c r="H177" s="40"/>
      <c r="I177" s="40"/>
      <c r="J177" s="40"/>
      <c r="K177" s="40"/>
      <c r="L177" s="40"/>
      <c r="M177" s="40"/>
      <c r="N177" s="40"/>
      <c r="O177" s="40">
        <v>18000</v>
      </c>
      <c r="P177" s="40">
        <v>1000</v>
      </c>
      <c r="Q177" s="40" t="s">
        <v>3892</v>
      </c>
      <c r="R177" s="40">
        <v>5600</v>
      </c>
      <c r="S177" s="40" t="s">
        <v>3917</v>
      </c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47">
        <v>6</v>
      </c>
      <c r="B178" s="40">
        <v>137</v>
      </c>
      <c r="C178" s="40" t="s">
        <v>3402</v>
      </c>
      <c r="D178" s="45" t="s">
        <v>1885</v>
      </c>
      <c r="E178" s="40" t="s">
        <v>342</v>
      </c>
      <c r="F178" s="44" t="s">
        <v>3884</v>
      </c>
      <c r="G178" s="40"/>
      <c r="H178" s="40"/>
      <c r="I178" s="40"/>
      <c r="J178" s="40"/>
      <c r="K178" s="40"/>
      <c r="L178" s="40"/>
      <c r="M178" s="40"/>
      <c r="N178" s="40"/>
      <c r="O178" s="40">
        <v>15000</v>
      </c>
      <c r="P178" s="40">
        <v>2000</v>
      </c>
      <c r="Q178" s="40" t="s">
        <v>3893</v>
      </c>
      <c r="R178" s="40">
        <v>4300</v>
      </c>
      <c r="S178" s="40" t="s">
        <v>3918</v>
      </c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47">
        <v>7</v>
      </c>
      <c r="B179" s="40">
        <v>138</v>
      </c>
      <c r="C179" s="40" t="s">
        <v>3861</v>
      </c>
      <c r="D179" s="45" t="s">
        <v>1943</v>
      </c>
      <c r="E179" s="40" t="s">
        <v>342</v>
      </c>
      <c r="F179" s="44" t="s">
        <v>3885</v>
      </c>
      <c r="G179" s="40"/>
      <c r="H179" s="40"/>
      <c r="I179" s="40"/>
      <c r="J179" s="40"/>
      <c r="K179" s="40"/>
      <c r="L179" s="40"/>
      <c r="M179" s="40"/>
      <c r="N179" s="40"/>
      <c r="O179" s="40">
        <v>8000</v>
      </c>
      <c r="P179" s="40">
        <v>2000</v>
      </c>
      <c r="Q179" s="40" t="s">
        <v>3894</v>
      </c>
      <c r="R179" s="40">
        <v>2000</v>
      </c>
      <c r="S179" s="40" t="s">
        <v>3919</v>
      </c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7">
        <v>8</v>
      </c>
      <c r="B180" s="40">
        <v>139</v>
      </c>
      <c r="C180" s="40" t="s">
        <v>3831</v>
      </c>
      <c r="D180" s="45" t="s">
        <v>3245</v>
      </c>
      <c r="E180" s="40" t="s">
        <v>342</v>
      </c>
      <c r="F180" s="44" t="s">
        <v>3282</v>
      </c>
      <c r="G180" s="40"/>
      <c r="H180" s="40"/>
      <c r="I180" s="40"/>
      <c r="J180" s="40"/>
      <c r="K180" s="40"/>
      <c r="L180" s="40"/>
      <c r="M180" s="40"/>
      <c r="N180" s="40"/>
      <c r="O180" s="40">
        <v>20000</v>
      </c>
      <c r="P180" s="40">
        <v>2500</v>
      </c>
      <c r="Q180" s="40" t="s">
        <v>3895</v>
      </c>
      <c r="R180" s="40">
        <v>5800</v>
      </c>
      <c r="S180" s="40" t="s">
        <v>3920</v>
      </c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7">
        <v>9</v>
      </c>
      <c r="B181" s="40">
        <v>140</v>
      </c>
      <c r="C181" s="40" t="s">
        <v>3832</v>
      </c>
      <c r="D181" s="45" t="s">
        <v>2842</v>
      </c>
      <c r="E181" s="40" t="s">
        <v>342</v>
      </c>
      <c r="F181" s="44" t="s">
        <v>3886</v>
      </c>
      <c r="G181" s="40"/>
      <c r="H181" s="40"/>
      <c r="I181" s="40"/>
      <c r="J181" s="40"/>
      <c r="K181" s="40"/>
      <c r="L181" s="40"/>
      <c r="M181" s="40"/>
      <c r="N181" s="40"/>
      <c r="O181" s="40">
        <v>15000</v>
      </c>
      <c r="P181" s="40">
        <v>1000</v>
      </c>
      <c r="Q181" s="40" t="s">
        <v>3896</v>
      </c>
      <c r="R181" s="40">
        <v>4600</v>
      </c>
      <c r="S181" s="40" t="s">
        <v>3921</v>
      </c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47">
        <v>10</v>
      </c>
      <c r="B182" s="40">
        <v>141</v>
      </c>
      <c r="C182" s="40" t="s">
        <v>3833</v>
      </c>
      <c r="D182" s="45" t="s">
        <v>2070</v>
      </c>
      <c r="E182" s="40" t="s">
        <v>342</v>
      </c>
      <c r="F182" s="44" t="s">
        <v>3887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>
        <v>1000</v>
      </c>
      <c r="Q182" s="40" t="s">
        <v>3897</v>
      </c>
      <c r="R182" s="40">
        <v>6300</v>
      </c>
      <c r="S182" s="40" t="s">
        <v>3922</v>
      </c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47">
        <v>11</v>
      </c>
      <c r="B183" s="40">
        <v>142</v>
      </c>
      <c r="C183" s="40" t="s">
        <v>3834</v>
      </c>
      <c r="D183" s="40" t="s">
        <v>3850</v>
      </c>
      <c r="E183" s="40" t="s">
        <v>342</v>
      </c>
      <c r="F183" s="43" t="s">
        <v>3277</v>
      </c>
      <c r="G183" s="40"/>
      <c r="H183" s="40"/>
      <c r="I183" s="40"/>
      <c r="J183" s="40"/>
      <c r="K183" s="40"/>
      <c r="L183" s="40"/>
      <c r="M183" s="40"/>
      <c r="N183" s="40"/>
      <c r="O183" s="40">
        <v>20000</v>
      </c>
      <c r="P183" s="40">
        <v>5000</v>
      </c>
      <c r="Q183" s="40" t="s">
        <v>3898</v>
      </c>
      <c r="R183" s="40">
        <v>5000</v>
      </c>
      <c r="S183" s="40" t="s">
        <v>3923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7">
        <v>12</v>
      </c>
      <c r="B184" s="40">
        <v>143</v>
      </c>
      <c r="C184" s="40" t="s">
        <v>3835</v>
      </c>
      <c r="D184" s="40" t="s">
        <v>3459</v>
      </c>
      <c r="E184" s="40" t="s">
        <v>342</v>
      </c>
      <c r="F184" s="43" t="s">
        <v>3864</v>
      </c>
      <c r="G184" s="40"/>
      <c r="H184" s="40"/>
      <c r="I184" s="40"/>
      <c r="J184" s="40"/>
      <c r="K184" s="40"/>
      <c r="L184" s="40"/>
      <c r="M184" s="40"/>
      <c r="N184" s="40"/>
      <c r="O184" s="40">
        <v>10000</v>
      </c>
      <c r="P184" s="40">
        <v>1000</v>
      </c>
      <c r="Q184" s="40" t="s">
        <v>3899</v>
      </c>
      <c r="R184" s="40">
        <v>3000</v>
      </c>
      <c r="S184" s="40" t="s">
        <v>3925</v>
      </c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47">
        <v>13</v>
      </c>
      <c r="B185" s="40">
        <v>144</v>
      </c>
      <c r="C185" s="40" t="s">
        <v>3836</v>
      </c>
      <c r="D185" s="40" t="s">
        <v>2513</v>
      </c>
      <c r="E185" s="40" t="s">
        <v>342</v>
      </c>
      <c r="F185" s="43" t="s">
        <v>3865</v>
      </c>
      <c r="G185" s="40"/>
      <c r="H185" s="40"/>
      <c r="I185" s="40"/>
      <c r="J185" s="40"/>
      <c r="K185" s="40"/>
      <c r="L185" s="40"/>
      <c r="M185" s="40"/>
      <c r="N185" s="40"/>
      <c r="O185" s="40">
        <v>10000</v>
      </c>
      <c r="P185" s="40">
        <v>1000</v>
      </c>
      <c r="Q185" s="40" t="s">
        <v>3900</v>
      </c>
      <c r="R185" s="40">
        <v>3000</v>
      </c>
      <c r="S185" s="40" t="s">
        <v>3924</v>
      </c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47">
        <v>14</v>
      </c>
      <c r="B186" s="40">
        <v>145</v>
      </c>
      <c r="C186" s="45" t="s">
        <v>3840</v>
      </c>
      <c r="D186" s="40" t="s">
        <v>2109</v>
      </c>
      <c r="E186" s="40" t="s">
        <v>342</v>
      </c>
      <c r="F186" s="43" t="s">
        <v>3866</v>
      </c>
      <c r="G186" s="40"/>
      <c r="H186" s="40"/>
      <c r="I186" s="40"/>
      <c r="J186" s="40"/>
      <c r="K186" s="40"/>
      <c r="L186" s="40"/>
      <c r="M186" s="40"/>
      <c r="N186" s="40"/>
      <c r="O186" s="40">
        <v>15000</v>
      </c>
      <c r="P186" s="40">
        <v>2000</v>
      </c>
      <c r="Q186" s="40" t="s">
        <v>3901</v>
      </c>
      <c r="R186" s="40">
        <v>4300</v>
      </c>
      <c r="S186" s="40" t="s">
        <v>3928</v>
      </c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47">
        <v>15</v>
      </c>
      <c r="B187" s="40">
        <v>146</v>
      </c>
      <c r="C187" s="40" t="s">
        <v>3837</v>
      </c>
      <c r="D187" s="40" t="s">
        <v>3851</v>
      </c>
      <c r="E187" s="40" t="s">
        <v>342</v>
      </c>
      <c r="F187" s="43" t="s">
        <v>3867</v>
      </c>
      <c r="G187" s="40"/>
      <c r="H187" s="40"/>
      <c r="I187" s="40"/>
      <c r="J187" s="40"/>
      <c r="K187" s="40"/>
      <c r="L187" s="40"/>
      <c r="M187" s="40"/>
      <c r="N187" s="40"/>
      <c r="O187" s="40">
        <v>5000</v>
      </c>
      <c r="P187" s="40">
        <v>1000</v>
      </c>
      <c r="Q187" s="40" t="s">
        <v>3902</v>
      </c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47">
        <v>16</v>
      </c>
      <c r="B188" s="40">
        <v>147</v>
      </c>
      <c r="C188" s="40" t="s">
        <v>3838</v>
      </c>
      <c r="D188" s="40" t="s">
        <v>2672</v>
      </c>
      <c r="E188" s="40" t="s">
        <v>342</v>
      </c>
      <c r="F188" s="43" t="s">
        <v>3868</v>
      </c>
      <c r="G188" s="40"/>
      <c r="H188" s="40"/>
      <c r="I188" s="40"/>
      <c r="J188" s="40"/>
      <c r="K188" s="40"/>
      <c r="L188" s="40"/>
      <c r="M188" s="40"/>
      <c r="N188" s="40"/>
      <c r="O188" s="40">
        <v>15000</v>
      </c>
      <c r="P188" s="40">
        <v>2000</v>
      </c>
      <c r="Q188" s="40" t="s">
        <v>3903</v>
      </c>
      <c r="R188" s="40">
        <v>4300</v>
      </c>
      <c r="S188" s="40" t="s">
        <v>3926</v>
      </c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7">
        <v>17</v>
      </c>
      <c r="B189" s="40">
        <v>148</v>
      </c>
      <c r="C189" s="40" t="s">
        <v>3839</v>
      </c>
      <c r="D189" s="40" t="s">
        <v>3244</v>
      </c>
      <c r="E189" s="40" t="s">
        <v>342</v>
      </c>
      <c r="F189" s="43" t="s">
        <v>3869</v>
      </c>
      <c r="G189" s="40"/>
      <c r="H189" s="40"/>
      <c r="I189" s="40"/>
      <c r="J189" s="40"/>
      <c r="K189" s="40"/>
      <c r="L189" s="40"/>
      <c r="M189" s="40"/>
      <c r="N189" s="40"/>
      <c r="O189" s="40">
        <v>12000</v>
      </c>
      <c r="P189" s="40">
        <v>3000</v>
      </c>
      <c r="Q189" s="40" t="s">
        <v>3904</v>
      </c>
      <c r="R189" s="40">
        <v>200</v>
      </c>
      <c r="S189" s="40" t="s">
        <v>3929</v>
      </c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47">
        <v>18</v>
      </c>
      <c r="B190" s="40">
        <v>149</v>
      </c>
      <c r="C190" s="40" t="s">
        <v>3841</v>
      </c>
      <c r="D190" s="40" t="s">
        <v>3852</v>
      </c>
      <c r="E190" s="40" t="s">
        <v>342</v>
      </c>
      <c r="F190" s="43" t="s">
        <v>3870</v>
      </c>
      <c r="G190" s="40"/>
      <c r="H190" s="40"/>
      <c r="I190" s="40"/>
      <c r="J190" s="40"/>
      <c r="K190" s="40"/>
      <c r="L190" s="40"/>
      <c r="M190" s="40"/>
      <c r="N190" s="40"/>
      <c r="O190" s="40">
        <v>10000</v>
      </c>
      <c r="P190" s="40">
        <v>2000</v>
      </c>
      <c r="Q190" s="40" t="s">
        <v>3905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47">
        <v>19</v>
      </c>
      <c r="B191" s="40">
        <v>150</v>
      </c>
      <c r="C191" s="40" t="s">
        <v>3842</v>
      </c>
      <c r="D191" s="40" t="s">
        <v>2505</v>
      </c>
      <c r="E191" s="40" t="s">
        <v>342</v>
      </c>
      <c r="F191" s="43" t="s">
        <v>3871</v>
      </c>
      <c r="G191" s="40"/>
      <c r="H191" s="40"/>
      <c r="I191" s="40"/>
      <c r="J191" s="40"/>
      <c r="K191" s="40"/>
      <c r="L191" s="40"/>
      <c r="M191" s="40"/>
      <c r="N191" s="40"/>
      <c r="O191" s="40">
        <v>15000</v>
      </c>
      <c r="P191" s="45">
        <v>2000</v>
      </c>
      <c r="Q191" s="40" t="s">
        <v>3906</v>
      </c>
      <c r="R191" s="40">
        <v>4300</v>
      </c>
      <c r="S191" s="40" t="s">
        <v>3927</v>
      </c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47">
        <v>20</v>
      </c>
      <c r="B192" s="40">
        <v>151</v>
      </c>
      <c r="C192" s="40" t="s">
        <v>3843</v>
      </c>
      <c r="D192" s="40" t="s">
        <v>3853</v>
      </c>
      <c r="E192" s="40" t="s">
        <v>342</v>
      </c>
      <c r="F192" s="43" t="s">
        <v>3872</v>
      </c>
      <c r="G192" s="40"/>
      <c r="H192" s="40"/>
      <c r="I192" s="40"/>
      <c r="J192" s="40"/>
      <c r="K192" s="40"/>
      <c r="L192" s="40"/>
      <c r="M192" s="40"/>
      <c r="N192" s="40"/>
      <c r="O192" s="40">
        <v>15000</v>
      </c>
      <c r="P192" s="40">
        <v>5000</v>
      </c>
      <c r="Q192" s="40" t="s">
        <v>3907</v>
      </c>
      <c r="R192" s="40">
        <v>5000</v>
      </c>
      <c r="S192" s="40" t="s">
        <v>3930</v>
      </c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47">
        <v>21</v>
      </c>
      <c r="B193" s="40">
        <v>152</v>
      </c>
      <c r="C193" s="45" t="s">
        <v>3849</v>
      </c>
      <c r="D193" s="40" t="s">
        <v>3854</v>
      </c>
      <c r="E193" s="40" t="s">
        <v>342</v>
      </c>
      <c r="F193" s="43" t="s">
        <v>3873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2000</v>
      </c>
      <c r="Q193" s="40" t="s">
        <v>3908</v>
      </c>
      <c r="R193" s="40">
        <v>1000</v>
      </c>
      <c r="S193" s="40" t="s">
        <v>3931</v>
      </c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47">
        <v>22</v>
      </c>
      <c r="B194" s="40">
        <v>153</v>
      </c>
      <c r="C194" t="s">
        <v>3848</v>
      </c>
      <c r="D194" s="40" t="s">
        <v>3855</v>
      </c>
      <c r="E194" s="40" t="s">
        <v>342</v>
      </c>
      <c r="F194" s="43" t="s">
        <v>3874</v>
      </c>
      <c r="G194" s="40"/>
      <c r="H194" s="40"/>
      <c r="I194" s="40"/>
      <c r="J194" s="40"/>
      <c r="K194" s="40"/>
      <c r="L194" s="40"/>
      <c r="M194" s="40"/>
      <c r="N194" s="40"/>
      <c r="O194" s="40">
        <v>7000</v>
      </c>
      <c r="P194" s="40">
        <v>3000</v>
      </c>
      <c r="Q194" s="40" t="s">
        <v>3909</v>
      </c>
      <c r="R194" s="40">
        <v>1500</v>
      </c>
      <c r="S194" s="40" t="s">
        <v>3932</v>
      </c>
      <c r="T194" s="40">
        <v>1500</v>
      </c>
      <c r="U194" s="40" t="s">
        <v>3936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47">
        <v>23</v>
      </c>
      <c r="B195" s="40">
        <v>154</v>
      </c>
      <c r="C195" s="40" t="s">
        <v>3844</v>
      </c>
      <c r="D195" s="40" t="s">
        <v>2511</v>
      </c>
      <c r="E195" s="40" t="s">
        <v>342</v>
      </c>
      <c r="F195" s="43" t="s">
        <v>3875</v>
      </c>
      <c r="G195" s="40"/>
      <c r="H195" s="40"/>
      <c r="I195" s="40"/>
      <c r="J195" s="40"/>
      <c r="K195" s="40"/>
      <c r="L195" s="40"/>
      <c r="M195" s="40"/>
      <c r="N195" s="40"/>
      <c r="O195" s="40">
        <v>20000</v>
      </c>
      <c r="P195" s="40">
        <v>2000</v>
      </c>
      <c r="Q195" s="40" t="s">
        <v>3910</v>
      </c>
      <c r="R195" s="40">
        <v>6000</v>
      </c>
      <c r="S195" s="40" t="s">
        <v>3933</v>
      </c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47">
        <v>24</v>
      </c>
      <c r="B196" s="40">
        <v>155</v>
      </c>
      <c r="C196" s="40" t="s">
        <v>3845</v>
      </c>
      <c r="D196" s="40" t="s">
        <v>3856</v>
      </c>
      <c r="E196" s="40" t="s">
        <v>342</v>
      </c>
      <c r="F196" s="43" t="s">
        <v>3876</v>
      </c>
      <c r="G196" s="40"/>
      <c r="H196" s="40"/>
      <c r="I196" s="40"/>
      <c r="J196" s="40"/>
      <c r="K196" s="40"/>
      <c r="L196" s="40"/>
      <c r="M196" s="40"/>
      <c r="N196" s="40"/>
      <c r="O196" s="40">
        <v>5000</v>
      </c>
      <c r="P196" s="40">
        <v>1000</v>
      </c>
      <c r="Q196" s="40" t="s">
        <v>3911</v>
      </c>
      <c r="R196" s="40">
        <v>1500</v>
      </c>
      <c r="S196" s="40" t="s">
        <v>3934</v>
      </c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47">
        <v>25</v>
      </c>
      <c r="B197" s="40"/>
      <c r="C197" s="40" t="s">
        <v>3846</v>
      </c>
      <c r="D197" s="40" t="s">
        <v>3862</v>
      </c>
      <c r="E197" s="40" t="s">
        <v>342</v>
      </c>
      <c r="F197" s="43" t="s">
        <v>3878</v>
      </c>
      <c r="G197" s="40"/>
      <c r="H197" s="40"/>
      <c r="I197" s="40"/>
      <c r="J197" s="40"/>
      <c r="K197" s="40"/>
      <c r="L197" s="40"/>
      <c r="M197" s="40"/>
      <c r="N197" s="40"/>
      <c r="O197" s="40">
        <v>12000</v>
      </c>
      <c r="P197" s="40">
        <v>1000</v>
      </c>
      <c r="Q197" s="40" t="s">
        <v>3912</v>
      </c>
      <c r="R197" s="40">
        <v>3600</v>
      </c>
      <c r="S197" s="40" t="s">
        <v>3935</v>
      </c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47">
        <v>26</v>
      </c>
      <c r="B198" s="40"/>
      <c r="C198" s="40" t="s">
        <v>3847</v>
      </c>
      <c r="D198" s="40" t="s">
        <v>3863</v>
      </c>
      <c r="E198" s="40" t="s">
        <v>342</v>
      </c>
      <c r="F198" s="43" t="s">
        <v>3879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2000</v>
      </c>
      <c r="Q198" s="40" t="s">
        <v>3913</v>
      </c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47">
        <v>1</v>
      </c>
      <c r="B199" s="40">
        <v>156</v>
      </c>
      <c r="C199" s="40" t="s">
        <v>3937</v>
      </c>
      <c r="D199" s="40" t="s">
        <v>2167</v>
      </c>
      <c r="E199" s="40" t="s">
        <v>431</v>
      </c>
      <c r="F199" s="43" t="s">
        <v>4046</v>
      </c>
      <c r="G199" s="40"/>
      <c r="H199" s="40"/>
      <c r="I199" s="40"/>
      <c r="J199" s="40"/>
      <c r="K199" s="40"/>
      <c r="L199" s="40"/>
      <c r="M199" s="40"/>
      <c r="N199" s="40"/>
      <c r="O199" s="45">
        <v>15000</v>
      </c>
      <c r="P199" s="40">
        <v>1000</v>
      </c>
      <c r="Q199" s="40" t="s">
        <v>4109</v>
      </c>
      <c r="R199" s="40">
        <v>2000</v>
      </c>
      <c r="S199" s="40" t="s">
        <v>4169</v>
      </c>
      <c r="T199" s="40">
        <v>2000</v>
      </c>
      <c r="U199" s="40" t="s">
        <v>4215</v>
      </c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40">
        <v>2</v>
      </c>
      <c r="B200" s="40">
        <v>157</v>
      </c>
      <c r="C200" s="40" t="s">
        <v>3938</v>
      </c>
      <c r="D200" s="40" t="s">
        <v>4007</v>
      </c>
      <c r="E200" s="40" t="s">
        <v>431</v>
      </c>
      <c r="F200" s="43" t="s">
        <v>4047</v>
      </c>
      <c r="G200" s="40"/>
      <c r="H200" s="40"/>
      <c r="I200" s="40"/>
      <c r="J200" s="40"/>
      <c r="K200" s="40"/>
      <c r="L200" s="40"/>
      <c r="M200" s="40"/>
      <c r="N200" s="40"/>
      <c r="O200" s="45">
        <v>18000</v>
      </c>
      <c r="P200" s="40">
        <v>16000</v>
      </c>
      <c r="Q200" s="40" t="s">
        <v>4110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3</v>
      </c>
      <c r="B201" s="40">
        <v>158</v>
      </c>
      <c r="C201" s="40" t="s">
        <v>3939</v>
      </c>
      <c r="D201" s="40" t="s">
        <v>4008</v>
      </c>
      <c r="E201" s="40" t="s">
        <v>431</v>
      </c>
      <c r="F201" s="43" t="s">
        <v>4048</v>
      </c>
      <c r="G201" s="40"/>
      <c r="H201" s="40"/>
      <c r="I201" s="40"/>
      <c r="J201" s="40"/>
      <c r="K201" s="40"/>
      <c r="L201" s="40"/>
      <c r="M201" s="40"/>
      <c r="N201" s="40"/>
      <c r="O201" s="45">
        <v>20000</v>
      </c>
      <c r="P201" s="40">
        <v>1000</v>
      </c>
      <c r="Q201" s="40" t="s">
        <v>4111</v>
      </c>
      <c r="R201" s="40">
        <v>10000</v>
      </c>
      <c r="S201" s="40" t="s">
        <v>4170</v>
      </c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40">
        <v>4</v>
      </c>
      <c r="B202" s="40">
        <v>159</v>
      </c>
      <c r="C202" s="40" t="s">
        <v>3940</v>
      </c>
      <c r="D202" s="40" t="s">
        <v>4009</v>
      </c>
      <c r="E202" s="40" t="s">
        <v>431</v>
      </c>
      <c r="F202" s="43" t="s">
        <v>4049</v>
      </c>
      <c r="G202" s="40"/>
      <c r="H202" s="40"/>
      <c r="I202" s="40"/>
      <c r="J202" s="40"/>
      <c r="K202" s="40"/>
      <c r="L202" s="40"/>
      <c r="M202" s="40"/>
      <c r="N202" s="40"/>
      <c r="O202" s="45">
        <v>14000</v>
      </c>
      <c r="P202" s="40">
        <v>5000</v>
      </c>
      <c r="Q202" s="40" t="s">
        <v>4112</v>
      </c>
      <c r="R202" s="40">
        <v>3000</v>
      </c>
      <c r="S202" s="40" t="s">
        <v>4171</v>
      </c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40">
        <v>5</v>
      </c>
      <c r="B203" s="40">
        <v>160</v>
      </c>
      <c r="C203" s="40" t="s">
        <v>3941</v>
      </c>
      <c r="D203" s="40" t="s">
        <v>2012</v>
      </c>
      <c r="E203" s="40" t="s">
        <v>431</v>
      </c>
      <c r="F203" s="43" t="s">
        <v>4050</v>
      </c>
      <c r="G203" s="40"/>
      <c r="H203" s="40"/>
      <c r="I203" s="40"/>
      <c r="J203" s="40"/>
      <c r="K203" s="40"/>
      <c r="L203" s="40"/>
      <c r="M203" s="40"/>
      <c r="N203" s="40"/>
      <c r="O203" s="45">
        <v>17000</v>
      </c>
      <c r="P203" s="40">
        <v>1000</v>
      </c>
      <c r="Q203" s="40" t="s">
        <v>4113</v>
      </c>
      <c r="R203" s="40">
        <v>5300</v>
      </c>
      <c r="S203" s="40" t="s">
        <v>4172</v>
      </c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6</v>
      </c>
      <c r="B204" s="40">
        <v>161</v>
      </c>
      <c r="C204" s="40" t="s">
        <v>3942</v>
      </c>
      <c r="D204" s="40" t="s">
        <v>2175</v>
      </c>
      <c r="E204" s="40" t="s">
        <v>431</v>
      </c>
      <c r="F204" s="43" t="s">
        <v>4051</v>
      </c>
      <c r="G204" s="40"/>
      <c r="H204" s="40"/>
      <c r="I204" s="40"/>
      <c r="J204" s="40"/>
      <c r="K204" s="40"/>
      <c r="L204" s="40"/>
      <c r="M204" s="40"/>
      <c r="N204" s="40"/>
      <c r="O204" s="45">
        <v>10000</v>
      </c>
      <c r="P204" s="40">
        <v>1000</v>
      </c>
      <c r="Q204" s="40" t="s">
        <v>4114</v>
      </c>
      <c r="R204" s="40">
        <v>5000</v>
      </c>
      <c r="S204" s="40" t="s">
        <v>4173</v>
      </c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7</v>
      </c>
      <c r="B205" s="40">
        <v>240</v>
      </c>
      <c r="C205" s="40" t="s">
        <v>3943</v>
      </c>
      <c r="D205" s="40" t="s">
        <v>2178</v>
      </c>
      <c r="E205" s="40" t="s">
        <v>431</v>
      </c>
      <c r="F205" s="43" t="s">
        <v>2199</v>
      </c>
      <c r="G205" s="40"/>
      <c r="H205" s="40"/>
      <c r="I205" s="40"/>
      <c r="J205" s="40"/>
      <c r="K205" s="40"/>
      <c r="L205" s="40"/>
      <c r="M205" s="40"/>
      <c r="N205" s="40"/>
      <c r="O205" s="45">
        <v>18000</v>
      </c>
      <c r="P205" s="40">
        <v>2000</v>
      </c>
      <c r="Q205" s="40" t="s">
        <v>4115</v>
      </c>
      <c r="R205" s="40">
        <v>5300</v>
      </c>
      <c r="S205" s="40" t="s">
        <v>4174</v>
      </c>
      <c r="T205" s="40">
        <v>3000</v>
      </c>
      <c r="U205" s="40" t="s">
        <v>4216</v>
      </c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8</v>
      </c>
      <c r="B206" s="40">
        <v>162</v>
      </c>
      <c r="C206" s="40" t="s">
        <v>3944</v>
      </c>
      <c r="D206" s="40" t="s">
        <v>4010</v>
      </c>
      <c r="E206" s="40" t="s">
        <v>431</v>
      </c>
      <c r="F206" s="43" t="s">
        <v>4052</v>
      </c>
      <c r="G206" s="40"/>
      <c r="H206" s="40"/>
      <c r="I206" s="40"/>
      <c r="J206" s="40"/>
      <c r="K206" s="40"/>
      <c r="L206" s="40"/>
      <c r="M206" s="40"/>
      <c r="N206" s="40"/>
      <c r="O206" s="45">
        <v>5000</v>
      </c>
      <c r="P206" s="40">
        <v>1000</v>
      </c>
      <c r="Q206" s="40" t="s">
        <v>4116</v>
      </c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9</v>
      </c>
      <c r="B207" s="40">
        <v>163</v>
      </c>
      <c r="C207" s="40" t="s">
        <v>3945</v>
      </c>
      <c r="D207" s="40" t="s">
        <v>4011</v>
      </c>
      <c r="E207" s="40" t="s">
        <v>431</v>
      </c>
      <c r="F207" s="43" t="s">
        <v>4053</v>
      </c>
      <c r="G207" s="40"/>
      <c r="H207" s="40"/>
      <c r="I207" s="40"/>
      <c r="J207" s="40"/>
      <c r="K207" s="40"/>
      <c r="L207" s="40"/>
      <c r="M207" s="40"/>
      <c r="N207" s="40"/>
      <c r="O207" s="45">
        <v>7000</v>
      </c>
      <c r="P207" s="40">
        <v>3000</v>
      </c>
      <c r="Q207" s="40" t="s">
        <v>4117</v>
      </c>
      <c r="R207" s="40">
        <v>2000</v>
      </c>
      <c r="S207" s="40" t="s">
        <v>4175</v>
      </c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40">
        <v>10</v>
      </c>
      <c r="B208" s="40">
        <v>164</v>
      </c>
      <c r="C208" s="40" t="s">
        <v>3946</v>
      </c>
      <c r="D208" s="40" t="s">
        <v>1893</v>
      </c>
      <c r="E208" s="40" t="s">
        <v>431</v>
      </c>
      <c r="F208" s="43" t="s">
        <v>4054</v>
      </c>
      <c r="G208" s="40"/>
      <c r="H208" s="40"/>
      <c r="I208" s="40"/>
      <c r="J208" s="40"/>
      <c r="K208" s="40"/>
      <c r="L208" s="40"/>
      <c r="M208" s="40"/>
      <c r="N208" s="40"/>
      <c r="O208" s="45">
        <v>15000</v>
      </c>
      <c r="P208" s="40">
        <v>1000</v>
      </c>
      <c r="Q208" s="40" t="s">
        <v>4118</v>
      </c>
      <c r="R208" s="40">
        <v>5000</v>
      </c>
      <c r="S208" s="40" t="s">
        <v>4176</v>
      </c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11</v>
      </c>
      <c r="B209" s="40">
        <v>250</v>
      </c>
      <c r="C209" s="40" t="s">
        <v>3947</v>
      </c>
      <c r="D209" s="40" t="s">
        <v>4012</v>
      </c>
      <c r="E209" s="40" t="s">
        <v>431</v>
      </c>
      <c r="F209" s="43" t="s">
        <v>4055</v>
      </c>
      <c r="G209" s="40"/>
      <c r="H209" s="40"/>
      <c r="I209" s="40"/>
      <c r="J209" s="40"/>
      <c r="K209" s="40"/>
      <c r="L209" s="40"/>
      <c r="M209" s="40"/>
      <c r="N209" s="40"/>
      <c r="O209" s="45">
        <v>3000</v>
      </c>
      <c r="P209" s="40">
        <v>1000</v>
      </c>
      <c r="Q209" s="40" t="s">
        <v>4119</v>
      </c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40">
        <v>12</v>
      </c>
      <c r="B210" s="40">
        <v>249</v>
      </c>
      <c r="C210" s="40" t="s">
        <v>3948</v>
      </c>
      <c r="D210" s="40" t="s">
        <v>4013</v>
      </c>
      <c r="E210" s="40" t="s">
        <v>431</v>
      </c>
      <c r="F210" s="43" t="s">
        <v>4056</v>
      </c>
      <c r="G210" s="40"/>
      <c r="H210" s="40"/>
      <c r="I210" s="40"/>
      <c r="J210" s="40"/>
      <c r="K210" s="40"/>
      <c r="L210" s="40"/>
      <c r="M210" s="40"/>
      <c r="N210" s="40"/>
      <c r="O210" s="45">
        <v>2000</v>
      </c>
      <c r="P210" s="40">
        <v>2000</v>
      </c>
      <c r="Q210" s="40" t="s">
        <v>4120</v>
      </c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40">
        <v>13</v>
      </c>
      <c r="B211" s="40">
        <v>165</v>
      </c>
      <c r="C211" s="40" t="s">
        <v>3949</v>
      </c>
      <c r="D211" s="40" t="s">
        <v>3108</v>
      </c>
      <c r="E211" s="40" t="s">
        <v>431</v>
      </c>
      <c r="F211" s="43" t="s">
        <v>4057</v>
      </c>
      <c r="G211" s="40"/>
      <c r="H211" s="40"/>
      <c r="I211" s="40"/>
      <c r="J211" s="40"/>
      <c r="K211" s="40"/>
      <c r="L211" s="40"/>
      <c r="M211" s="40"/>
      <c r="N211" s="40"/>
      <c r="O211" s="45">
        <v>15000</v>
      </c>
      <c r="P211" s="40">
        <v>1000</v>
      </c>
      <c r="Q211" s="40" t="s">
        <v>4121</v>
      </c>
      <c r="R211" s="40">
        <v>5500</v>
      </c>
      <c r="S211" s="40" t="s">
        <v>4177</v>
      </c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40">
        <v>14</v>
      </c>
      <c r="B212" s="40">
        <v>166</v>
      </c>
      <c r="C212" s="40" t="s">
        <v>3950</v>
      </c>
      <c r="D212" s="40" t="s">
        <v>3242</v>
      </c>
      <c r="E212" s="40" t="s">
        <v>431</v>
      </c>
      <c r="F212" s="43" t="s">
        <v>4058</v>
      </c>
      <c r="G212" s="40"/>
      <c r="H212" s="40"/>
      <c r="I212" s="40"/>
      <c r="J212" s="40"/>
      <c r="K212" s="40"/>
      <c r="L212" s="40"/>
      <c r="M212" s="40"/>
      <c r="N212" s="40"/>
      <c r="O212" s="45">
        <v>20000</v>
      </c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40">
        <v>15</v>
      </c>
      <c r="B213" s="40">
        <v>167</v>
      </c>
      <c r="C213" s="40" t="s">
        <v>3951</v>
      </c>
      <c r="D213" s="40" t="s">
        <v>3667</v>
      </c>
      <c r="E213" s="40" t="s">
        <v>431</v>
      </c>
      <c r="F213" s="43" t="s">
        <v>4059</v>
      </c>
      <c r="G213" s="40"/>
      <c r="H213" s="40"/>
      <c r="I213" s="40"/>
      <c r="J213" s="40"/>
      <c r="K213" s="40"/>
      <c r="L213" s="40"/>
      <c r="M213" s="40"/>
      <c r="N213" s="40"/>
      <c r="O213" s="45">
        <v>20000</v>
      </c>
      <c r="P213" s="40">
        <v>1000</v>
      </c>
      <c r="Q213" s="40" t="s">
        <v>4122</v>
      </c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40">
        <v>16</v>
      </c>
      <c r="B214" s="40">
        <v>168</v>
      </c>
      <c r="C214" s="40" t="s">
        <v>3952</v>
      </c>
      <c r="D214" s="40" t="s">
        <v>2310</v>
      </c>
      <c r="E214" s="40" t="s">
        <v>431</v>
      </c>
      <c r="F214" s="43" t="s">
        <v>4060</v>
      </c>
      <c r="G214" s="40"/>
      <c r="H214" s="40"/>
      <c r="I214" s="40"/>
      <c r="J214" s="40"/>
      <c r="K214" s="40"/>
      <c r="L214" s="40"/>
      <c r="M214" s="40"/>
      <c r="N214" s="40"/>
      <c r="O214" s="45">
        <v>7000</v>
      </c>
      <c r="P214" s="40">
        <v>1000</v>
      </c>
      <c r="Q214" s="40" t="s">
        <v>3356</v>
      </c>
      <c r="R214" s="40">
        <v>2000</v>
      </c>
      <c r="S214" s="40" t="s">
        <v>4178</v>
      </c>
      <c r="T214" s="40">
        <v>2000</v>
      </c>
      <c r="U214" s="40" t="s">
        <v>4217</v>
      </c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17</v>
      </c>
      <c r="B215" s="40">
        <v>169</v>
      </c>
      <c r="C215" s="40" t="s">
        <v>3432</v>
      </c>
      <c r="D215" s="40" t="s">
        <v>4014</v>
      </c>
      <c r="E215" s="40" t="s">
        <v>431</v>
      </c>
      <c r="F215" s="43" t="s">
        <v>4061</v>
      </c>
      <c r="G215" s="40"/>
      <c r="H215" s="40"/>
      <c r="I215" s="40"/>
      <c r="J215" s="40"/>
      <c r="K215" s="40"/>
      <c r="L215" s="40"/>
      <c r="M215" s="40"/>
      <c r="N215" s="40"/>
      <c r="O215" s="45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40">
        <v>18</v>
      </c>
      <c r="B216" s="40">
        <v>170</v>
      </c>
      <c r="C216" s="40" t="s">
        <v>3953</v>
      </c>
      <c r="D216" s="40" t="s">
        <v>4015</v>
      </c>
      <c r="E216" s="40" t="s">
        <v>431</v>
      </c>
      <c r="F216" s="43" t="s">
        <v>4062</v>
      </c>
      <c r="G216" s="40"/>
      <c r="H216" s="40"/>
      <c r="I216" s="40"/>
      <c r="J216" s="40"/>
      <c r="K216" s="40"/>
      <c r="L216" s="40"/>
      <c r="M216" s="40"/>
      <c r="N216" s="40"/>
      <c r="O216" s="45">
        <v>15000</v>
      </c>
      <c r="P216" s="40">
        <v>1000</v>
      </c>
      <c r="Q216" s="40" t="s">
        <v>4123</v>
      </c>
      <c r="R216" s="40">
        <v>8000</v>
      </c>
      <c r="S216" s="40" t="s">
        <v>4179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40">
        <v>19</v>
      </c>
      <c r="B217" s="40">
        <v>171</v>
      </c>
      <c r="C217" s="40" t="s">
        <v>3954</v>
      </c>
      <c r="D217" s="40" t="s">
        <v>4016</v>
      </c>
      <c r="E217" s="40" t="s">
        <v>431</v>
      </c>
      <c r="F217" s="43" t="s">
        <v>4063</v>
      </c>
      <c r="G217" s="40"/>
      <c r="H217" s="40"/>
      <c r="I217" s="40"/>
      <c r="J217" s="40"/>
      <c r="K217" s="40"/>
      <c r="L217" s="40"/>
      <c r="M217" s="40"/>
      <c r="N217" s="40"/>
      <c r="O217" s="45">
        <v>10000</v>
      </c>
      <c r="P217" s="40">
        <v>5000</v>
      </c>
      <c r="Q217" s="40" t="s">
        <v>4124</v>
      </c>
      <c r="R217" s="40">
        <v>5000</v>
      </c>
      <c r="S217" s="40" t="s">
        <v>4180</v>
      </c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20</v>
      </c>
      <c r="B218" s="40">
        <v>172</v>
      </c>
      <c r="C218" s="40" t="s">
        <v>3955</v>
      </c>
      <c r="D218" s="40" t="s">
        <v>4017</v>
      </c>
      <c r="E218" s="40" t="s">
        <v>431</v>
      </c>
      <c r="F218" s="43" t="s">
        <v>4064</v>
      </c>
      <c r="G218" s="40"/>
      <c r="H218" s="40"/>
      <c r="I218" s="40"/>
      <c r="J218" s="40"/>
      <c r="K218" s="40"/>
      <c r="L218" s="40"/>
      <c r="M218" s="40"/>
      <c r="N218" s="40"/>
      <c r="O218" s="40">
        <v>10000</v>
      </c>
      <c r="P218" s="40">
        <v>1000</v>
      </c>
      <c r="Q218" s="40" t="s">
        <v>4125</v>
      </c>
      <c r="R218" s="40">
        <v>3000</v>
      </c>
      <c r="S218" s="40" t="s">
        <v>4181</v>
      </c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21</v>
      </c>
      <c r="B219" s="40">
        <v>173</v>
      </c>
      <c r="C219" s="40" t="s">
        <v>3956</v>
      </c>
      <c r="D219" s="40" t="s">
        <v>4018</v>
      </c>
      <c r="E219" s="40" t="s">
        <v>431</v>
      </c>
      <c r="F219" s="43" t="s">
        <v>4065</v>
      </c>
      <c r="G219" s="40"/>
      <c r="H219" s="40"/>
      <c r="I219" s="40"/>
      <c r="J219" s="40"/>
      <c r="K219" s="40"/>
      <c r="L219" s="40"/>
      <c r="M219" s="40"/>
      <c r="N219" s="40"/>
      <c r="O219" s="45">
        <v>17000</v>
      </c>
      <c r="P219" s="40">
        <v>1000</v>
      </c>
      <c r="Q219" s="40" t="s">
        <v>4126</v>
      </c>
      <c r="R219" s="40">
        <v>5000</v>
      </c>
      <c r="S219" s="40" t="s">
        <v>4182</v>
      </c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40">
        <v>22</v>
      </c>
      <c r="B220" s="40">
        <v>174</v>
      </c>
      <c r="C220" s="40" t="s">
        <v>3957</v>
      </c>
      <c r="D220" s="40" t="s">
        <v>2298</v>
      </c>
      <c r="E220" s="40" t="s">
        <v>431</v>
      </c>
      <c r="F220" s="43" t="s">
        <v>4066</v>
      </c>
      <c r="G220" s="40"/>
      <c r="H220" s="40"/>
      <c r="I220" s="40"/>
      <c r="J220" s="40"/>
      <c r="K220" s="40"/>
      <c r="L220" s="40"/>
      <c r="M220" s="40"/>
      <c r="N220" s="40"/>
      <c r="O220" s="40">
        <v>18000</v>
      </c>
      <c r="P220" s="40">
        <v>1000</v>
      </c>
      <c r="Q220" s="40" t="s">
        <v>4127</v>
      </c>
      <c r="R220" s="40">
        <v>5600</v>
      </c>
      <c r="S220" s="40" t="s">
        <v>4183</v>
      </c>
      <c r="T220" s="40">
        <v>4000</v>
      </c>
      <c r="U220" s="40" t="s">
        <v>4218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40">
        <v>23</v>
      </c>
      <c r="B221" s="40">
        <v>175</v>
      </c>
      <c r="C221" s="40" t="s">
        <v>3958</v>
      </c>
      <c r="D221" s="40" t="s">
        <v>4019</v>
      </c>
      <c r="E221" s="40" t="s">
        <v>431</v>
      </c>
      <c r="F221" s="43" t="s">
        <v>4067</v>
      </c>
      <c r="G221" s="40"/>
      <c r="H221" s="40"/>
      <c r="I221" s="40"/>
      <c r="J221" s="40"/>
      <c r="K221" s="40"/>
      <c r="L221" s="40"/>
      <c r="M221" s="40"/>
      <c r="N221" s="40"/>
      <c r="O221" s="40">
        <v>20000</v>
      </c>
      <c r="P221" s="40">
        <v>2000</v>
      </c>
      <c r="Q221" s="40" t="s">
        <v>4128</v>
      </c>
      <c r="R221" s="40">
        <v>7000</v>
      </c>
      <c r="S221" s="40" t="s">
        <v>4184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40">
        <v>24</v>
      </c>
      <c r="B222" s="40">
        <v>176</v>
      </c>
      <c r="C222" s="40" t="s">
        <v>3959</v>
      </c>
      <c r="D222" s="40" t="s">
        <v>4020</v>
      </c>
      <c r="E222" s="40" t="s">
        <v>431</v>
      </c>
      <c r="F222" s="43" t="s">
        <v>4068</v>
      </c>
      <c r="G222" s="40"/>
      <c r="H222" s="40"/>
      <c r="I222" s="40"/>
      <c r="J222" s="40"/>
      <c r="K222" s="40"/>
      <c r="L222" s="40"/>
      <c r="M222" s="40"/>
      <c r="N222" s="40"/>
      <c r="O222" s="40">
        <v>18000</v>
      </c>
      <c r="P222" s="40">
        <v>1000</v>
      </c>
      <c r="Q222" s="40" t="s">
        <v>4129</v>
      </c>
      <c r="R222" s="40">
        <v>5500</v>
      </c>
      <c r="S222" s="40" t="s">
        <v>4185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40">
        <v>25</v>
      </c>
      <c r="B223" s="40">
        <v>177</v>
      </c>
      <c r="C223" s="40" t="s">
        <v>3960</v>
      </c>
      <c r="D223" s="40" t="s">
        <v>2066</v>
      </c>
      <c r="E223" s="40" t="s">
        <v>431</v>
      </c>
      <c r="F223" s="43" t="s">
        <v>4069</v>
      </c>
      <c r="G223" s="40"/>
      <c r="H223" s="40"/>
      <c r="I223" s="40"/>
      <c r="J223" s="40"/>
      <c r="K223" s="40"/>
      <c r="L223" s="40"/>
      <c r="M223" s="40"/>
      <c r="N223" s="40"/>
      <c r="O223" s="40">
        <v>10000</v>
      </c>
      <c r="P223" s="40">
        <v>5000</v>
      </c>
      <c r="Q223" s="40" t="s">
        <v>4130</v>
      </c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40">
        <v>26</v>
      </c>
      <c r="B224" s="40">
        <v>178</v>
      </c>
      <c r="C224" s="40" t="s">
        <v>3961</v>
      </c>
      <c r="D224" s="40" t="s">
        <v>3244</v>
      </c>
      <c r="E224" s="40" t="s">
        <v>431</v>
      </c>
      <c r="F224" s="43" t="s">
        <v>4070</v>
      </c>
      <c r="G224" s="40"/>
      <c r="H224" s="40"/>
      <c r="I224" s="40"/>
      <c r="J224" s="40"/>
      <c r="K224" s="40"/>
      <c r="L224" s="40"/>
      <c r="M224" s="40"/>
      <c r="N224" s="40"/>
      <c r="O224" s="40">
        <v>25000</v>
      </c>
      <c r="P224" s="40">
        <v>1000</v>
      </c>
      <c r="Q224" s="40" t="s">
        <v>4131</v>
      </c>
      <c r="R224" s="40">
        <v>8600</v>
      </c>
      <c r="S224" s="40" t="s">
        <v>4186</v>
      </c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40">
        <v>27</v>
      </c>
      <c r="B225" s="40">
        <v>179</v>
      </c>
      <c r="C225" s="40" t="s">
        <v>3962</v>
      </c>
      <c r="D225" s="40" t="s">
        <v>2012</v>
      </c>
      <c r="E225" s="40" t="s">
        <v>431</v>
      </c>
      <c r="F225" s="43" t="s">
        <v>4071</v>
      </c>
      <c r="G225" s="40"/>
      <c r="H225" s="40"/>
      <c r="I225" s="40"/>
      <c r="J225" s="40"/>
      <c r="K225" s="40"/>
      <c r="L225" s="40"/>
      <c r="M225" s="40"/>
      <c r="N225" s="40"/>
      <c r="O225" s="40">
        <v>17000</v>
      </c>
      <c r="P225" s="40">
        <v>3000</v>
      </c>
      <c r="Q225" s="40" t="s">
        <v>4132</v>
      </c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40">
        <v>28</v>
      </c>
      <c r="B226" s="40">
        <v>180</v>
      </c>
      <c r="C226" s="40" t="s">
        <v>3963</v>
      </c>
      <c r="D226" s="40" t="s">
        <v>4021</v>
      </c>
      <c r="E226" s="40" t="s">
        <v>431</v>
      </c>
      <c r="F226" s="43" t="s">
        <v>4072</v>
      </c>
      <c r="G226" s="40"/>
      <c r="H226" s="40"/>
      <c r="I226" s="40"/>
      <c r="J226" s="40"/>
      <c r="K226" s="40"/>
      <c r="L226" s="40"/>
      <c r="M226" s="40"/>
      <c r="N226" s="40"/>
      <c r="O226" s="40">
        <v>12000</v>
      </c>
      <c r="P226" s="40">
        <v>6000</v>
      </c>
      <c r="Q226" s="40" t="s">
        <v>4133</v>
      </c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40">
        <v>29</v>
      </c>
      <c r="B227" s="40">
        <v>181</v>
      </c>
      <c r="C227" s="40" t="s">
        <v>3964</v>
      </c>
      <c r="D227" s="40" t="s">
        <v>2010</v>
      </c>
      <c r="E227" s="40" t="s">
        <v>431</v>
      </c>
      <c r="F227" s="43" t="s">
        <v>4073</v>
      </c>
      <c r="G227" s="40"/>
      <c r="H227" s="40"/>
      <c r="I227" s="40"/>
      <c r="J227" s="40"/>
      <c r="K227" s="40"/>
      <c r="L227" s="40"/>
      <c r="M227" s="40"/>
      <c r="N227" s="40"/>
      <c r="O227" s="40">
        <v>25000</v>
      </c>
      <c r="P227" s="40">
        <v>1000</v>
      </c>
      <c r="Q227" s="40" t="s">
        <v>4134</v>
      </c>
      <c r="R227" s="40">
        <v>8000</v>
      </c>
      <c r="S227" s="40" t="s">
        <v>4187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40">
        <v>30</v>
      </c>
      <c r="B228" s="40">
        <v>182</v>
      </c>
      <c r="C228" s="40" t="s">
        <v>3965</v>
      </c>
      <c r="D228" s="40" t="s">
        <v>4022</v>
      </c>
      <c r="E228" s="40" t="s">
        <v>431</v>
      </c>
      <c r="F228" s="43" t="s">
        <v>4074</v>
      </c>
      <c r="G228" s="40"/>
      <c r="H228" s="40"/>
      <c r="I228" s="40"/>
      <c r="J228" s="40"/>
      <c r="K228" s="40"/>
      <c r="L228" s="40"/>
      <c r="M228" s="40"/>
      <c r="N228" s="40"/>
      <c r="O228" s="40">
        <v>27500</v>
      </c>
      <c r="P228" s="40">
        <v>2000</v>
      </c>
      <c r="Q228" s="40" t="s">
        <v>4135</v>
      </c>
      <c r="R228" s="40">
        <v>8500</v>
      </c>
      <c r="S228" s="40" t="s">
        <v>4188</v>
      </c>
      <c r="T228" s="40">
        <v>3000</v>
      </c>
      <c r="U228" s="40" t="s">
        <v>4219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40">
        <v>31</v>
      </c>
      <c r="B229" s="40">
        <v>183</v>
      </c>
      <c r="C229" s="40" t="s">
        <v>3966</v>
      </c>
      <c r="D229" s="40" t="s">
        <v>4023</v>
      </c>
      <c r="E229" s="40" t="s">
        <v>431</v>
      </c>
      <c r="F229" s="43" t="s">
        <v>4075</v>
      </c>
      <c r="G229" s="40"/>
      <c r="H229" s="40"/>
      <c r="I229" s="40"/>
      <c r="J229" s="40"/>
      <c r="K229" s="40"/>
      <c r="L229" s="40"/>
      <c r="M229" s="40"/>
      <c r="N229" s="40"/>
      <c r="O229" s="40">
        <v>20000</v>
      </c>
      <c r="P229" s="40">
        <v>1000</v>
      </c>
      <c r="Q229" s="40" t="s">
        <v>4136</v>
      </c>
      <c r="R229" s="40">
        <v>5000</v>
      </c>
      <c r="S229" s="40" t="s">
        <v>4189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40">
        <v>32</v>
      </c>
      <c r="B230" s="40">
        <v>184</v>
      </c>
      <c r="C230" s="40" t="s">
        <v>3967</v>
      </c>
      <c r="D230" s="40" t="s">
        <v>2961</v>
      </c>
      <c r="E230" s="40" t="s">
        <v>431</v>
      </c>
      <c r="F230" s="43" t="s">
        <v>4076</v>
      </c>
      <c r="G230" s="40"/>
      <c r="H230" s="40"/>
      <c r="I230" s="40"/>
      <c r="J230" s="40"/>
      <c r="K230" s="40"/>
      <c r="L230" s="40"/>
      <c r="M230" s="40"/>
      <c r="N230" s="40"/>
      <c r="O230" s="40">
        <v>20000</v>
      </c>
      <c r="P230" s="40">
        <v>5000</v>
      </c>
      <c r="Q230" s="40" t="s">
        <v>4137</v>
      </c>
      <c r="R230" s="40">
        <v>5000</v>
      </c>
      <c r="S230" s="40" t="s">
        <v>4190</v>
      </c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40">
        <v>33</v>
      </c>
      <c r="B231" s="40">
        <v>185</v>
      </c>
      <c r="C231" s="40" t="s">
        <v>3968</v>
      </c>
      <c r="D231" s="40" t="s">
        <v>2675</v>
      </c>
      <c r="E231" s="40" t="s">
        <v>431</v>
      </c>
      <c r="F231" s="43" t="s">
        <v>4077</v>
      </c>
      <c r="G231" s="40"/>
      <c r="H231" s="40"/>
      <c r="I231" s="40"/>
      <c r="J231" s="40"/>
      <c r="K231" s="40"/>
      <c r="L231" s="40"/>
      <c r="M231" s="40"/>
      <c r="N231" s="40"/>
      <c r="O231" s="40">
        <v>15000</v>
      </c>
      <c r="P231" s="40">
        <v>1000</v>
      </c>
      <c r="Q231" s="40" t="s">
        <v>4138</v>
      </c>
      <c r="R231" s="40">
        <v>11000</v>
      </c>
      <c r="S231" s="40" t="s">
        <v>4191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40">
        <v>34</v>
      </c>
      <c r="B232" s="40">
        <v>186</v>
      </c>
      <c r="C232" s="40" t="s">
        <v>3972</v>
      </c>
      <c r="D232" s="40" t="s">
        <v>4024</v>
      </c>
      <c r="E232" s="40" t="s">
        <v>431</v>
      </c>
      <c r="F232" s="43" t="s">
        <v>4078</v>
      </c>
      <c r="G232" s="40"/>
      <c r="H232" s="40"/>
      <c r="I232" s="40"/>
      <c r="J232" s="40"/>
      <c r="K232" s="40"/>
      <c r="L232" s="40"/>
      <c r="M232" s="40"/>
      <c r="N232" s="40"/>
      <c r="O232" s="40">
        <v>20000</v>
      </c>
      <c r="P232" s="40">
        <v>1000</v>
      </c>
      <c r="Q232" s="40" t="s">
        <v>4139</v>
      </c>
      <c r="R232" s="40">
        <v>5000</v>
      </c>
      <c r="S232" s="40" t="s">
        <v>4192</v>
      </c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40">
        <v>35</v>
      </c>
      <c r="B233" s="40">
        <v>187</v>
      </c>
      <c r="C233" t="s">
        <v>3973</v>
      </c>
      <c r="D233" s="40" t="s">
        <v>4025</v>
      </c>
      <c r="E233" s="40" t="s">
        <v>431</v>
      </c>
      <c r="F233" s="43" t="s">
        <v>4079</v>
      </c>
      <c r="G233" s="40"/>
      <c r="H233" s="40"/>
      <c r="I233" s="40"/>
      <c r="J233" s="40"/>
      <c r="K233" s="40"/>
      <c r="L233" s="40"/>
      <c r="M233" s="40"/>
      <c r="N233" s="40"/>
      <c r="O233" s="40">
        <v>5000</v>
      </c>
      <c r="P233" s="40">
        <v>2000</v>
      </c>
      <c r="Q233" s="40" t="s">
        <v>4140</v>
      </c>
      <c r="R233" s="40">
        <v>1000</v>
      </c>
      <c r="S233" s="40" t="s">
        <v>4193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40">
        <v>36</v>
      </c>
      <c r="B234" s="40">
        <v>188</v>
      </c>
      <c r="C234" s="40" t="s">
        <v>3969</v>
      </c>
      <c r="D234" s="40" t="s">
        <v>4026</v>
      </c>
      <c r="E234" s="40" t="s">
        <v>431</v>
      </c>
      <c r="F234" s="43" t="s">
        <v>4080</v>
      </c>
      <c r="G234" s="40"/>
      <c r="H234" s="40"/>
      <c r="I234" s="40"/>
      <c r="J234" s="40"/>
      <c r="K234" s="40"/>
      <c r="L234" s="40"/>
      <c r="M234" s="40"/>
      <c r="N234" s="40"/>
      <c r="O234" s="40">
        <v>29000</v>
      </c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40">
        <v>37</v>
      </c>
      <c r="B235" s="40">
        <v>189</v>
      </c>
      <c r="C235" s="40" t="s">
        <v>3970</v>
      </c>
      <c r="D235" s="40" t="s">
        <v>4027</v>
      </c>
      <c r="E235" s="40" t="s">
        <v>431</v>
      </c>
      <c r="F235" s="43" t="s">
        <v>4081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1000</v>
      </c>
      <c r="Q235" s="40" t="s">
        <v>4141</v>
      </c>
      <c r="R235" s="40">
        <v>5000</v>
      </c>
      <c r="S235" s="40" t="s">
        <v>4194</v>
      </c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40">
        <v>38</v>
      </c>
      <c r="B236" s="40">
        <v>363</v>
      </c>
      <c r="C236" s="40" t="s">
        <v>3971</v>
      </c>
      <c r="D236" s="40" t="s">
        <v>2181</v>
      </c>
      <c r="E236" s="40" t="s">
        <v>431</v>
      </c>
      <c r="F236" s="43" t="s">
        <v>4082</v>
      </c>
      <c r="G236" s="40"/>
      <c r="H236" s="40"/>
      <c r="I236" s="40"/>
      <c r="J236" s="40"/>
      <c r="K236" s="40"/>
      <c r="L236" s="40"/>
      <c r="M236" s="40"/>
      <c r="N236" s="40"/>
      <c r="O236" s="40">
        <v>15000</v>
      </c>
      <c r="P236" s="40">
        <v>500</v>
      </c>
      <c r="Q236" s="40" t="s">
        <v>4142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40">
        <v>39</v>
      </c>
      <c r="B237" s="40"/>
      <c r="C237" s="40" t="s">
        <v>3446</v>
      </c>
      <c r="D237" s="40"/>
      <c r="E237" s="40" t="s">
        <v>431</v>
      </c>
      <c r="F237" s="43"/>
      <c r="G237" s="40"/>
      <c r="H237" s="40"/>
      <c r="I237" s="40"/>
      <c r="J237" s="40"/>
      <c r="K237" s="40"/>
      <c r="L237" s="40"/>
      <c r="M237" s="40"/>
      <c r="N237" s="40"/>
      <c r="O237" s="40">
        <v>14000</v>
      </c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40">
        <v>1</v>
      </c>
      <c r="B238" s="40">
        <v>190</v>
      </c>
      <c r="C238" s="40" t="s">
        <v>3974</v>
      </c>
      <c r="D238" s="40" t="s">
        <v>1877</v>
      </c>
      <c r="E238" s="40" t="s">
        <v>496</v>
      </c>
      <c r="F238" s="43" t="s">
        <v>4083</v>
      </c>
      <c r="G238" s="40"/>
      <c r="H238" s="40"/>
      <c r="I238" s="40"/>
      <c r="J238" s="40"/>
      <c r="K238" s="40"/>
      <c r="L238" s="40"/>
      <c r="M238" s="40"/>
      <c r="N238" s="40"/>
      <c r="O238" s="40">
        <v>10000</v>
      </c>
      <c r="P238" s="40">
        <v>2000</v>
      </c>
      <c r="Q238" s="40" t="s">
        <v>4143</v>
      </c>
      <c r="R238" s="40">
        <v>4600</v>
      </c>
      <c r="S238" s="40" t="s">
        <v>4195</v>
      </c>
      <c r="T238" s="40">
        <v>3400</v>
      </c>
      <c r="U238" s="40" t="s">
        <v>4220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40">
        <v>2</v>
      </c>
      <c r="B239" s="40">
        <v>191</v>
      </c>
      <c r="C239" s="40" t="s">
        <v>3975</v>
      </c>
      <c r="D239" s="40" t="s">
        <v>4028</v>
      </c>
      <c r="E239" s="40" t="s">
        <v>496</v>
      </c>
      <c r="F239" s="43" t="s">
        <v>4084</v>
      </c>
      <c r="G239" s="40"/>
      <c r="H239" s="40"/>
      <c r="I239" s="40"/>
      <c r="J239" s="40"/>
      <c r="K239" s="40"/>
      <c r="L239" s="40"/>
      <c r="M239" s="40"/>
      <c r="N239" s="40"/>
      <c r="O239" s="40">
        <v>15000</v>
      </c>
      <c r="P239" s="40">
        <v>1000</v>
      </c>
      <c r="Q239" s="40" t="s">
        <v>4144</v>
      </c>
      <c r="R239" s="40">
        <v>2000</v>
      </c>
      <c r="S239" s="40" t="s">
        <v>4196</v>
      </c>
      <c r="T239" s="40">
        <v>5000</v>
      </c>
      <c r="U239" s="40" t="s">
        <v>4221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40">
        <v>3</v>
      </c>
      <c r="B240" s="40">
        <v>192</v>
      </c>
      <c r="C240" s="40" t="s">
        <v>3976</v>
      </c>
      <c r="D240" s="40" t="s">
        <v>4029</v>
      </c>
      <c r="E240" s="40" t="s">
        <v>496</v>
      </c>
      <c r="F240" s="43" t="s">
        <v>4085</v>
      </c>
      <c r="G240" s="40"/>
      <c r="H240" s="40"/>
      <c r="I240" s="40"/>
      <c r="J240" s="40"/>
      <c r="K240" s="40"/>
      <c r="L240" s="40"/>
      <c r="M240" s="40"/>
      <c r="N240" s="40"/>
      <c r="O240" s="40">
        <v>15000</v>
      </c>
      <c r="P240" s="40">
        <v>5000</v>
      </c>
      <c r="Q240" s="40" t="s">
        <v>4145</v>
      </c>
      <c r="R240" s="40">
        <v>3300</v>
      </c>
      <c r="S240" s="40" t="s">
        <v>4197</v>
      </c>
      <c r="T240" s="40">
        <v>2700</v>
      </c>
      <c r="U240" s="40" t="s">
        <v>4222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4</v>
      </c>
      <c r="B241" s="40">
        <v>193</v>
      </c>
      <c r="C241" s="40" t="s">
        <v>3977</v>
      </c>
      <c r="D241" s="40" t="s">
        <v>4030</v>
      </c>
      <c r="E241" s="40" t="s">
        <v>496</v>
      </c>
      <c r="F241" s="43" t="s">
        <v>4086</v>
      </c>
      <c r="G241" s="40"/>
      <c r="H241" s="40"/>
      <c r="I241" s="40"/>
      <c r="J241" s="40"/>
      <c r="K241" s="40"/>
      <c r="L241" s="40"/>
      <c r="M241" s="40"/>
      <c r="N241" s="40"/>
      <c r="O241" s="40">
        <v>25000</v>
      </c>
      <c r="P241" s="40">
        <v>1000</v>
      </c>
      <c r="Q241" s="40" t="s">
        <v>4146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40">
        <v>5</v>
      </c>
      <c r="B242" s="40">
        <v>194</v>
      </c>
      <c r="C242" s="40" t="s">
        <v>3978</v>
      </c>
      <c r="D242" s="40" t="s">
        <v>4031</v>
      </c>
      <c r="E242" s="40" t="s">
        <v>496</v>
      </c>
      <c r="F242" s="43" t="s">
        <v>4087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>
        <v>2000</v>
      </c>
      <c r="Q242" s="40" t="s">
        <v>4147</v>
      </c>
      <c r="R242" s="40">
        <v>2600</v>
      </c>
      <c r="S242" s="40" t="s">
        <v>4198</v>
      </c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40">
        <v>6</v>
      </c>
      <c r="B243" s="40">
        <v>195</v>
      </c>
      <c r="C243" s="40" t="s">
        <v>3979</v>
      </c>
      <c r="D243" s="40" t="s">
        <v>1885</v>
      </c>
      <c r="E243" s="40" t="s">
        <v>496</v>
      </c>
      <c r="F243" s="43" t="s">
        <v>4088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>
        <v>1000</v>
      </c>
      <c r="Q243" s="40" t="s">
        <v>4148</v>
      </c>
      <c r="R243" s="40">
        <v>5000</v>
      </c>
      <c r="S243" s="40" t="s">
        <v>4199</v>
      </c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7</v>
      </c>
      <c r="B244" s="40">
        <v>196</v>
      </c>
      <c r="C244" s="40" t="s">
        <v>3980</v>
      </c>
      <c r="D244" s="40" t="s">
        <v>4032</v>
      </c>
      <c r="E244" s="40" t="s">
        <v>496</v>
      </c>
      <c r="F244" s="43"/>
      <c r="G244" s="40"/>
      <c r="H244" s="40"/>
      <c r="I244" s="40"/>
      <c r="J244" s="40"/>
      <c r="K244" s="40"/>
      <c r="L244" s="40"/>
      <c r="M244" s="40"/>
      <c r="N244" s="40"/>
      <c r="O244" s="40">
        <v>23000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40">
        <v>8</v>
      </c>
      <c r="B245" s="40">
        <v>197</v>
      </c>
      <c r="C245" s="40" t="s">
        <v>3981</v>
      </c>
      <c r="D245" s="40" t="s">
        <v>4033</v>
      </c>
      <c r="E245" s="40" t="s">
        <v>496</v>
      </c>
      <c r="F245" s="43" t="s">
        <v>4089</v>
      </c>
      <c r="G245" s="40"/>
      <c r="H245" s="40"/>
      <c r="I245" s="40"/>
      <c r="J245" s="40"/>
      <c r="K245" s="40"/>
      <c r="L245" s="40"/>
      <c r="M245" s="40"/>
      <c r="N245" s="40"/>
      <c r="O245" s="40">
        <v>10000</v>
      </c>
      <c r="P245" s="40">
        <v>1000</v>
      </c>
      <c r="Q245" s="40" t="s">
        <v>4149</v>
      </c>
      <c r="R245" s="40">
        <v>5000</v>
      </c>
      <c r="S245" s="40" t="s">
        <v>4200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40">
        <v>9</v>
      </c>
      <c r="B246" s="40">
        <v>198</v>
      </c>
      <c r="C246" s="40" t="s">
        <v>3982</v>
      </c>
      <c r="D246" s="40"/>
      <c r="E246" s="40" t="s">
        <v>496</v>
      </c>
      <c r="F246" s="43" t="s">
        <v>4090</v>
      </c>
      <c r="G246" s="40"/>
      <c r="H246" s="40"/>
      <c r="I246" s="40"/>
      <c r="J246" s="40"/>
      <c r="K246" s="40"/>
      <c r="L246" s="40"/>
      <c r="M246" s="40"/>
      <c r="N246" s="40"/>
      <c r="O246" s="40">
        <v>15000</v>
      </c>
      <c r="P246" s="40">
        <v>2000</v>
      </c>
      <c r="Q246" s="40" t="s">
        <v>4150</v>
      </c>
      <c r="R246" s="40">
        <v>4300</v>
      </c>
      <c r="S246" s="40" t="s">
        <v>4201</v>
      </c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40">
        <v>10</v>
      </c>
      <c r="B247" s="40">
        <v>199</v>
      </c>
      <c r="C247" s="40" t="s">
        <v>3983</v>
      </c>
      <c r="D247" s="40" t="s">
        <v>1945</v>
      </c>
      <c r="E247" s="40" t="s">
        <v>496</v>
      </c>
      <c r="F247" s="43" t="s">
        <v>4091</v>
      </c>
      <c r="G247" s="40"/>
      <c r="H247" s="40"/>
      <c r="I247" s="40"/>
      <c r="J247" s="40"/>
      <c r="K247" s="40"/>
      <c r="L247" s="40"/>
      <c r="M247" s="40"/>
      <c r="N247" s="40"/>
      <c r="O247" s="40">
        <v>20000</v>
      </c>
      <c r="P247" s="40">
        <v>2000</v>
      </c>
      <c r="Q247" s="40" t="s">
        <v>4151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40">
        <v>11</v>
      </c>
      <c r="B248" s="40">
        <v>200</v>
      </c>
      <c r="C248" s="40" t="s">
        <v>3984</v>
      </c>
      <c r="D248" s="40" t="s">
        <v>4034</v>
      </c>
      <c r="E248" s="40" t="s">
        <v>496</v>
      </c>
      <c r="F248" s="43" t="s">
        <v>4092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>
        <v>2000</v>
      </c>
      <c r="Q248" s="40" t="s">
        <v>4152</v>
      </c>
      <c r="R248" s="40">
        <v>3000</v>
      </c>
      <c r="S248" s="40" t="s">
        <v>4202</v>
      </c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40">
        <v>12</v>
      </c>
      <c r="B249" s="40">
        <v>201</v>
      </c>
      <c r="C249" s="40" t="s">
        <v>3985</v>
      </c>
      <c r="D249" s="40" t="s">
        <v>4035</v>
      </c>
      <c r="E249" s="40" t="s">
        <v>496</v>
      </c>
      <c r="F249" s="43" t="s">
        <v>4093</v>
      </c>
      <c r="G249" s="40"/>
      <c r="H249" s="40"/>
      <c r="I249" s="40"/>
      <c r="J249" s="40"/>
      <c r="K249" s="40"/>
      <c r="L249" s="40"/>
      <c r="M249" s="40"/>
      <c r="N249" s="40"/>
      <c r="O249" s="40">
        <v>20000</v>
      </c>
      <c r="P249" s="40">
        <v>5000</v>
      </c>
      <c r="Q249" s="40" t="s">
        <v>4153</v>
      </c>
      <c r="R249" s="40">
        <v>5000</v>
      </c>
      <c r="S249" s="40" t="s">
        <v>4203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40">
        <v>13</v>
      </c>
      <c r="B250" s="53">
        <v>202</v>
      </c>
      <c r="C250" s="40" t="s">
        <v>3986</v>
      </c>
      <c r="D250" s="40" t="s">
        <v>4036</v>
      </c>
      <c r="E250" s="40" t="s">
        <v>496</v>
      </c>
      <c r="F250" s="43" t="s">
        <v>4094</v>
      </c>
      <c r="G250" s="40"/>
      <c r="H250" s="40"/>
      <c r="I250" s="40"/>
      <c r="J250" s="40"/>
      <c r="K250" s="40"/>
      <c r="L250" s="40"/>
      <c r="M250" s="40"/>
      <c r="N250" s="40"/>
      <c r="O250" s="40">
        <v>18000</v>
      </c>
      <c r="P250" s="40">
        <v>1000</v>
      </c>
      <c r="Q250" s="40" t="s">
        <v>4154</v>
      </c>
      <c r="R250" s="40">
        <v>5000</v>
      </c>
      <c r="S250" s="40" t="s">
        <v>4204</v>
      </c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40">
        <v>14</v>
      </c>
      <c r="B251" s="40">
        <v>203</v>
      </c>
      <c r="C251" s="40" t="s">
        <v>3987</v>
      </c>
      <c r="D251" s="40" t="s">
        <v>4037</v>
      </c>
      <c r="E251" s="40" t="s">
        <v>496</v>
      </c>
      <c r="F251" s="43" t="s">
        <v>4095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10000</v>
      </c>
      <c r="Q251" s="40" t="s">
        <v>4155</v>
      </c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40">
        <v>15</v>
      </c>
      <c r="B252" s="40">
        <v>204</v>
      </c>
      <c r="C252" s="40" t="s">
        <v>3988</v>
      </c>
      <c r="D252" s="40" t="s">
        <v>4038</v>
      </c>
      <c r="E252" s="40" t="s">
        <v>496</v>
      </c>
      <c r="F252" s="43" t="s">
        <v>4096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>
        <v>16</v>
      </c>
      <c r="B253" s="40">
        <v>205</v>
      </c>
      <c r="C253" s="40" t="s">
        <v>3989</v>
      </c>
      <c r="D253" s="40" t="s">
        <v>4039</v>
      </c>
      <c r="E253" s="40" t="s">
        <v>496</v>
      </c>
      <c r="F253" s="43" t="s">
        <v>4097</v>
      </c>
      <c r="G253" s="40"/>
      <c r="H253" s="40"/>
      <c r="I253" s="40"/>
      <c r="J253" s="40"/>
      <c r="K253" s="40"/>
      <c r="L253" s="40"/>
      <c r="M253" s="40"/>
      <c r="N253" s="40"/>
      <c r="O253" s="40">
        <v>10000</v>
      </c>
      <c r="P253" s="40">
        <v>5000</v>
      </c>
      <c r="Q253" s="40" t="s">
        <v>4156</v>
      </c>
      <c r="R253" s="40">
        <v>1500</v>
      </c>
      <c r="S253" s="40" t="s">
        <v>4205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40">
        <v>17</v>
      </c>
      <c r="B254" s="40">
        <v>206</v>
      </c>
      <c r="C254" s="40" t="s">
        <v>3990</v>
      </c>
      <c r="D254" s="40" t="s">
        <v>3457</v>
      </c>
      <c r="E254" s="40" t="s">
        <v>496</v>
      </c>
      <c r="F254" s="43" t="s">
        <v>3489</v>
      </c>
      <c r="G254" s="40"/>
      <c r="H254" s="40"/>
      <c r="I254" s="40"/>
      <c r="J254" s="40"/>
      <c r="K254" s="40"/>
      <c r="L254" s="40"/>
      <c r="M254" s="40"/>
      <c r="N254" s="40"/>
      <c r="O254" s="40">
        <v>19000</v>
      </c>
      <c r="P254" s="40">
        <v>1000</v>
      </c>
      <c r="Q254" s="40" t="s">
        <v>4157</v>
      </c>
      <c r="R254" s="40">
        <v>5000</v>
      </c>
      <c r="S254" s="40" t="s">
        <v>4206</v>
      </c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40">
        <v>18</v>
      </c>
      <c r="B255" s="40">
        <v>207</v>
      </c>
      <c r="C255" s="40" t="s">
        <v>3991</v>
      </c>
      <c r="D255" s="40" t="s">
        <v>4040</v>
      </c>
      <c r="E255" s="40" t="s">
        <v>496</v>
      </c>
      <c r="F255" s="43" t="s">
        <v>4098</v>
      </c>
      <c r="G255" s="40"/>
      <c r="H255" s="40"/>
      <c r="I255" s="40"/>
      <c r="J255" s="40"/>
      <c r="K255" s="40"/>
      <c r="L255" s="40"/>
      <c r="M255" s="40"/>
      <c r="N255" s="40"/>
      <c r="O255" s="40">
        <v>20000</v>
      </c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40">
        <v>19</v>
      </c>
      <c r="B256" s="40">
        <v>208</v>
      </c>
      <c r="C256" s="40" t="s">
        <v>3992</v>
      </c>
      <c r="D256" s="40" t="s">
        <v>4041</v>
      </c>
      <c r="E256" s="40" t="s">
        <v>496</v>
      </c>
      <c r="F256" s="43" t="s">
        <v>4099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1000</v>
      </c>
      <c r="Q256" s="40" t="s">
        <v>4158</v>
      </c>
      <c r="R256" s="40">
        <v>3000</v>
      </c>
      <c r="S256" s="40" t="s">
        <v>4207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40">
        <v>20</v>
      </c>
      <c r="B257" s="40">
        <v>209</v>
      </c>
      <c r="C257" s="40" t="s">
        <v>3993</v>
      </c>
      <c r="D257" s="40" t="s">
        <v>2175</v>
      </c>
      <c r="E257" s="40" t="s">
        <v>496</v>
      </c>
      <c r="F257" s="43" t="s">
        <v>4100</v>
      </c>
      <c r="G257" s="40"/>
      <c r="H257" s="40"/>
      <c r="I257" s="40"/>
      <c r="J257" s="40"/>
      <c r="K257" s="40"/>
      <c r="L257" s="40"/>
      <c r="M257" s="40"/>
      <c r="N257" s="40"/>
      <c r="O257" s="40">
        <v>15000</v>
      </c>
      <c r="P257" s="40">
        <v>5000</v>
      </c>
      <c r="Q257" s="40" t="s">
        <v>4159</v>
      </c>
      <c r="R257" s="40">
        <v>1000</v>
      </c>
      <c r="S257" s="40" t="s">
        <v>4208</v>
      </c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40">
        <v>21</v>
      </c>
      <c r="B258" s="40">
        <v>210</v>
      </c>
      <c r="C258" s="40" t="s">
        <v>3994</v>
      </c>
      <c r="D258" s="40"/>
      <c r="E258" s="40" t="s">
        <v>496</v>
      </c>
      <c r="F258" s="43"/>
      <c r="G258" s="40"/>
      <c r="H258" s="40"/>
      <c r="I258" s="40"/>
      <c r="J258" s="40"/>
      <c r="K258" s="40"/>
      <c r="L258" s="40"/>
      <c r="M258" s="40"/>
      <c r="N258" s="40"/>
      <c r="O258" s="40">
        <v>15000</v>
      </c>
      <c r="P258" s="40" t="s">
        <v>1834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22</v>
      </c>
      <c r="B259" s="40">
        <v>243</v>
      </c>
      <c r="C259" s="40" t="s">
        <v>3995</v>
      </c>
      <c r="D259" s="40" t="s">
        <v>2789</v>
      </c>
      <c r="E259" s="40" t="s">
        <v>496</v>
      </c>
      <c r="F259" s="43" t="s">
        <v>4101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5000</v>
      </c>
      <c r="Q259" s="40" t="s">
        <v>4160</v>
      </c>
      <c r="R259" s="40">
        <v>3350</v>
      </c>
      <c r="S259" s="40" t="s">
        <v>4209</v>
      </c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40">
        <v>23</v>
      </c>
      <c r="B260" s="40">
        <v>244</v>
      </c>
      <c r="C260" s="40" t="s">
        <v>3996</v>
      </c>
      <c r="D260" s="40" t="s">
        <v>2660</v>
      </c>
      <c r="E260" s="40" t="s">
        <v>496</v>
      </c>
      <c r="F260" s="43" t="s">
        <v>4102</v>
      </c>
      <c r="G260" s="40"/>
      <c r="H260" s="40"/>
      <c r="I260" s="40"/>
      <c r="J260" s="40"/>
      <c r="K260" s="40"/>
      <c r="L260" s="40"/>
      <c r="M260" s="40"/>
      <c r="N260" s="40"/>
      <c r="O260" s="40">
        <v>15000</v>
      </c>
      <c r="P260" s="40">
        <v>5000</v>
      </c>
      <c r="Q260" s="40" t="s">
        <v>4161</v>
      </c>
      <c r="R260" s="40">
        <v>5000</v>
      </c>
      <c r="S260" s="40" t="s">
        <v>4210</v>
      </c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40">
        <v>24</v>
      </c>
      <c r="B261" s="40">
        <v>253</v>
      </c>
      <c r="C261" s="40" t="s">
        <v>3997</v>
      </c>
      <c r="D261" s="40" t="s">
        <v>4037</v>
      </c>
      <c r="E261" s="40" t="s">
        <v>496</v>
      </c>
      <c r="F261" s="43" t="s">
        <v>4095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10000</v>
      </c>
      <c r="Q261" s="40" t="s">
        <v>4162</v>
      </c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47">
        <v>25</v>
      </c>
      <c r="B262" s="40">
        <v>256</v>
      </c>
      <c r="C262" s="40" t="s">
        <v>3998</v>
      </c>
      <c r="D262" s="40" t="s">
        <v>4042</v>
      </c>
      <c r="E262" s="40" t="s">
        <v>496</v>
      </c>
      <c r="F262" s="43"/>
      <c r="G262" s="40"/>
      <c r="H262" s="40"/>
      <c r="I262" s="40"/>
      <c r="J262" s="40"/>
      <c r="K262" s="40"/>
      <c r="L262" s="40"/>
      <c r="M262" s="40"/>
      <c r="N262" s="40"/>
      <c r="O262" s="40">
        <v>10000</v>
      </c>
      <c r="P262" s="40">
        <v>1000</v>
      </c>
      <c r="Q262" s="40" t="s">
        <v>4163</v>
      </c>
      <c r="R262" s="40">
        <v>4000</v>
      </c>
      <c r="S262" s="40" t="s">
        <v>4211</v>
      </c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47">
        <v>26</v>
      </c>
      <c r="B263" s="40">
        <v>259</v>
      </c>
      <c r="C263" s="40" t="s">
        <v>3999</v>
      </c>
      <c r="D263" s="40" t="s">
        <v>4043</v>
      </c>
      <c r="E263" s="40" t="s">
        <v>496</v>
      </c>
      <c r="F263" s="43" t="s">
        <v>4103</v>
      </c>
      <c r="G263" s="40"/>
      <c r="H263" s="40"/>
      <c r="I263" s="40"/>
      <c r="J263" s="40"/>
      <c r="K263" s="40"/>
      <c r="L263" s="40"/>
      <c r="M263" s="40"/>
      <c r="N263" s="40"/>
      <c r="O263" s="40">
        <v>15000</v>
      </c>
      <c r="P263" s="40">
        <v>1000</v>
      </c>
      <c r="Q263" s="40" t="s">
        <v>4164</v>
      </c>
      <c r="R263" s="40">
        <v>4600</v>
      </c>
      <c r="S263" s="40" t="s">
        <v>4212</v>
      </c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47">
        <v>27</v>
      </c>
      <c r="B264" s="40">
        <v>262</v>
      </c>
      <c r="C264" s="40" t="s">
        <v>4000</v>
      </c>
      <c r="D264" s="40" t="s">
        <v>4044</v>
      </c>
      <c r="E264" s="40" t="s">
        <v>496</v>
      </c>
      <c r="F264" s="43" t="s">
        <v>4104</v>
      </c>
      <c r="G264" s="40"/>
      <c r="H264" s="40"/>
      <c r="I264" s="40"/>
      <c r="J264" s="40"/>
      <c r="K264" s="40"/>
      <c r="L264" s="40"/>
      <c r="M264" s="40"/>
      <c r="N264" s="40"/>
      <c r="O264" s="40">
        <v>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47">
        <v>28</v>
      </c>
      <c r="B265" s="40">
        <v>279</v>
      </c>
      <c r="C265" s="40" t="s">
        <v>4001</v>
      </c>
      <c r="D265" s="40" t="s">
        <v>3249</v>
      </c>
      <c r="E265" s="40" t="s">
        <v>496</v>
      </c>
      <c r="F265" s="43" t="s">
        <v>4105</v>
      </c>
      <c r="G265" s="40"/>
      <c r="H265" s="40"/>
      <c r="I265" s="40"/>
      <c r="J265" s="40"/>
      <c r="K265" s="40"/>
      <c r="L265" s="40"/>
      <c r="M265" s="40"/>
      <c r="N265" s="40"/>
      <c r="O265" s="40">
        <v>20000</v>
      </c>
      <c r="P265" s="40">
        <v>1000</v>
      </c>
      <c r="Q265" s="40" t="s">
        <v>4165</v>
      </c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47">
        <v>29</v>
      </c>
      <c r="B266" s="40">
        <v>280</v>
      </c>
      <c r="C266" s="40" t="s">
        <v>4002</v>
      </c>
      <c r="D266" s="40" t="s">
        <v>2007</v>
      </c>
      <c r="E266" s="40" t="s">
        <v>496</v>
      </c>
      <c r="F266" s="43" t="s">
        <v>4106</v>
      </c>
      <c r="G266" s="40"/>
      <c r="H266" s="40"/>
      <c r="I266" s="40"/>
      <c r="J266" s="40"/>
      <c r="K266" s="40"/>
      <c r="L266" s="40"/>
      <c r="M266" s="40"/>
      <c r="N266" s="40"/>
      <c r="O266" s="40">
        <v>15000</v>
      </c>
      <c r="P266" s="40">
        <v>5000</v>
      </c>
      <c r="Q266" s="40" t="s">
        <v>4166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47">
        <v>30</v>
      </c>
      <c r="B267" s="40">
        <v>281</v>
      </c>
      <c r="C267" s="40" t="s">
        <v>4004</v>
      </c>
      <c r="D267" s="40" t="s">
        <v>2511</v>
      </c>
      <c r="E267" s="40" t="s">
        <v>496</v>
      </c>
      <c r="F267" s="43" t="s">
        <v>4107</v>
      </c>
      <c r="G267" s="40"/>
      <c r="H267" s="40"/>
      <c r="I267" s="40"/>
      <c r="J267" s="40"/>
      <c r="K267" s="40"/>
      <c r="L267" s="40"/>
      <c r="M267" s="40"/>
      <c r="N267" s="40"/>
      <c r="O267" s="40">
        <v>17000</v>
      </c>
      <c r="P267" s="40">
        <v>1000</v>
      </c>
      <c r="Q267" s="40" t="s">
        <v>4167</v>
      </c>
      <c r="R267" s="40">
        <v>5300</v>
      </c>
      <c r="S267" s="40" t="s">
        <v>4213</v>
      </c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47">
        <v>31</v>
      </c>
      <c r="B268" s="40"/>
      <c r="C268" s="40" t="s">
        <v>4003</v>
      </c>
      <c r="D268" s="40" t="s">
        <v>3461</v>
      </c>
      <c r="E268" s="40" t="s">
        <v>496</v>
      </c>
      <c r="F268" s="43" t="s">
        <v>4106</v>
      </c>
      <c r="G268" s="40"/>
      <c r="H268" s="40"/>
      <c r="I268" s="40"/>
      <c r="J268" s="40"/>
      <c r="K268" s="40"/>
      <c r="L268" s="40"/>
      <c r="M268" s="40"/>
      <c r="N268" s="40"/>
      <c r="O268" s="40">
        <v>18000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47">
        <v>32</v>
      </c>
      <c r="B269" s="40"/>
      <c r="C269" s="40" t="s">
        <v>4005</v>
      </c>
      <c r="D269" s="40" t="s">
        <v>2511</v>
      </c>
      <c r="E269" s="40" t="s">
        <v>496</v>
      </c>
      <c r="F269" s="43" t="s">
        <v>3637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>
        <v>5000</v>
      </c>
      <c r="Q269" s="40" t="s">
        <v>4168</v>
      </c>
      <c r="R269" s="40">
        <v>5000</v>
      </c>
      <c r="S269" s="40" t="s">
        <v>4214</v>
      </c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47">
        <v>33</v>
      </c>
      <c r="B270" s="40"/>
      <c r="C270" s="40" t="s">
        <v>4006</v>
      </c>
      <c r="D270" s="40" t="s">
        <v>4045</v>
      </c>
      <c r="E270" s="40" t="s">
        <v>496</v>
      </c>
      <c r="F270" s="43" t="s">
        <v>4108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 t="s">
        <v>1834</v>
      </c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40"/>
      <c r="B271" s="40"/>
      <c r="C271" s="40"/>
      <c r="D271" s="40"/>
      <c r="E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40"/>
      <c r="B272" s="40"/>
      <c r="C272" s="40"/>
      <c r="D272" s="40"/>
      <c r="E272" s="40"/>
      <c r="F272" s="43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7"/>
  <sheetViews>
    <sheetView topLeftCell="AL13" zoomScale="60" zoomScaleNormal="60" workbookViewId="0">
      <selection activeCell="BA19" sqref="BA19"/>
    </sheetView>
  </sheetViews>
  <sheetFormatPr defaultColWidth="9.140625" defaultRowHeight="23.25" x14ac:dyDescent="0.35"/>
  <cols>
    <col min="1" max="1" width="5.7109375" style="20" hidden="1" customWidth="1"/>
    <col min="2" max="2" width="0.85546875" style="20" customWidth="1"/>
    <col min="3" max="3" width="25.140625" style="67" customWidth="1"/>
    <col min="4" max="4" width="29.28515625" style="67" customWidth="1"/>
    <col min="5" max="5" width="7.7109375" style="67" hidden="1" customWidth="1"/>
    <col min="6" max="6" width="16.5703125" style="67" customWidth="1"/>
    <col min="7" max="7" width="50" style="67" customWidth="1"/>
    <col min="8" max="8" width="30.28515625" style="67" customWidth="1"/>
    <col min="9" max="9" width="26.85546875" style="67" customWidth="1"/>
    <col min="10" max="10" width="18" style="67" hidden="1" customWidth="1"/>
    <col min="11" max="11" width="32.42578125" style="67" hidden="1" customWidth="1"/>
    <col min="12" max="12" width="30.7109375" style="67" hidden="1" customWidth="1"/>
    <col min="13" max="13" width="27.5703125" style="67" hidden="1" customWidth="1"/>
    <col min="14" max="14" width="16" style="67" hidden="1" customWidth="1"/>
    <col min="15" max="15" width="24.28515625" style="67" hidden="1" customWidth="1"/>
    <col min="16" max="16" width="14.85546875" style="67" hidden="1" customWidth="1"/>
    <col min="17" max="17" width="24.7109375" style="67" hidden="1" customWidth="1"/>
    <col min="18" max="18" width="21.28515625" style="67" hidden="1" customWidth="1"/>
    <col min="19" max="24" width="14.85546875" style="67" hidden="1" customWidth="1"/>
    <col min="25" max="25" width="4.5703125" style="67" hidden="1" customWidth="1"/>
    <col min="26" max="26" width="5" style="67" hidden="1" customWidth="1"/>
    <col min="27" max="28" width="17.42578125" style="67" hidden="1" customWidth="1"/>
    <col min="29" max="29" width="14.85546875" style="67" hidden="1" customWidth="1"/>
    <col min="30" max="30" width="11.28515625" style="67" customWidth="1"/>
    <col min="31" max="31" width="12" style="67" customWidth="1"/>
    <col min="32" max="32" width="28.42578125" style="67" customWidth="1"/>
    <col min="33" max="33" width="11.5703125" style="67" customWidth="1"/>
    <col min="34" max="34" width="24.5703125" style="67" customWidth="1"/>
    <col min="35" max="35" width="14.85546875" style="67" customWidth="1"/>
    <col min="36" max="36" width="23.42578125" style="67" customWidth="1"/>
    <col min="37" max="37" width="14.85546875" style="67" customWidth="1"/>
    <col min="38" max="38" width="20.5703125" style="67" customWidth="1"/>
    <col min="39" max="47" width="14.85546875" style="67" customWidth="1"/>
    <col min="48" max="48" width="15.28515625" style="67" customWidth="1"/>
    <col min="49" max="49" width="14.140625" style="84" customWidth="1"/>
    <col min="50" max="50" width="16.28515625" style="75" customWidth="1"/>
    <col min="51" max="51" width="13.42578125" style="39" customWidth="1"/>
    <col min="52" max="16384" width="9.140625" style="39"/>
  </cols>
  <sheetData>
    <row r="1" spans="1:51" hidden="1" x14ac:dyDescent="0.35">
      <c r="A1" s="57"/>
      <c r="B1" s="57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74"/>
      <c r="AX1" s="59"/>
    </row>
    <row r="2" spans="1:51" s="56" customFormat="1" ht="46.5" hidden="1" customHeight="1" x14ac:dyDescent="0.35">
      <c r="C2" s="58"/>
      <c r="D2" s="58"/>
      <c r="E2" s="58"/>
      <c r="F2" s="58"/>
      <c r="G2" s="58" t="s">
        <v>4232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58"/>
      <c r="AX2" s="75"/>
    </row>
    <row r="3" spans="1:51" s="20" customFormat="1" ht="66" customHeight="1" x14ac:dyDescent="0.25">
      <c r="C3" s="86" t="s">
        <v>1</v>
      </c>
      <c r="D3" s="86" t="s">
        <v>2</v>
      </c>
      <c r="E3" s="86" t="s">
        <v>1800</v>
      </c>
      <c r="F3" s="86" t="s">
        <v>4228</v>
      </c>
      <c r="G3" s="86" t="s">
        <v>4240</v>
      </c>
      <c r="H3" s="86" t="s">
        <v>4234</v>
      </c>
      <c r="I3" s="60"/>
      <c r="J3" s="60"/>
      <c r="K3" s="60"/>
      <c r="L3" s="60" t="s">
        <v>4235</v>
      </c>
      <c r="M3" s="60"/>
      <c r="N3" s="60" t="s">
        <v>4229</v>
      </c>
      <c r="O3" s="60"/>
      <c r="P3" s="60"/>
      <c r="Q3" s="60" t="s">
        <v>4233</v>
      </c>
      <c r="R3" s="60"/>
      <c r="S3" s="60"/>
      <c r="T3" s="60" t="s">
        <v>4</v>
      </c>
      <c r="U3" s="61" t="s">
        <v>196</v>
      </c>
      <c r="V3" s="61" t="s">
        <v>195</v>
      </c>
      <c r="W3" s="61" t="s">
        <v>193</v>
      </c>
      <c r="X3" s="62" t="s">
        <v>197</v>
      </c>
      <c r="Y3" s="63" t="s">
        <v>198</v>
      </c>
      <c r="Z3" s="63" t="s">
        <v>195</v>
      </c>
      <c r="AA3" s="60" t="s">
        <v>4234</v>
      </c>
      <c r="AB3" s="63"/>
      <c r="AC3" s="60" t="s">
        <v>4231</v>
      </c>
      <c r="AD3" s="64" t="s">
        <v>1801</v>
      </c>
      <c r="AE3" s="64" t="s">
        <v>1804</v>
      </c>
      <c r="AF3" s="64" t="s">
        <v>1802</v>
      </c>
      <c r="AG3" s="65" t="s">
        <v>1805</v>
      </c>
      <c r="AH3" s="66" t="s">
        <v>1802</v>
      </c>
      <c r="AI3" s="76" t="s">
        <v>1803</v>
      </c>
      <c r="AJ3" s="77" t="s">
        <v>193</v>
      </c>
      <c r="AK3" s="78" t="s">
        <v>9</v>
      </c>
      <c r="AL3" s="78" t="s">
        <v>193</v>
      </c>
      <c r="AM3" s="76" t="s">
        <v>10</v>
      </c>
      <c r="AN3" s="76" t="s">
        <v>193</v>
      </c>
      <c r="AO3" s="76" t="s">
        <v>4225</v>
      </c>
      <c r="AP3" s="76" t="s">
        <v>193</v>
      </c>
      <c r="AQ3" s="76" t="s">
        <v>4226</v>
      </c>
      <c r="AR3" s="76" t="s">
        <v>193</v>
      </c>
      <c r="AS3" s="76" t="s">
        <v>4227</v>
      </c>
      <c r="AT3" s="76" t="s">
        <v>193</v>
      </c>
      <c r="AU3" s="79" t="s">
        <v>201</v>
      </c>
      <c r="AV3" s="79" t="s">
        <v>200</v>
      </c>
      <c r="AW3" s="80" t="s">
        <v>197</v>
      </c>
      <c r="AX3" s="79" t="s">
        <v>4230</v>
      </c>
    </row>
    <row r="4" spans="1:51" ht="39.950000000000003" hidden="1" customHeight="1" x14ac:dyDescent="0.4">
      <c r="A4" s="159">
        <v>2</v>
      </c>
      <c r="B4" s="159">
        <v>1</v>
      </c>
      <c r="C4" s="157" t="s">
        <v>4242</v>
      </c>
      <c r="D4" s="157" t="s">
        <v>4243</v>
      </c>
      <c r="E4" s="157" t="s">
        <v>4244</v>
      </c>
      <c r="F4" s="163" t="s">
        <v>4245</v>
      </c>
      <c r="G4" s="163">
        <v>3077517586</v>
      </c>
      <c r="H4" s="149"/>
      <c r="I4" s="163"/>
      <c r="J4" s="115"/>
      <c r="K4" s="115"/>
      <c r="L4" s="163">
        <v>7000</v>
      </c>
      <c r="M4" s="163" t="s">
        <v>4246</v>
      </c>
      <c r="N4" s="163"/>
      <c r="O4" s="163"/>
      <c r="P4" s="163"/>
      <c r="Q4" s="163"/>
      <c r="R4" s="165"/>
      <c r="AA4" s="59"/>
      <c r="AB4" s="59"/>
      <c r="AC4" s="163"/>
      <c r="AD4" s="68">
        <v>30000</v>
      </c>
      <c r="AE4" s="68">
        <v>23000</v>
      </c>
      <c r="AF4" s="68" t="s">
        <v>4246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81">
        <f t="shared" ref="AW4:AW21" si="0">AD4-AE4-AG4-AI4-AK4-AM4-AO4-AQ4-AS4-AU4+AV4</f>
        <v>7000</v>
      </c>
      <c r="AX4" s="68">
        <f>AE4+AG4+AI4+AK4+AM4+AO4</f>
        <v>23000</v>
      </c>
      <c r="AY4" s="109">
        <v>13000</v>
      </c>
    </row>
    <row r="5" spans="1:51" ht="39.75" hidden="1" customHeight="1" x14ac:dyDescent="0.35">
      <c r="A5" s="160"/>
      <c r="B5" s="160"/>
      <c r="C5" s="158"/>
      <c r="D5" s="158"/>
      <c r="E5" s="158"/>
      <c r="F5" s="164"/>
      <c r="G5" s="164"/>
      <c r="H5" s="150"/>
      <c r="I5" s="164"/>
      <c r="J5" s="116"/>
      <c r="K5" s="116"/>
      <c r="L5" s="164"/>
      <c r="M5" s="164"/>
      <c r="N5" s="164"/>
      <c r="O5" s="164"/>
      <c r="P5" s="164"/>
      <c r="Q5" s="164"/>
      <c r="R5" s="166"/>
      <c r="AA5" s="70"/>
      <c r="AB5" s="70"/>
      <c r="AC5" s="164"/>
      <c r="AD5" s="67">
        <v>30000</v>
      </c>
      <c r="AW5" s="82">
        <f t="shared" si="0"/>
        <v>30000</v>
      </c>
      <c r="AX5" s="68">
        <f t="shared" ref="AX5:AX62" si="1">AE5+AG5+AI5+AK5+AM5+AQ4+AS4</f>
        <v>0</v>
      </c>
      <c r="AY5" s="108"/>
    </row>
    <row r="6" spans="1:51" ht="39.950000000000003" customHeight="1" x14ac:dyDescent="0.4">
      <c r="A6" s="159">
        <v>3</v>
      </c>
      <c r="B6" s="159">
        <v>2</v>
      </c>
      <c r="C6" s="157" t="s">
        <v>4271</v>
      </c>
      <c r="D6" s="157" t="s">
        <v>367</v>
      </c>
      <c r="E6" s="157" t="s">
        <v>4258</v>
      </c>
      <c r="F6" s="163" t="s">
        <v>4262</v>
      </c>
      <c r="G6" s="163" t="s">
        <v>4272</v>
      </c>
      <c r="H6" s="149"/>
      <c r="I6" s="157"/>
      <c r="J6" s="157">
        <v>9000</v>
      </c>
      <c r="K6" s="111" t="s">
        <v>4501</v>
      </c>
      <c r="L6" s="157">
        <v>7000</v>
      </c>
      <c r="M6" s="163" t="s">
        <v>4489</v>
      </c>
      <c r="N6" s="163"/>
      <c r="O6" s="163"/>
      <c r="P6" s="163"/>
      <c r="Q6" s="163"/>
      <c r="R6" s="165"/>
      <c r="AA6" s="59"/>
      <c r="AB6" s="59"/>
      <c r="AC6" s="163"/>
      <c r="AD6" s="67">
        <v>30000</v>
      </c>
      <c r="AE6" s="67">
        <v>10000</v>
      </c>
      <c r="AF6" s="67" t="s">
        <v>4273</v>
      </c>
      <c r="AG6" s="67">
        <v>10000</v>
      </c>
      <c r="AH6" s="67" t="s">
        <v>4489</v>
      </c>
      <c r="AI6" s="67">
        <v>10000</v>
      </c>
      <c r="AJ6" s="67" t="s">
        <v>4599</v>
      </c>
      <c r="AW6" s="82">
        <f t="shared" si="0"/>
        <v>0</v>
      </c>
      <c r="AX6" s="68">
        <f t="shared" si="1"/>
        <v>30000</v>
      </c>
      <c r="AY6" s="109">
        <v>17000</v>
      </c>
    </row>
    <row r="7" spans="1:51" ht="39.75" customHeight="1" x14ac:dyDescent="0.35">
      <c r="A7" s="160"/>
      <c r="B7" s="160"/>
      <c r="C7" s="158"/>
      <c r="D7" s="158"/>
      <c r="E7" s="158"/>
      <c r="F7" s="164"/>
      <c r="G7" s="164"/>
      <c r="H7" s="150"/>
      <c r="I7" s="158"/>
      <c r="J7" s="158"/>
      <c r="K7" s="112"/>
      <c r="L7" s="158"/>
      <c r="M7" s="164"/>
      <c r="N7" s="164"/>
      <c r="O7" s="164"/>
      <c r="P7" s="164"/>
      <c r="Q7" s="164"/>
      <c r="R7" s="166"/>
      <c r="AA7" s="70"/>
      <c r="AB7" s="70"/>
      <c r="AC7" s="164"/>
      <c r="AD7" s="67">
        <v>30000</v>
      </c>
      <c r="AE7" s="67">
        <v>10000</v>
      </c>
      <c r="AF7" s="67" t="s">
        <v>4599</v>
      </c>
      <c r="AW7" s="82">
        <f t="shared" si="0"/>
        <v>20000</v>
      </c>
      <c r="AX7" s="68">
        <f t="shared" si="1"/>
        <v>10000</v>
      </c>
      <c r="AY7" s="108"/>
    </row>
    <row r="8" spans="1:51" ht="39.950000000000003" customHeight="1" x14ac:dyDescent="0.4">
      <c r="A8" s="159">
        <v>6</v>
      </c>
      <c r="B8" s="159">
        <v>4</v>
      </c>
      <c r="C8" s="157" t="s">
        <v>4275</v>
      </c>
      <c r="D8" s="157" t="s">
        <v>4276</v>
      </c>
      <c r="E8" s="157" t="s">
        <v>4258</v>
      </c>
      <c r="F8" s="163" t="s">
        <v>4262</v>
      </c>
      <c r="G8" s="163">
        <v>3176564254</v>
      </c>
      <c r="H8" s="149">
        <v>9000</v>
      </c>
      <c r="I8" s="163" t="s">
        <v>4686</v>
      </c>
      <c r="J8" s="115">
        <v>4000</v>
      </c>
      <c r="K8" s="115"/>
      <c r="L8" s="163">
        <v>7000</v>
      </c>
      <c r="M8" s="163"/>
      <c r="N8" s="163"/>
      <c r="O8" s="163"/>
      <c r="P8" s="163"/>
      <c r="Q8" s="163"/>
      <c r="R8" s="165"/>
      <c r="AA8" s="59"/>
      <c r="AB8" s="59"/>
      <c r="AC8" s="163"/>
      <c r="AD8" s="67">
        <v>30000</v>
      </c>
      <c r="AE8" s="67">
        <v>10000</v>
      </c>
      <c r="AF8" s="67" t="s">
        <v>4277</v>
      </c>
      <c r="AG8" s="67">
        <v>10000</v>
      </c>
      <c r="AH8" s="67" t="s">
        <v>4274</v>
      </c>
      <c r="AI8" s="67">
        <v>26000</v>
      </c>
      <c r="AK8" s="67">
        <v>9000</v>
      </c>
      <c r="AL8" s="67" t="s">
        <v>4559</v>
      </c>
      <c r="AW8" s="82">
        <f t="shared" si="0"/>
        <v>-25000</v>
      </c>
      <c r="AX8" s="68">
        <f t="shared" si="1"/>
        <v>55000</v>
      </c>
      <c r="AY8" s="109">
        <v>7000</v>
      </c>
    </row>
    <row r="9" spans="1:51" ht="39.950000000000003" customHeight="1" x14ac:dyDescent="0.35">
      <c r="A9" s="160"/>
      <c r="B9" s="160"/>
      <c r="C9" s="158"/>
      <c r="D9" s="158"/>
      <c r="E9" s="158"/>
      <c r="F9" s="164"/>
      <c r="G9" s="164"/>
      <c r="H9" s="150"/>
      <c r="I9" s="164"/>
      <c r="J9" s="116"/>
      <c r="K9" s="116"/>
      <c r="L9" s="164"/>
      <c r="M9" s="164"/>
      <c r="N9" s="164"/>
      <c r="O9" s="164"/>
      <c r="P9" s="164"/>
      <c r="Q9" s="164"/>
      <c r="R9" s="166"/>
      <c r="AA9" s="70"/>
      <c r="AB9" s="70"/>
      <c r="AC9" s="164"/>
      <c r="AD9" s="67">
        <v>30000</v>
      </c>
      <c r="AW9" s="82">
        <f t="shared" si="0"/>
        <v>30000</v>
      </c>
      <c r="AX9" s="68">
        <f t="shared" si="1"/>
        <v>0</v>
      </c>
      <c r="AY9" s="108"/>
    </row>
    <row r="10" spans="1:51" ht="39.950000000000003" customHeight="1" x14ac:dyDescent="0.4">
      <c r="A10" s="159">
        <v>7</v>
      </c>
      <c r="B10" s="159">
        <v>5</v>
      </c>
      <c r="C10" s="157" t="s">
        <v>4284</v>
      </c>
      <c r="D10" s="157" t="s">
        <v>4285</v>
      </c>
      <c r="E10" s="157" t="s">
        <v>4244</v>
      </c>
      <c r="F10" s="163" t="s">
        <v>4262</v>
      </c>
      <c r="G10" s="163">
        <v>3228495115</v>
      </c>
      <c r="H10" s="149">
        <v>9000</v>
      </c>
      <c r="I10" s="163" t="s">
        <v>4673</v>
      </c>
      <c r="J10" s="115">
        <v>9000</v>
      </c>
      <c r="K10" s="115" t="s">
        <v>4497</v>
      </c>
      <c r="L10" s="163">
        <v>7000</v>
      </c>
      <c r="M10" s="163" t="s">
        <v>4463</v>
      </c>
      <c r="N10" s="163"/>
      <c r="O10" s="163"/>
      <c r="P10" s="163"/>
      <c r="Q10" s="163"/>
      <c r="R10" s="157"/>
      <c r="AA10" s="165"/>
      <c r="AB10" s="165"/>
      <c r="AC10" s="163"/>
      <c r="AD10" s="67">
        <v>30000</v>
      </c>
      <c r="AE10" s="67">
        <v>30000</v>
      </c>
      <c r="AF10" s="67" t="s">
        <v>4286</v>
      </c>
      <c r="AW10" s="82">
        <f>AD10-AE10-AG10-AI10-AK10-AM10-AO10-AQ10-AS10-AU10+AV10</f>
        <v>0</v>
      </c>
      <c r="AX10" s="68">
        <f t="shared" si="1"/>
        <v>30000</v>
      </c>
      <c r="AY10" s="109">
        <v>7000</v>
      </c>
    </row>
    <row r="11" spans="1:51" ht="39.950000000000003" customHeight="1" x14ac:dyDescent="0.35">
      <c r="A11" s="160"/>
      <c r="B11" s="160"/>
      <c r="C11" s="158"/>
      <c r="D11" s="158"/>
      <c r="E11" s="158"/>
      <c r="F11" s="164"/>
      <c r="G11" s="164"/>
      <c r="H11" s="150"/>
      <c r="I11" s="164"/>
      <c r="J11" s="116"/>
      <c r="K11" s="116"/>
      <c r="L11" s="164"/>
      <c r="M11" s="164"/>
      <c r="N11" s="164"/>
      <c r="O11" s="164"/>
      <c r="P11" s="164"/>
      <c r="Q11" s="164"/>
      <c r="R11" s="158"/>
      <c r="AA11" s="166"/>
      <c r="AB11" s="166"/>
      <c r="AC11" s="164"/>
      <c r="AD11" s="67">
        <v>30000</v>
      </c>
      <c r="AE11" s="67">
        <v>9000</v>
      </c>
      <c r="AF11" s="67" t="s">
        <v>4574</v>
      </c>
      <c r="AG11" s="67">
        <v>5000</v>
      </c>
      <c r="AH11" s="67" t="s">
        <v>4630</v>
      </c>
      <c r="AW11" s="82">
        <f t="shared" si="0"/>
        <v>16000</v>
      </c>
      <c r="AX11" s="68">
        <f t="shared" si="1"/>
        <v>14000</v>
      </c>
      <c r="AY11" s="108"/>
    </row>
    <row r="12" spans="1:51" ht="39.950000000000003" customHeight="1" x14ac:dyDescent="0.4">
      <c r="A12" s="159">
        <v>8</v>
      </c>
      <c r="B12" s="159">
        <v>6</v>
      </c>
      <c r="C12" s="157" t="s">
        <v>4290</v>
      </c>
      <c r="D12" s="157" t="s">
        <v>4291</v>
      </c>
      <c r="E12" s="157" t="s">
        <v>4258</v>
      </c>
      <c r="F12" s="163" t="s">
        <v>4262</v>
      </c>
      <c r="G12" s="163" t="s">
        <v>4292</v>
      </c>
      <c r="H12" s="149">
        <v>9000</v>
      </c>
      <c r="I12" s="163" t="s">
        <v>4696</v>
      </c>
      <c r="J12" s="115">
        <v>9000</v>
      </c>
      <c r="K12" s="115" t="s">
        <v>4508</v>
      </c>
      <c r="L12" s="163">
        <v>7000</v>
      </c>
      <c r="M12" s="163" t="s">
        <v>4293</v>
      </c>
      <c r="N12" s="163"/>
      <c r="O12" s="163"/>
      <c r="P12" s="163"/>
      <c r="Q12" s="163"/>
      <c r="R12" s="165"/>
      <c r="AA12" s="165"/>
      <c r="AB12" s="165"/>
      <c r="AC12" s="163"/>
      <c r="AD12" s="67">
        <v>30000</v>
      </c>
      <c r="AE12" s="67">
        <v>3000</v>
      </c>
      <c r="AF12" s="67" t="s">
        <v>4293</v>
      </c>
      <c r="AG12" s="67">
        <v>12000</v>
      </c>
      <c r="AH12" s="67" t="s">
        <v>4469</v>
      </c>
      <c r="AI12" s="67">
        <v>1000</v>
      </c>
      <c r="AJ12" s="67" t="s">
        <v>4516</v>
      </c>
      <c r="AK12" s="67">
        <v>14000</v>
      </c>
      <c r="AL12" s="67" t="s">
        <v>4581</v>
      </c>
      <c r="AW12" s="82">
        <f t="shared" si="0"/>
        <v>0</v>
      </c>
      <c r="AX12" s="68">
        <f t="shared" si="1"/>
        <v>30000</v>
      </c>
      <c r="AY12" s="109">
        <v>17000</v>
      </c>
    </row>
    <row r="13" spans="1:51" ht="39.950000000000003" customHeight="1" x14ac:dyDescent="0.35">
      <c r="A13" s="160"/>
      <c r="B13" s="160"/>
      <c r="C13" s="158"/>
      <c r="D13" s="158"/>
      <c r="E13" s="158"/>
      <c r="F13" s="164"/>
      <c r="G13" s="164"/>
      <c r="H13" s="150"/>
      <c r="I13" s="164"/>
      <c r="J13" s="116"/>
      <c r="K13" s="116"/>
      <c r="L13" s="164"/>
      <c r="M13" s="164"/>
      <c r="N13" s="164"/>
      <c r="O13" s="164"/>
      <c r="P13" s="164"/>
      <c r="Q13" s="164"/>
      <c r="R13" s="166"/>
      <c r="AA13" s="166"/>
      <c r="AB13" s="166"/>
      <c r="AC13" s="164"/>
      <c r="AD13" s="67">
        <v>30000</v>
      </c>
      <c r="AE13" s="67">
        <v>1000</v>
      </c>
      <c r="AF13" s="67" t="s">
        <v>4582</v>
      </c>
      <c r="AG13" s="67">
        <v>9000</v>
      </c>
      <c r="AH13" s="67" t="s">
        <v>4609</v>
      </c>
      <c r="AI13" s="67">
        <v>10000</v>
      </c>
      <c r="AJ13" s="67" t="s">
        <v>4645</v>
      </c>
      <c r="AW13" s="82">
        <f t="shared" si="0"/>
        <v>10000</v>
      </c>
      <c r="AX13" s="68">
        <f t="shared" si="1"/>
        <v>20000</v>
      </c>
      <c r="AY13" s="108"/>
    </row>
    <row r="14" spans="1:51" ht="39.950000000000003" customHeight="1" x14ac:dyDescent="0.4">
      <c r="A14" s="159">
        <v>11</v>
      </c>
      <c r="B14" s="159">
        <v>7</v>
      </c>
      <c r="C14" s="157" t="s">
        <v>4461</v>
      </c>
      <c r="D14" s="157" t="s">
        <v>4298</v>
      </c>
      <c r="E14" s="157" t="s">
        <v>4251</v>
      </c>
      <c r="F14" s="163" t="s">
        <v>4245</v>
      </c>
      <c r="G14" s="163">
        <v>3457303433</v>
      </c>
      <c r="H14" s="149">
        <v>9000</v>
      </c>
      <c r="I14" s="163" t="s">
        <v>4699</v>
      </c>
      <c r="J14" s="115">
        <v>9000</v>
      </c>
      <c r="K14" s="115" t="s">
        <v>4499</v>
      </c>
      <c r="L14" s="163">
        <v>7000</v>
      </c>
      <c r="M14" s="163" t="s">
        <v>4462</v>
      </c>
      <c r="N14" s="163"/>
      <c r="O14" s="163"/>
      <c r="P14" s="163"/>
      <c r="Q14" s="163"/>
      <c r="R14" s="165"/>
      <c r="AA14" s="59"/>
      <c r="AB14" s="59"/>
      <c r="AC14" s="163"/>
      <c r="AD14" s="67">
        <v>30000</v>
      </c>
      <c r="AE14" s="67">
        <v>10000</v>
      </c>
      <c r="AF14" s="67" t="s">
        <v>4299</v>
      </c>
      <c r="AG14" s="67">
        <v>10000</v>
      </c>
      <c r="AH14" s="69" t="s">
        <v>4470</v>
      </c>
      <c r="AI14" s="67">
        <v>10000</v>
      </c>
      <c r="AJ14" s="67" t="s">
        <v>4562</v>
      </c>
      <c r="AW14" s="82">
        <f t="shared" si="0"/>
        <v>0</v>
      </c>
      <c r="AX14" s="68">
        <f t="shared" si="1"/>
        <v>30000</v>
      </c>
      <c r="AY14" s="109">
        <v>17000</v>
      </c>
    </row>
    <row r="15" spans="1:51" ht="39.75" customHeight="1" x14ac:dyDescent="0.35">
      <c r="A15" s="160"/>
      <c r="B15" s="160"/>
      <c r="C15" s="158"/>
      <c r="D15" s="158"/>
      <c r="E15" s="158"/>
      <c r="F15" s="164"/>
      <c r="G15" s="164"/>
      <c r="H15" s="150"/>
      <c r="I15" s="164"/>
      <c r="J15" s="116"/>
      <c r="K15" s="116"/>
      <c r="L15" s="164"/>
      <c r="M15" s="164"/>
      <c r="N15" s="164"/>
      <c r="O15" s="164"/>
      <c r="P15" s="164"/>
      <c r="Q15" s="164"/>
      <c r="R15" s="166"/>
      <c r="AA15" s="70"/>
      <c r="AB15" s="70"/>
      <c r="AC15" s="164"/>
      <c r="AD15" s="67">
        <v>30000</v>
      </c>
      <c r="AE15" s="67">
        <v>9000</v>
      </c>
      <c r="AF15" s="67" t="s">
        <v>4579</v>
      </c>
      <c r="AG15" s="67">
        <v>10000</v>
      </c>
      <c r="AH15" s="67" t="s">
        <v>4629</v>
      </c>
      <c r="AI15" s="67">
        <v>11000</v>
      </c>
      <c r="AJ15" s="67" t="s">
        <v>4698</v>
      </c>
      <c r="AW15" s="82">
        <f t="shared" si="0"/>
        <v>0</v>
      </c>
      <c r="AX15" s="68">
        <f t="shared" si="1"/>
        <v>30000</v>
      </c>
      <c r="AY15" s="108"/>
    </row>
    <row r="16" spans="1:51" ht="39.950000000000003" customHeight="1" x14ac:dyDescent="0.4">
      <c r="A16" s="159">
        <v>22</v>
      </c>
      <c r="B16" s="159">
        <v>8</v>
      </c>
      <c r="C16" s="157" t="s">
        <v>4304</v>
      </c>
      <c r="D16" s="157" t="s">
        <v>4305</v>
      </c>
      <c r="E16" s="157" t="s">
        <v>4307</v>
      </c>
      <c r="F16" s="163" t="s">
        <v>4306</v>
      </c>
      <c r="G16" s="163" t="s">
        <v>4308</v>
      </c>
      <c r="H16" s="149"/>
      <c r="I16" s="163"/>
      <c r="J16" s="115"/>
      <c r="K16" s="115"/>
      <c r="L16" s="163" t="s">
        <v>4313</v>
      </c>
      <c r="M16" s="163"/>
      <c r="N16" s="163"/>
      <c r="O16" s="94"/>
      <c r="P16" s="163"/>
      <c r="Q16" s="163"/>
      <c r="R16" s="157"/>
      <c r="S16" s="71"/>
      <c r="AA16" s="59"/>
      <c r="AB16" s="59"/>
      <c r="AC16" s="163"/>
      <c r="AD16" s="67">
        <v>40000</v>
      </c>
      <c r="AE16" s="67">
        <v>7000</v>
      </c>
      <c r="AF16" s="67" t="s">
        <v>4312</v>
      </c>
      <c r="AG16" s="67">
        <v>15000</v>
      </c>
      <c r="AH16" s="67" t="s">
        <v>4498</v>
      </c>
      <c r="AI16" s="67">
        <v>5000</v>
      </c>
      <c r="AJ16" s="67" t="s">
        <v>4549</v>
      </c>
      <c r="AK16" s="67">
        <v>12000</v>
      </c>
      <c r="AL16" s="67" t="s">
        <v>4601</v>
      </c>
      <c r="AM16" s="67">
        <v>1000</v>
      </c>
      <c r="AN16" s="67" t="s">
        <v>4642</v>
      </c>
      <c r="AW16" s="82">
        <f t="shared" si="0"/>
        <v>0</v>
      </c>
      <c r="AX16" s="68">
        <f t="shared" si="1"/>
        <v>40000</v>
      </c>
      <c r="AY16" s="109">
        <v>15000</v>
      </c>
    </row>
    <row r="17" spans="1:51" ht="39.950000000000003" customHeight="1" x14ac:dyDescent="0.35">
      <c r="A17" s="160"/>
      <c r="B17" s="160"/>
      <c r="C17" s="158"/>
      <c r="D17" s="158"/>
      <c r="E17" s="158"/>
      <c r="F17" s="164"/>
      <c r="G17" s="164"/>
      <c r="H17" s="150"/>
      <c r="I17" s="164"/>
      <c r="J17" s="116"/>
      <c r="K17" s="116"/>
      <c r="L17" s="164"/>
      <c r="M17" s="164"/>
      <c r="N17" s="164"/>
      <c r="O17" s="95"/>
      <c r="P17" s="164"/>
      <c r="Q17" s="164"/>
      <c r="R17" s="158"/>
      <c r="S17" s="71"/>
      <c r="AA17" s="70"/>
      <c r="AB17" s="70"/>
      <c r="AC17" s="164"/>
      <c r="AD17" s="67">
        <v>33000</v>
      </c>
      <c r="AE17" s="67">
        <v>4000</v>
      </c>
      <c r="AF17" s="67" t="s">
        <v>4642</v>
      </c>
      <c r="AW17" s="82">
        <f t="shared" si="0"/>
        <v>29000</v>
      </c>
      <c r="AX17" s="68">
        <f t="shared" si="1"/>
        <v>4000</v>
      </c>
      <c r="AY17" s="108"/>
    </row>
    <row r="18" spans="1:51" ht="47.25" customHeight="1" x14ac:dyDescent="0.4">
      <c r="A18" s="159">
        <v>28</v>
      </c>
      <c r="B18" s="159">
        <v>9</v>
      </c>
      <c r="C18" s="157" t="s">
        <v>4309</v>
      </c>
      <c r="D18" s="157" t="s">
        <v>4341</v>
      </c>
      <c r="E18" s="157" t="s">
        <v>4244</v>
      </c>
      <c r="F18" s="163" t="s">
        <v>4262</v>
      </c>
      <c r="G18" s="163" t="s">
        <v>4310</v>
      </c>
      <c r="H18" s="149"/>
      <c r="I18" s="163"/>
      <c r="J18" s="115"/>
      <c r="K18" s="115"/>
      <c r="L18" s="163" t="s">
        <v>4313</v>
      </c>
      <c r="M18" s="163"/>
      <c r="N18" s="163"/>
      <c r="O18" s="94"/>
      <c r="P18" s="163"/>
      <c r="Q18" s="163"/>
      <c r="R18" s="165"/>
      <c r="S18" s="71"/>
      <c r="AA18" s="59"/>
      <c r="AB18" s="59"/>
      <c r="AC18" s="163"/>
      <c r="AD18" s="67">
        <v>40000</v>
      </c>
      <c r="AE18" s="67">
        <v>7000</v>
      </c>
      <c r="AF18" s="67" t="s">
        <v>4311</v>
      </c>
      <c r="AG18" s="67">
        <v>15000</v>
      </c>
      <c r="AI18" s="67">
        <v>8000</v>
      </c>
      <c r="AJ18" s="67" t="s">
        <v>4531</v>
      </c>
      <c r="AK18" s="67">
        <v>6000</v>
      </c>
      <c r="AL18" s="67" t="s">
        <v>4554</v>
      </c>
      <c r="AM18" s="67">
        <v>4000</v>
      </c>
      <c r="AN18" s="67" t="s">
        <v>4590</v>
      </c>
      <c r="AW18" s="82">
        <f t="shared" si="0"/>
        <v>0</v>
      </c>
      <c r="AX18" s="68">
        <f t="shared" si="1"/>
        <v>40000</v>
      </c>
      <c r="AY18" s="109">
        <v>15000</v>
      </c>
    </row>
    <row r="19" spans="1:51" ht="39.75" customHeight="1" x14ac:dyDescent="0.35">
      <c r="A19" s="160"/>
      <c r="B19" s="160"/>
      <c r="C19" s="158"/>
      <c r="D19" s="158"/>
      <c r="E19" s="158"/>
      <c r="F19" s="164"/>
      <c r="G19" s="164"/>
      <c r="H19" s="150"/>
      <c r="I19" s="164"/>
      <c r="J19" s="116"/>
      <c r="K19" s="116"/>
      <c r="L19" s="164"/>
      <c r="M19" s="164"/>
      <c r="N19" s="164"/>
      <c r="O19" s="95"/>
      <c r="P19" s="164"/>
      <c r="Q19" s="164"/>
      <c r="R19" s="166"/>
      <c r="S19" s="71"/>
      <c r="AA19" s="70"/>
      <c r="AB19" s="70"/>
      <c r="AC19" s="164"/>
      <c r="AD19" s="67">
        <v>33000</v>
      </c>
      <c r="AE19" s="67">
        <v>6000</v>
      </c>
      <c r="AF19" s="67" t="s">
        <v>4590</v>
      </c>
      <c r="AG19" s="67">
        <v>5000</v>
      </c>
      <c r="AH19" s="67" t="s">
        <v>4600</v>
      </c>
      <c r="AI19" s="67">
        <v>5000</v>
      </c>
      <c r="AJ19" s="67" t="s">
        <v>4701</v>
      </c>
      <c r="AW19" s="82">
        <f t="shared" si="0"/>
        <v>17000</v>
      </c>
      <c r="AX19" s="68">
        <f t="shared" si="1"/>
        <v>16000</v>
      </c>
      <c r="AY19" s="108"/>
    </row>
    <row r="20" spans="1:51" ht="39.950000000000003" hidden="1" customHeight="1" x14ac:dyDescent="0.4">
      <c r="A20" s="159">
        <v>34</v>
      </c>
      <c r="B20" s="159">
        <v>10</v>
      </c>
      <c r="C20" s="157" t="s">
        <v>4332</v>
      </c>
      <c r="D20" s="157" t="s">
        <v>4333</v>
      </c>
      <c r="E20" s="157" t="s">
        <v>4244</v>
      </c>
      <c r="F20" s="163" t="s">
        <v>4245</v>
      </c>
      <c r="G20" s="163" t="s">
        <v>4334</v>
      </c>
      <c r="H20" s="149"/>
      <c r="I20" s="163"/>
      <c r="J20" s="115"/>
      <c r="K20" s="115"/>
      <c r="L20" s="163">
        <v>7000</v>
      </c>
      <c r="M20" s="163" t="s">
        <v>4335</v>
      </c>
      <c r="N20" s="163"/>
      <c r="O20" s="94"/>
      <c r="P20" s="163"/>
      <c r="Q20" s="163"/>
      <c r="R20" s="157"/>
      <c r="S20" s="70"/>
      <c r="T20" s="70"/>
      <c r="U20" s="70"/>
      <c r="V20" s="70"/>
      <c r="W20" s="70"/>
      <c r="X20" s="70"/>
      <c r="Y20" s="70"/>
      <c r="Z20" s="70"/>
      <c r="AA20" s="75"/>
      <c r="AB20" s="75"/>
      <c r="AC20" s="163"/>
      <c r="AD20" s="70">
        <v>30000</v>
      </c>
      <c r="AE20" s="70">
        <v>8000</v>
      </c>
      <c r="AF20" s="70" t="s">
        <v>4335</v>
      </c>
      <c r="AG20" s="70"/>
      <c r="AH20" s="70"/>
      <c r="AI20" s="75"/>
      <c r="AJ20" s="75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83">
        <f t="shared" si="0"/>
        <v>22000</v>
      </c>
      <c r="AX20" s="68">
        <f t="shared" si="1"/>
        <v>8000</v>
      </c>
      <c r="AY20" s="109">
        <v>12000</v>
      </c>
    </row>
    <row r="21" spans="1:51" ht="39.75" hidden="1" customHeight="1" x14ac:dyDescent="0.35">
      <c r="A21" s="160"/>
      <c r="B21" s="160"/>
      <c r="C21" s="158"/>
      <c r="D21" s="158"/>
      <c r="E21" s="158"/>
      <c r="F21" s="164"/>
      <c r="G21" s="164"/>
      <c r="H21" s="150"/>
      <c r="I21" s="164"/>
      <c r="J21" s="116"/>
      <c r="K21" s="116"/>
      <c r="L21" s="164"/>
      <c r="M21" s="164"/>
      <c r="N21" s="164"/>
      <c r="O21" s="95"/>
      <c r="P21" s="164"/>
      <c r="Q21" s="164"/>
      <c r="R21" s="158"/>
      <c r="AA21" s="70"/>
      <c r="AB21" s="70"/>
      <c r="AC21" s="164"/>
      <c r="AD21" s="67">
        <v>30000</v>
      </c>
      <c r="AW21" s="82">
        <f t="shared" si="0"/>
        <v>30000</v>
      </c>
      <c r="AX21" s="68">
        <f t="shared" si="1"/>
        <v>0</v>
      </c>
      <c r="AY21" s="108"/>
    </row>
    <row r="22" spans="1:51" ht="39.950000000000003" customHeight="1" x14ac:dyDescent="0.4">
      <c r="A22" s="159">
        <v>65</v>
      </c>
      <c r="B22" s="159">
        <v>12</v>
      </c>
      <c r="C22" s="157" t="s">
        <v>4340</v>
      </c>
      <c r="D22" s="157" t="s">
        <v>437</v>
      </c>
      <c r="E22" s="157" t="s">
        <v>4244</v>
      </c>
      <c r="F22" s="186" t="s">
        <v>4342</v>
      </c>
      <c r="G22" s="183" t="s">
        <v>4343</v>
      </c>
      <c r="H22" s="149">
        <v>9000</v>
      </c>
      <c r="I22" s="157" t="s">
        <v>4692</v>
      </c>
      <c r="J22" s="111">
        <v>9000</v>
      </c>
      <c r="K22" s="111" t="s">
        <v>4512</v>
      </c>
      <c r="L22" s="163">
        <v>7000</v>
      </c>
      <c r="M22" s="163" t="s">
        <v>4344</v>
      </c>
      <c r="N22" s="157"/>
      <c r="O22" s="96"/>
      <c r="P22" s="157"/>
      <c r="Q22" s="163"/>
      <c r="R22" s="165"/>
      <c r="AA22" s="165"/>
      <c r="AB22" s="165"/>
      <c r="AD22" s="67">
        <v>30000</v>
      </c>
      <c r="AE22" s="67">
        <v>7000</v>
      </c>
      <c r="AF22" s="67" t="s">
        <v>4394</v>
      </c>
      <c r="AG22" s="67">
        <v>7000</v>
      </c>
      <c r="AH22" s="67" t="s">
        <v>4460</v>
      </c>
      <c r="AI22" s="67">
        <v>10000</v>
      </c>
      <c r="AJ22" s="67" t="s">
        <v>4560</v>
      </c>
      <c r="AK22" s="67">
        <v>6000</v>
      </c>
      <c r="AL22" s="67" t="s">
        <v>4578</v>
      </c>
      <c r="AW22" s="82">
        <f>AD22-AE22-AG22-AI22-AK22-AM22-AO22-AQ22-AS22-AU22+AV22</f>
        <v>0</v>
      </c>
      <c r="AX22" s="68">
        <f t="shared" si="1"/>
        <v>30000</v>
      </c>
      <c r="AY22" s="109">
        <v>13000</v>
      </c>
    </row>
    <row r="23" spans="1:51" ht="39.75" customHeight="1" x14ac:dyDescent="0.35">
      <c r="A23" s="160"/>
      <c r="B23" s="160"/>
      <c r="C23" s="158"/>
      <c r="D23" s="158"/>
      <c r="E23" s="158"/>
      <c r="F23" s="187"/>
      <c r="G23" s="164"/>
      <c r="H23" s="150"/>
      <c r="I23" s="158"/>
      <c r="J23" s="112"/>
      <c r="K23" s="112"/>
      <c r="L23" s="164"/>
      <c r="M23" s="164"/>
      <c r="N23" s="158"/>
      <c r="O23" s="97"/>
      <c r="P23" s="158"/>
      <c r="Q23" s="164"/>
      <c r="R23" s="166"/>
      <c r="AA23" s="166"/>
      <c r="AB23" s="166"/>
      <c r="AD23" s="67">
        <v>30000</v>
      </c>
      <c r="AE23" s="67">
        <v>3000</v>
      </c>
      <c r="AF23" s="67" t="s">
        <v>4578</v>
      </c>
      <c r="AG23" s="67">
        <v>9000</v>
      </c>
      <c r="AH23" s="67" t="s">
        <v>4628</v>
      </c>
      <c r="AW23" s="82">
        <f>AD23-AE23-AG23-AI23-AK23-AM23-AO23-AQ23-AS23-AU23+AV23</f>
        <v>18000</v>
      </c>
      <c r="AX23" s="68">
        <f t="shared" si="1"/>
        <v>12000</v>
      </c>
      <c r="AY23" s="108"/>
    </row>
    <row r="24" spans="1:51" ht="39.950000000000003" customHeight="1" x14ac:dyDescent="0.4">
      <c r="A24" s="159">
        <v>78</v>
      </c>
      <c r="B24" s="159">
        <v>13</v>
      </c>
      <c r="C24" s="163" t="s">
        <v>4355</v>
      </c>
      <c r="D24" s="163" t="s">
        <v>821</v>
      </c>
      <c r="E24" s="163" t="s">
        <v>4244</v>
      </c>
      <c r="F24" s="163" t="s">
        <v>4262</v>
      </c>
      <c r="G24" s="163">
        <v>3073129486</v>
      </c>
      <c r="H24" s="149"/>
      <c r="I24" s="163" t="s">
        <v>4685</v>
      </c>
      <c r="J24" s="115">
        <v>9000</v>
      </c>
      <c r="K24" s="115" t="s">
        <v>4510</v>
      </c>
      <c r="L24" s="163">
        <v>7000</v>
      </c>
      <c r="M24" s="163"/>
      <c r="N24" s="163"/>
      <c r="O24" s="94"/>
      <c r="P24" s="163"/>
      <c r="Q24" s="163"/>
      <c r="R24" s="165"/>
      <c r="AA24" s="165"/>
      <c r="AB24" s="165"/>
      <c r="AD24" s="67">
        <v>25000</v>
      </c>
      <c r="AE24" s="67">
        <v>5000</v>
      </c>
      <c r="AG24" s="67">
        <v>10000</v>
      </c>
      <c r="AI24" s="67">
        <v>10000</v>
      </c>
      <c r="AJ24" s="67" t="s">
        <v>4608</v>
      </c>
      <c r="AW24" s="82">
        <f t="shared" ref="AW24:AW71" si="2">AD24-AE24-AG24-AI24-AK24-AM24-AO24-AQ24-AS24-AU24+AV24</f>
        <v>0</v>
      </c>
      <c r="AX24" s="68">
        <f t="shared" si="1"/>
        <v>25000</v>
      </c>
      <c r="AY24" s="109">
        <v>10000</v>
      </c>
    </row>
    <row r="25" spans="1:51" ht="39.75" customHeight="1" x14ac:dyDescent="0.35">
      <c r="A25" s="160"/>
      <c r="B25" s="160"/>
      <c r="C25" s="164"/>
      <c r="D25" s="164"/>
      <c r="E25" s="164"/>
      <c r="F25" s="164"/>
      <c r="G25" s="164"/>
      <c r="H25" s="150">
        <v>9000</v>
      </c>
      <c r="I25" s="164"/>
      <c r="J25" s="116"/>
      <c r="K25" s="116"/>
      <c r="L25" s="164"/>
      <c r="M25" s="164"/>
      <c r="N25" s="164"/>
      <c r="O25" s="95"/>
      <c r="P25" s="164"/>
      <c r="Q25" s="164"/>
      <c r="R25" s="166"/>
      <c r="AA25" s="166"/>
      <c r="AB25" s="166"/>
      <c r="AD25" s="67">
        <v>25000</v>
      </c>
      <c r="AE25" s="67">
        <v>9000</v>
      </c>
      <c r="AG25" s="67">
        <v>6000</v>
      </c>
      <c r="AH25" s="67" t="s">
        <v>4683</v>
      </c>
      <c r="AW25" s="82">
        <f t="shared" si="2"/>
        <v>10000</v>
      </c>
      <c r="AX25" s="68">
        <f t="shared" si="1"/>
        <v>15000</v>
      </c>
      <c r="AY25" s="108"/>
    </row>
    <row r="26" spans="1:51" ht="39.950000000000003" customHeight="1" x14ac:dyDescent="0.35">
      <c r="A26" s="159">
        <v>79</v>
      </c>
      <c r="B26" s="159">
        <v>14</v>
      </c>
      <c r="C26" s="163" t="s">
        <v>4360</v>
      </c>
      <c r="D26" s="163" t="s">
        <v>4361</v>
      </c>
      <c r="E26" s="163" t="s">
        <v>4244</v>
      </c>
      <c r="F26" s="163" t="s">
        <v>4342</v>
      </c>
      <c r="G26" s="167">
        <v>3013333621</v>
      </c>
      <c r="H26" s="155"/>
      <c r="I26" s="163"/>
      <c r="J26" s="115"/>
      <c r="K26" s="115"/>
      <c r="L26" s="163" t="s">
        <v>4362</v>
      </c>
      <c r="M26" s="163" t="s">
        <v>4363</v>
      </c>
      <c r="N26" s="163"/>
      <c r="O26" s="163"/>
      <c r="P26" s="163"/>
      <c r="Q26" s="163"/>
      <c r="R26" s="163"/>
      <c r="AA26" s="157"/>
      <c r="AB26" s="157"/>
      <c r="AD26" s="67">
        <v>30000</v>
      </c>
      <c r="AE26" s="67">
        <v>30000</v>
      </c>
      <c r="AF26" s="67" t="s">
        <v>4363</v>
      </c>
      <c r="AW26" s="82">
        <f t="shared" si="2"/>
        <v>0</v>
      </c>
      <c r="AX26" s="68">
        <f t="shared" si="1"/>
        <v>30000</v>
      </c>
      <c r="AY26" s="108" t="s">
        <v>4236</v>
      </c>
    </row>
    <row r="27" spans="1:51" ht="39.75" customHeight="1" x14ac:dyDescent="0.35">
      <c r="A27" s="160"/>
      <c r="B27" s="160"/>
      <c r="C27" s="164"/>
      <c r="D27" s="164"/>
      <c r="E27" s="164"/>
      <c r="F27" s="164"/>
      <c r="G27" s="168"/>
      <c r="H27" s="156"/>
      <c r="I27" s="164"/>
      <c r="J27" s="116"/>
      <c r="K27" s="116"/>
      <c r="L27" s="164"/>
      <c r="M27" s="164"/>
      <c r="N27" s="164"/>
      <c r="O27" s="164"/>
      <c r="P27" s="164"/>
      <c r="Q27" s="164"/>
      <c r="R27" s="164"/>
      <c r="AA27" s="158"/>
      <c r="AB27" s="158"/>
      <c r="AD27" s="67">
        <v>30000</v>
      </c>
      <c r="AE27" s="67">
        <v>30000</v>
      </c>
      <c r="AF27" s="67" t="s">
        <v>4632</v>
      </c>
      <c r="AW27" s="82">
        <f t="shared" si="2"/>
        <v>0</v>
      </c>
      <c r="AX27" s="68">
        <f t="shared" si="1"/>
        <v>30000</v>
      </c>
      <c r="AY27" s="108"/>
    </row>
    <row r="28" spans="1:51" ht="48" customHeight="1" x14ac:dyDescent="0.4">
      <c r="A28" s="159">
        <v>82</v>
      </c>
      <c r="B28" s="159">
        <v>16</v>
      </c>
      <c r="C28" s="170" t="s">
        <v>4473</v>
      </c>
      <c r="D28" s="170" t="s">
        <v>4474</v>
      </c>
      <c r="E28" s="157" t="s">
        <v>4244</v>
      </c>
      <c r="F28" s="163" t="s">
        <v>4245</v>
      </c>
      <c r="G28" s="163" t="s">
        <v>4475</v>
      </c>
      <c r="H28" s="149"/>
      <c r="I28" s="163"/>
      <c r="J28" s="115">
        <v>9000</v>
      </c>
      <c r="K28" s="115" t="s">
        <v>4503</v>
      </c>
      <c r="L28" s="163">
        <v>7000</v>
      </c>
      <c r="M28" s="163" t="s">
        <v>4495</v>
      </c>
      <c r="N28" s="163"/>
      <c r="O28" s="94"/>
      <c r="P28" s="163"/>
      <c r="Q28" s="163"/>
      <c r="R28" s="165"/>
      <c r="S28" s="71"/>
      <c r="AA28" s="59"/>
      <c r="AB28" s="59"/>
      <c r="AC28" s="163"/>
      <c r="AD28" s="67">
        <v>25000</v>
      </c>
      <c r="AE28" s="67">
        <v>10000</v>
      </c>
      <c r="AF28" s="67" t="s">
        <v>4375</v>
      </c>
      <c r="AG28" s="67">
        <v>10000</v>
      </c>
      <c r="AH28" s="67" t="s">
        <v>4689</v>
      </c>
      <c r="AI28" s="67">
        <v>5000</v>
      </c>
      <c r="AJ28" s="67" t="s">
        <v>4514</v>
      </c>
      <c r="AW28" s="82">
        <f t="shared" si="2"/>
        <v>0</v>
      </c>
      <c r="AX28" s="68">
        <f t="shared" si="1"/>
        <v>25000</v>
      </c>
      <c r="AY28" s="109">
        <v>17000</v>
      </c>
    </row>
    <row r="29" spans="1:51" ht="39.950000000000003" customHeight="1" x14ac:dyDescent="0.35">
      <c r="A29" s="160"/>
      <c r="B29" s="160"/>
      <c r="C29" s="158"/>
      <c r="D29" s="158"/>
      <c r="E29" s="158"/>
      <c r="F29" s="164"/>
      <c r="G29" s="164"/>
      <c r="H29" s="150"/>
      <c r="I29" s="164"/>
      <c r="J29" s="116"/>
      <c r="K29" s="116"/>
      <c r="L29" s="164"/>
      <c r="M29" s="164"/>
      <c r="N29" s="164"/>
      <c r="O29" s="95"/>
      <c r="P29" s="164"/>
      <c r="Q29" s="164"/>
      <c r="R29" s="166"/>
      <c r="S29" s="71"/>
      <c r="AA29" s="70"/>
      <c r="AB29" s="70"/>
      <c r="AC29" s="164"/>
      <c r="AD29" s="67">
        <v>25000</v>
      </c>
      <c r="AE29" s="67">
        <v>5000</v>
      </c>
      <c r="AF29" s="67" t="s">
        <v>4573</v>
      </c>
      <c r="AG29" s="67">
        <v>9000</v>
      </c>
      <c r="AH29" s="67" t="s">
        <v>4610</v>
      </c>
      <c r="AI29" s="67">
        <v>5000</v>
      </c>
      <c r="AJ29" s="67" t="s">
        <v>4573</v>
      </c>
      <c r="AW29" s="82">
        <f t="shared" si="2"/>
        <v>6000</v>
      </c>
      <c r="AX29" s="68">
        <f t="shared" si="1"/>
        <v>19000</v>
      </c>
      <c r="AY29" s="108"/>
    </row>
    <row r="30" spans="1:51" ht="39.950000000000003" customHeight="1" x14ac:dyDescent="0.4">
      <c r="A30" s="159">
        <v>83</v>
      </c>
      <c r="B30" s="159">
        <v>17</v>
      </c>
      <c r="C30" s="163" t="s">
        <v>4382</v>
      </c>
      <c r="D30" s="163" t="s">
        <v>4383</v>
      </c>
      <c r="E30" s="163" t="s">
        <v>4258</v>
      </c>
      <c r="F30" s="163" t="s">
        <v>4262</v>
      </c>
      <c r="G30" s="163" t="s">
        <v>4384</v>
      </c>
      <c r="H30" s="149">
        <v>9000</v>
      </c>
      <c r="I30" s="163" t="s">
        <v>4691</v>
      </c>
      <c r="J30" s="115">
        <v>9000</v>
      </c>
      <c r="K30" s="115" t="s">
        <v>4500</v>
      </c>
      <c r="L30" s="163">
        <v>7000</v>
      </c>
      <c r="M30" s="163" t="s">
        <v>4385</v>
      </c>
      <c r="N30" s="163"/>
      <c r="O30" s="165"/>
      <c r="P30" s="163"/>
      <c r="Q30" s="163"/>
      <c r="R30" s="163"/>
      <c r="AA30" s="165"/>
      <c r="AB30" s="165"/>
      <c r="AC30" s="165"/>
      <c r="AD30" s="67">
        <v>30000</v>
      </c>
      <c r="AE30" s="67">
        <v>10000</v>
      </c>
      <c r="AF30" s="67" t="s">
        <v>4478</v>
      </c>
      <c r="AG30" s="67">
        <v>5000</v>
      </c>
      <c r="AH30" s="67" t="s">
        <v>4480</v>
      </c>
      <c r="AI30" s="67">
        <v>5000</v>
      </c>
      <c r="AJ30" s="67" t="s">
        <v>4524</v>
      </c>
      <c r="AK30" s="67">
        <v>10000</v>
      </c>
      <c r="AL30" s="67" t="s">
        <v>4552</v>
      </c>
      <c r="AW30" s="82">
        <f t="shared" si="2"/>
        <v>0</v>
      </c>
      <c r="AX30" s="68">
        <f t="shared" si="1"/>
        <v>30000</v>
      </c>
      <c r="AY30" s="109">
        <v>20000</v>
      </c>
    </row>
    <row r="31" spans="1:51" ht="39.950000000000003" customHeight="1" x14ac:dyDescent="0.35">
      <c r="A31" s="160"/>
      <c r="B31" s="160"/>
      <c r="C31" s="164"/>
      <c r="D31" s="164"/>
      <c r="E31" s="164"/>
      <c r="F31" s="164"/>
      <c r="G31" s="164"/>
      <c r="H31" s="150"/>
      <c r="I31" s="164"/>
      <c r="J31" s="116"/>
      <c r="K31" s="116"/>
      <c r="L31" s="164"/>
      <c r="M31" s="164"/>
      <c r="N31" s="164"/>
      <c r="O31" s="166"/>
      <c r="P31" s="164"/>
      <c r="Q31" s="164"/>
      <c r="R31" s="164"/>
      <c r="AA31" s="166"/>
      <c r="AB31" s="166"/>
      <c r="AC31" s="166"/>
      <c r="AD31" s="67">
        <v>30000</v>
      </c>
      <c r="AE31" s="67">
        <v>10000</v>
      </c>
      <c r="AF31" s="67" t="s">
        <v>4602</v>
      </c>
      <c r="AG31" s="67">
        <v>5000</v>
      </c>
      <c r="AH31" s="67" t="s">
        <v>4636</v>
      </c>
      <c r="AI31" s="67">
        <v>8000</v>
      </c>
      <c r="AJ31" s="67" t="s">
        <v>4690</v>
      </c>
      <c r="AW31" s="82">
        <f t="shared" si="2"/>
        <v>7000</v>
      </c>
      <c r="AX31" s="68">
        <f t="shared" si="1"/>
        <v>23000</v>
      </c>
      <c r="AY31" s="108"/>
    </row>
    <row r="32" spans="1:51" ht="39.950000000000003" customHeight="1" x14ac:dyDescent="0.4">
      <c r="A32" s="159">
        <v>84</v>
      </c>
      <c r="B32" s="159">
        <v>18</v>
      </c>
      <c r="C32" s="163" t="s">
        <v>4387</v>
      </c>
      <c r="D32" s="163" t="s">
        <v>4388</v>
      </c>
      <c r="E32" s="163"/>
      <c r="F32" s="163" t="s">
        <v>4245</v>
      </c>
      <c r="G32" s="163" t="s">
        <v>4401</v>
      </c>
      <c r="H32" s="149"/>
      <c r="I32" s="163"/>
      <c r="J32" s="115">
        <v>9000</v>
      </c>
      <c r="K32" s="115" t="s">
        <v>4509</v>
      </c>
      <c r="L32" s="163">
        <v>7000</v>
      </c>
      <c r="M32" s="163" t="s">
        <v>4389</v>
      </c>
      <c r="N32" s="163"/>
      <c r="O32" s="94"/>
      <c r="P32" s="163"/>
      <c r="Q32" s="163"/>
      <c r="R32" s="165"/>
      <c r="AA32" s="165"/>
      <c r="AB32" s="165"/>
      <c r="AC32" s="165"/>
      <c r="AD32" s="67">
        <v>30000</v>
      </c>
      <c r="AE32" s="67">
        <v>5000</v>
      </c>
      <c r="AF32" s="67" t="s">
        <v>4389</v>
      </c>
      <c r="AG32" s="67">
        <v>5000</v>
      </c>
      <c r="AH32" s="67" t="s">
        <v>4424</v>
      </c>
      <c r="AI32" s="67">
        <v>10000</v>
      </c>
      <c r="AJ32" s="67" t="s">
        <v>4534</v>
      </c>
      <c r="AK32" s="67">
        <v>10000</v>
      </c>
      <c r="AL32" s="67" t="s">
        <v>4555</v>
      </c>
      <c r="AW32" s="82">
        <f t="shared" si="2"/>
        <v>0</v>
      </c>
      <c r="AX32" s="68">
        <f t="shared" si="1"/>
        <v>30000</v>
      </c>
      <c r="AY32" s="109">
        <v>10000</v>
      </c>
    </row>
    <row r="33" spans="1:51" ht="39.75" customHeight="1" x14ac:dyDescent="0.35">
      <c r="A33" s="160"/>
      <c r="B33" s="160"/>
      <c r="C33" s="164"/>
      <c r="D33" s="164"/>
      <c r="E33" s="164"/>
      <c r="F33" s="164"/>
      <c r="G33" s="164"/>
      <c r="H33" s="150"/>
      <c r="I33" s="164"/>
      <c r="J33" s="116"/>
      <c r="K33" s="116"/>
      <c r="L33" s="164"/>
      <c r="M33" s="164"/>
      <c r="N33" s="164"/>
      <c r="O33" s="95"/>
      <c r="P33" s="164"/>
      <c r="Q33" s="164"/>
      <c r="R33" s="166"/>
      <c r="AA33" s="166"/>
      <c r="AB33" s="166"/>
      <c r="AC33" s="166"/>
      <c r="AD33" s="67">
        <v>30000</v>
      </c>
      <c r="AE33" s="67">
        <v>9000</v>
      </c>
      <c r="AF33" s="67" t="s">
        <v>4585</v>
      </c>
      <c r="AW33" s="82">
        <f t="shared" si="2"/>
        <v>21000</v>
      </c>
      <c r="AX33" s="68">
        <f t="shared" si="1"/>
        <v>9000</v>
      </c>
      <c r="AY33" s="108"/>
    </row>
    <row r="34" spans="1:51" ht="39.950000000000003" customHeight="1" x14ac:dyDescent="0.4">
      <c r="A34" s="159">
        <v>85</v>
      </c>
      <c r="B34" s="159">
        <v>19</v>
      </c>
      <c r="C34" s="163" t="s">
        <v>4395</v>
      </c>
      <c r="D34" s="163" t="s">
        <v>4396</v>
      </c>
      <c r="E34" s="163"/>
      <c r="F34" s="163" t="s">
        <v>4262</v>
      </c>
      <c r="G34" s="163" t="s">
        <v>4400</v>
      </c>
      <c r="H34" s="149"/>
      <c r="I34" s="163"/>
      <c r="J34" s="115">
        <v>9000</v>
      </c>
      <c r="K34" s="115" t="s">
        <v>4502</v>
      </c>
      <c r="L34" s="163">
        <v>7000</v>
      </c>
      <c r="M34" s="163" t="s">
        <v>4397</v>
      </c>
      <c r="N34" s="163"/>
      <c r="O34" s="163"/>
      <c r="P34" s="163"/>
      <c r="Q34" s="163"/>
      <c r="R34" s="163"/>
      <c r="AA34" s="165"/>
      <c r="AB34" s="165"/>
      <c r="AD34" s="67">
        <v>30000</v>
      </c>
      <c r="AE34" s="67">
        <v>14000</v>
      </c>
      <c r="AG34" s="67">
        <v>11000</v>
      </c>
      <c r="AH34" s="67" t="s">
        <v>4595</v>
      </c>
      <c r="AI34" s="67">
        <v>5000</v>
      </c>
      <c r="AJ34" s="67" t="s">
        <v>4633</v>
      </c>
      <c r="AW34" s="82">
        <f t="shared" si="2"/>
        <v>0</v>
      </c>
      <c r="AX34" s="68">
        <f t="shared" si="1"/>
        <v>30000</v>
      </c>
      <c r="AY34" s="109">
        <v>20000</v>
      </c>
    </row>
    <row r="35" spans="1:51" ht="39.75" customHeight="1" x14ac:dyDescent="0.35">
      <c r="A35" s="160"/>
      <c r="B35" s="160"/>
      <c r="C35" s="164"/>
      <c r="D35" s="164"/>
      <c r="E35" s="164"/>
      <c r="F35" s="164"/>
      <c r="G35" s="164"/>
      <c r="H35" s="150"/>
      <c r="I35" s="164"/>
      <c r="J35" s="116"/>
      <c r="K35" s="116"/>
      <c r="L35" s="164"/>
      <c r="M35" s="164"/>
      <c r="N35" s="164"/>
      <c r="O35" s="164"/>
      <c r="P35" s="164"/>
      <c r="Q35" s="164"/>
      <c r="R35" s="164"/>
      <c r="AA35" s="166"/>
      <c r="AB35" s="166"/>
      <c r="AD35" s="67">
        <v>30000</v>
      </c>
      <c r="AE35" s="67">
        <v>14000</v>
      </c>
      <c r="AF35" s="67" t="s">
        <v>4595</v>
      </c>
      <c r="AG35" s="67">
        <v>3000</v>
      </c>
      <c r="AH35" s="67" t="s">
        <v>4633</v>
      </c>
      <c r="AW35" s="82">
        <f t="shared" si="2"/>
        <v>13000</v>
      </c>
      <c r="AX35" s="68">
        <f t="shared" si="1"/>
        <v>17000</v>
      </c>
      <c r="AY35" s="108"/>
    </row>
    <row r="36" spans="1:51" ht="39.950000000000003" customHeight="1" x14ac:dyDescent="0.4">
      <c r="A36" s="159">
        <v>86</v>
      </c>
      <c r="B36" s="159">
        <v>20</v>
      </c>
      <c r="C36" s="163" t="s">
        <v>4428</v>
      </c>
      <c r="D36" s="163" t="s">
        <v>4257</v>
      </c>
      <c r="E36" s="163"/>
      <c r="F36" s="163" t="s">
        <v>4245</v>
      </c>
      <c r="G36" s="163" t="s">
        <v>4399</v>
      </c>
      <c r="H36" s="149"/>
      <c r="I36" s="163"/>
      <c r="J36" s="115">
        <v>9000</v>
      </c>
      <c r="K36" s="115" t="s">
        <v>4513</v>
      </c>
      <c r="L36" s="163">
        <v>7000</v>
      </c>
      <c r="M36" s="163"/>
      <c r="N36" s="163"/>
      <c r="O36" s="163"/>
      <c r="P36" s="163"/>
      <c r="Q36" s="163"/>
      <c r="R36" s="163"/>
      <c r="AA36" s="165"/>
      <c r="AB36" s="165"/>
      <c r="AD36" s="67">
        <v>30000</v>
      </c>
      <c r="AE36" s="67">
        <v>5000</v>
      </c>
      <c r="AF36" s="69">
        <v>45993</v>
      </c>
      <c r="AG36" s="67">
        <v>15000</v>
      </c>
      <c r="AI36" s="67">
        <v>9000</v>
      </c>
      <c r="AJ36" s="67" t="s">
        <v>4570</v>
      </c>
      <c r="AW36" s="82">
        <f t="shared" si="2"/>
        <v>1000</v>
      </c>
      <c r="AX36" s="68">
        <f t="shared" si="1"/>
        <v>29000</v>
      </c>
      <c r="AY36" s="109">
        <v>22000</v>
      </c>
    </row>
    <row r="37" spans="1:51" ht="39.75" customHeight="1" x14ac:dyDescent="0.35">
      <c r="A37" s="160"/>
      <c r="B37" s="160"/>
      <c r="C37" s="164"/>
      <c r="D37" s="164"/>
      <c r="E37" s="164"/>
      <c r="F37" s="164"/>
      <c r="G37" s="164"/>
      <c r="H37" s="150"/>
      <c r="I37" s="164"/>
      <c r="J37" s="116"/>
      <c r="K37" s="116"/>
      <c r="L37" s="164"/>
      <c r="M37" s="164"/>
      <c r="N37" s="164"/>
      <c r="O37" s="164"/>
      <c r="P37" s="164"/>
      <c r="Q37" s="164"/>
      <c r="R37" s="164"/>
      <c r="AA37" s="166"/>
      <c r="AB37" s="166"/>
      <c r="AD37" s="67">
        <v>30000</v>
      </c>
      <c r="AW37" s="82">
        <f t="shared" si="2"/>
        <v>30000</v>
      </c>
      <c r="AX37" s="68">
        <f t="shared" si="1"/>
        <v>0</v>
      </c>
      <c r="AY37" s="108"/>
    </row>
    <row r="38" spans="1:51" ht="49.5" hidden="1" customHeight="1" x14ac:dyDescent="0.35">
      <c r="A38" s="159">
        <v>87</v>
      </c>
      <c r="B38" s="159">
        <v>21</v>
      </c>
      <c r="C38" s="163" t="s">
        <v>4402</v>
      </c>
      <c r="D38" s="163" t="s">
        <v>4403</v>
      </c>
      <c r="E38" s="163"/>
      <c r="F38" s="163" t="s">
        <v>4404</v>
      </c>
      <c r="G38" s="163">
        <v>3707032568</v>
      </c>
      <c r="H38" s="149"/>
      <c r="I38" s="163"/>
      <c r="J38" s="115"/>
      <c r="K38" s="115"/>
      <c r="L38" s="163">
        <v>7000</v>
      </c>
      <c r="M38" s="163" t="s">
        <v>4405</v>
      </c>
      <c r="N38" s="163"/>
      <c r="O38" s="94"/>
      <c r="P38" s="163"/>
      <c r="Q38" s="163"/>
      <c r="R38" s="165"/>
      <c r="AA38" s="165"/>
      <c r="AB38" s="165"/>
      <c r="AD38" s="67">
        <v>30000</v>
      </c>
      <c r="AW38" s="82">
        <f t="shared" si="2"/>
        <v>30000</v>
      </c>
      <c r="AX38" s="68">
        <f t="shared" si="1"/>
        <v>0</v>
      </c>
      <c r="AY38" s="110">
        <v>10000</v>
      </c>
    </row>
    <row r="39" spans="1:51" ht="39.75" hidden="1" customHeight="1" x14ac:dyDescent="0.35">
      <c r="A39" s="160"/>
      <c r="B39" s="160"/>
      <c r="C39" s="164"/>
      <c r="D39" s="164"/>
      <c r="E39" s="164"/>
      <c r="F39" s="164"/>
      <c r="G39" s="164"/>
      <c r="H39" s="150"/>
      <c r="I39" s="164"/>
      <c r="J39" s="116"/>
      <c r="K39" s="116"/>
      <c r="L39" s="164"/>
      <c r="M39" s="164"/>
      <c r="N39" s="164"/>
      <c r="O39" s="95"/>
      <c r="P39" s="164"/>
      <c r="Q39" s="164"/>
      <c r="R39" s="166"/>
      <c r="AA39" s="166"/>
      <c r="AB39" s="166"/>
      <c r="AD39" s="67">
        <v>30000</v>
      </c>
      <c r="AW39" s="82">
        <f t="shared" si="2"/>
        <v>30000</v>
      </c>
      <c r="AX39" s="68">
        <f t="shared" si="1"/>
        <v>0</v>
      </c>
      <c r="AY39" s="108"/>
    </row>
    <row r="40" spans="1:51" ht="39.950000000000003" hidden="1" customHeight="1" x14ac:dyDescent="0.35">
      <c r="A40" s="159">
        <v>88</v>
      </c>
      <c r="B40" s="159">
        <v>22</v>
      </c>
      <c r="C40" s="163" t="s">
        <v>4406</v>
      </c>
      <c r="D40" s="163" t="s">
        <v>4407</v>
      </c>
      <c r="E40" s="163"/>
      <c r="F40" s="163" t="s">
        <v>4342</v>
      </c>
      <c r="G40" s="163" t="s">
        <v>4408</v>
      </c>
      <c r="H40" s="149"/>
      <c r="I40" s="163"/>
      <c r="J40" s="115"/>
      <c r="K40" s="115"/>
      <c r="L40" s="163">
        <v>7000</v>
      </c>
      <c r="M40" s="163" t="s">
        <v>4411</v>
      </c>
      <c r="N40" s="163"/>
      <c r="O40" s="94"/>
      <c r="P40" s="163"/>
      <c r="Q40" s="163"/>
      <c r="R40" s="163"/>
      <c r="AA40" s="165"/>
      <c r="AB40" s="165"/>
      <c r="AD40" s="67">
        <v>30000</v>
      </c>
      <c r="AW40" s="82">
        <f t="shared" si="2"/>
        <v>30000</v>
      </c>
      <c r="AX40" s="68">
        <f t="shared" si="1"/>
        <v>0</v>
      </c>
      <c r="AY40" s="108" t="s">
        <v>4236</v>
      </c>
    </row>
    <row r="41" spans="1:51" ht="39.75" hidden="1" customHeight="1" x14ac:dyDescent="0.35">
      <c r="A41" s="160"/>
      <c r="B41" s="160"/>
      <c r="C41" s="164"/>
      <c r="D41" s="164"/>
      <c r="E41" s="164"/>
      <c r="F41" s="164"/>
      <c r="G41" s="164"/>
      <c r="H41" s="150"/>
      <c r="I41" s="164"/>
      <c r="J41" s="116"/>
      <c r="K41" s="116"/>
      <c r="L41" s="164"/>
      <c r="M41" s="164"/>
      <c r="N41" s="164"/>
      <c r="O41" s="95"/>
      <c r="P41" s="164"/>
      <c r="Q41" s="164"/>
      <c r="R41" s="164"/>
      <c r="AA41" s="166"/>
      <c r="AB41" s="166"/>
      <c r="AD41" s="67">
        <v>30000</v>
      </c>
      <c r="AW41" s="82">
        <f t="shared" si="2"/>
        <v>30000</v>
      </c>
      <c r="AX41" s="68">
        <f t="shared" si="1"/>
        <v>0</v>
      </c>
      <c r="AY41" s="108"/>
    </row>
    <row r="42" spans="1:51" ht="39.75" customHeight="1" x14ac:dyDescent="0.4">
      <c r="A42" s="92"/>
      <c r="B42" s="92">
        <v>23</v>
      </c>
      <c r="C42" s="163" t="s">
        <v>4421</v>
      </c>
      <c r="D42" s="163" t="s">
        <v>4422</v>
      </c>
      <c r="E42" s="91"/>
      <c r="F42" s="163" t="s">
        <v>4342</v>
      </c>
      <c r="G42" s="91"/>
      <c r="H42" s="152"/>
      <c r="I42" s="163"/>
      <c r="J42" s="115"/>
      <c r="K42" s="115"/>
      <c r="L42" s="163">
        <v>7000</v>
      </c>
      <c r="M42" s="91" t="s">
        <v>4485</v>
      </c>
      <c r="N42" s="91"/>
      <c r="O42" s="91"/>
      <c r="P42" s="91"/>
      <c r="Q42" s="91"/>
      <c r="R42" s="91"/>
      <c r="AA42" s="165"/>
      <c r="AB42" s="165"/>
      <c r="AD42" s="67">
        <v>30000</v>
      </c>
      <c r="AE42" s="67">
        <v>30000</v>
      </c>
      <c r="AF42" s="67" t="s">
        <v>4458</v>
      </c>
      <c r="AW42" s="82">
        <f t="shared" si="2"/>
        <v>0</v>
      </c>
      <c r="AX42" s="68">
        <f t="shared" si="1"/>
        <v>30000</v>
      </c>
      <c r="AY42" s="109">
        <v>27000</v>
      </c>
    </row>
    <row r="43" spans="1:51" ht="39.75" customHeight="1" x14ac:dyDescent="0.35">
      <c r="A43" s="92"/>
      <c r="B43" s="92"/>
      <c r="C43" s="164"/>
      <c r="D43" s="164"/>
      <c r="E43" s="91"/>
      <c r="F43" s="164"/>
      <c r="G43" s="91" t="s">
        <v>4457</v>
      </c>
      <c r="H43" s="152"/>
      <c r="I43" s="164"/>
      <c r="J43" s="116"/>
      <c r="K43" s="116"/>
      <c r="L43" s="164"/>
      <c r="M43" s="91"/>
      <c r="N43" s="91"/>
      <c r="O43" s="91"/>
      <c r="P43" s="91"/>
      <c r="Q43" s="91"/>
      <c r="R43" s="91"/>
      <c r="AA43" s="166"/>
      <c r="AB43" s="166"/>
      <c r="AD43" s="67">
        <v>30000</v>
      </c>
      <c r="AE43" s="67">
        <v>9000</v>
      </c>
      <c r="AF43" s="67" t="s">
        <v>4583</v>
      </c>
      <c r="AW43" s="82">
        <f t="shared" si="2"/>
        <v>21000</v>
      </c>
      <c r="AX43" s="68">
        <f t="shared" si="1"/>
        <v>9000</v>
      </c>
      <c r="AY43" s="108"/>
    </row>
    <row r="44" spans="1:51" ht="39.950000000000003" customHeight="1" x14ac:dyDescent="0.4">
      <c r="A44" s="159">
        <v>89</v>
      </c>
      <c r="B44" s="159">
        <v>73</v>
      </c>
      <c r="C44" s="163" t="s">
        <v>4423</v>
      </c>
      <c r="D44" s="163" t="s">
        <v>4530</v>
      </c>
      <c r="E44" s="163"/>
      <c r="F44" s="163" t="s">
        <v>4245</v>
      </c>
      <c r="G44" s="163" t="s">
        <v>4486</v>
      </c>
      <c r="H44" s="149"/>
      <c r="I44" s="163"/>
      <c r="J44" s="115">
        <v>11000</v>
      </c>
      <c r="K44" s="115" t="s">
        <v>4531</v>
      </c>
      <c r="L44" s="163">
        <v>7000</v>
      </c>
      <c r="M44" s="163" t="s">
        <v>4487</v>
      </c>
      <c r="N44" s="163"/>
      <c r="O44" s="94"/>
      <c r="P44" s="163"/>
      <c r="Q44" s="163"/>
      <c r="R44" s="165"/>
      <c r="AA44" s="165"/>
      <c r="AB44" s="165"/>
      <c r="AD44" s="67">
        <v>30000</v>
      </c>
      <c r="AE44" s="67">
        <v>8000</v>
      </c>
      <c r="AF44" s="67" t="s">
        <v>4488</v>
      </c>
      <c r="AG44" s="67">
        <v>9000</v>
      </c>
      <c r="AH44" s="67" t="s">
        <v>4587</v>
      </c>
      <c r="AI44" s="67">
        <v>9000</v>
      </c>
      <c r="AJ44" s="67" t="s">
        <v>4622</v>
      </c>
      <c r="AW44" s="82">
        <f t="shared" si="2"/>
        <v>4000</v>
      </c>
      <c r="AX44" s="68">
        <f>AE44+AG44+AI44+AK44+AM44+AQ41+AS41</f>
        <v>26000</v>
      </c>
      <c r="AY44" s="109">
        <v>27000</v>
      </c>
    </row>
    <row r="45" spans="1:51" ht="39.950000000000003" customHeight="1" x14ac:dyDescent="0.35">
      <c r="A45" s="160"/>
      <c r="B45" s="160"/>
      <c r="C45" s="164"/>
      <c r="D45" s="164"/>
      <c r="E45" s="164"/>
      <c r="F45" s="164"/>
      <c r="G45" s="164"/>
      <c r="H45" s="150"/>
      <c r="I45" s="164"/>
      <c r="J45" s="116"/>
      <c r="K45" s="116"/>
      <c r="L45" s="164"/>
      <c r="M45" s="164"/>
      <c r="N45" s="164"/>
      <c r="O45" s="95"/>
      <c r="P45" s="164"/>
      <c r="Q45" s="164"/>
      <c r="R45" s="166"/>
      <c r="AA45" s="166"/>
      <c r="AB45" s="166"/>
      <c r="AD45" s="67">
        <v>30000</v>
      </c>
      <c r="AW45" s="82">
        <f t="shared" si="2"/>
        <v>30000</v>
      </c>
      <c r="AX45" s="68">
        <f t="shared" si="1"/>
        <v>0</v>
      </c>
      <c r="AY45" s="108"/>
    </row>
    <row r="46" spans="1:51" ht="51.75" hidden="1" customHeight="1" x14ac:dyDescent="0.35">
      <c r="A46" s="159">
        <v>91</v>
      </c>
      <c r="B46" s="159">
        <v>74</v>
      </c>
      <c r="C46" s="163" t="s">
        <v>4456</v>
      </c>
      <c r="D46" s="163"/>
      <c r="E46" s="163"/>
      <c r="F46" s="163"/>
      <c r="G46" s="163"/>
      <c r="H46" s="149"/>
      <c r="I46" s="163"/>
      <c r="J46" s="115"/>
      <c r="K46" s="115"/>
      <c r="L46" s="163"/>
      <c r="M46" s="163"/>
      <c r="N46" s="163"/>
      <c r="O46" s="94"/>
      <c r="P46" s="163"/>
      <c r="Q46" s="163"/>
      <c r="R46" s="165"/>
      <c r="AA46" s="165"/>
      <c r="AB46" s="165"/>
      <c r="AD46" s="67">
        <v>30000</v>
      </c>
      <c r="AW46" s="82">
        <f>AD46-AE46-AG46-AJ46-AK46-AM46-AO46-AQ46-AS46-AU46+AV46</f>
        <v>30000</v>
      </c>
      <c r="AX46" s="68">
        <f>AE46+AG46+AJ46+AK46+AM46+AQ45+AS45</f>
        <v>0</v>
      </c>
      <c r="AY46" s="108">
        <v>27000</v>
      </c>
    </row>
    <row r="47" spans="1:51" ht="39.950000000000003" hidden="1" customHeight="1" x14ac:dyDescent="0.35">
      <c r="A47" s="160"/>
      <c r="B47" s="160"/>
      <c r="C47" s="164"/>
      <c r="D47" s="164"/>
      <c r="E47" s="164"/>
      <c r="F47" s="164"/>
      <c r="G47" s="164"/>
      <c r="H47" s="150"/>
      <c r="I47" s="164"/>
      <c r="J47" s="116"/>
      <c r="K47" s="116"/>
      <c r="L47" s="164"/>
      <c r="M47" s="164"/>
      <c r="N47" s="164"/>
      <c r="O47" s="95"/>
      <c r="P47" s="164"/>
      <c r="Q47" s="164"/>
      <c r="R47" s="166"/>
      <c r="AA47" s="166"/>
      <c r="AB47" s="166"/>
      <c r="AD47" s="67">
        <v>30000</v>
      </c>
      <c r="AW47" s="82">
        <f t="shared" si="2"/>
        <v>30000</v>
      </c>
      <c r="AX47" s="68">
        <f t="shared" si="1"/>
        <v>0</v>
      </c>
      <c r="AY47" s="108"/>
    </row>
    <row r="48" spans="1:51" ht="39.950000000000003" customHeight="1" x14ac:dyDescent="0.35">
      <c r="A48" s="159">
        <v>92</v>
      </c>
      <c r="B48" s="159">
        <v>75</v>
      </c>
      <c r="C48" s="163" t="s">
        <v>4471</v>
      </c>
      <c r="D48" s="163" t="s">
        <v>4472</v>
      </c>
      <c r="E48" s="163"/>
      <c r="F48" s="163" t="s">
        <v>4262</v>
      </c>
      <c r="G48" s="163"/>
      <c r="H48" s="149"/>
      <c r="I48" s="163" t="s">
        <v>4688</v>
      </c>
      <c r="J48" s="115">
        <v>9000</v>
      </c>
      <c r="K48" s="115" t="s">
        <v>4511</v>
      </c>
      <c r="L48" s="163">
        <v>7000</v>
      </c>
      <c r="M48" s="163"/>
      <c r="N48" s="163"/>
      <c r="O48" s="94"/>
      <c r="P48" s="163"/>
      <c r="Q48" s="163"/>
      <c r="R48" s="163"/>
      <c r="AA48" s="165"/>
      <c r="AB48" s="165"/>
      <c r="AD48" s="67">
        <v>30000</v>
      </c>
      <c r="AE48" s="67">
        <v>11000</v>
      </c>
      <c r="AG48" s="67">
        <v>19000</v>
      </c>
      <c r="AH48" s="67" t="s">
        <v>4563</v>
      </c>
      <c r="AW48" s="82">
        <f t="shared" si="2"/>
        <v>0</v>
      </c>
      <c r="AX48" s="68">
        <f t="shared" si="1"/>
        <v>30000</v>
      </c>
      <c r="AY48" s="108" t="s">
        <v>4236</v>
      </c>
    </row>
    <row r="49" spans="1:51" ht="39.950000000000003" customHeight="1" x14ac:dyDescent="0.35">
      <c r="A49" s="160"/>
      <c r="B49" s="160"/>
      <c r="C49" s="164"/>
      <c r="D49" s="164"/>
      <c r="E49" s="164"/>
      <c r="F49" s="164"/>
      <c r="G49" s="164"/>
      <c r="H49" s="150">
        <v>9000</v>
      </c>
      <c r="I49" s="164"/>
      <c r="J49" s="116"/>
      <c r="K49" s="116"/>
      <c r="L49" s="164"/>
      <c r="M49" s="164"/>
      <c r="N49" s="164"/>
      <c r="O49" s="95"/>
      <c r="P49" s="164"/>
      <c r="Q49" s="164"/>
      <c r="R49" s="164"/>
      <c r="AA49" s="166"/>
      <c r="AB49" s="166"/>
      <c r="AD49" s="67">
        <v>30000</v>
      </c>
      <c r="AE49" s="67">
        <v>9000</v>
      </c>
      <c r="AF49" s="67" t="s">
        <v>4588</v>
      </c>
      <c r="AG49" s="67">
        <v>9000</v>
      </c>
      <c r="AH49" s="67" t="s">
        <v>4634</v>
      </c>
      <c r="AI49" s="67">
        <v>12000</v>
      </c>
      <c r="AJ49" s="67" t="s">
        <v>4687</v>
      </c>
      <c r="AW49" s="82">
        <f t="shared" si="2"/>
        <v>0</v>
      </c>
      <c r="AX49" s="68">
        <f t="shared" si="1"/>
        <v>30000</v>
      </c>
      <c r="AY49" s="108"/>
    </row>
    <row r="50" spans="1:51" ht="39.950000000000003" customHeight="1" x14ac:dyDescent="0.35">
      <c r="A50" s="159">
        <v>96</v>
      </c>
      <c r="B50" s="159">
        <v>76</v>
      </c>
      <c r="C50" s="157" t="s">
        <v>4505</v>
      </c>
      <c r="D50" s="157" t="s">
        <v>167</v>
      </c>
      <c r="E50" s="93"/>
      <c r="F50" s="157" t="s">
        <v>4262</v>
      </c>
      <c r="G50" s="157"/>
      <c r="H50" s="144">
        <v>9000</v>
      </c>
      <c r="I50" s="157" t="s">
        <v>4695</v>
      </c>
      <c r="J50" s="111" t="s">
        <v>4506</v>
      </c>
      <c r="K50" s="111" t="s">
        <v>4507</v>
      </c>
      <c r="L50" s="157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157"/>
      <c r="AB50" s="165"/>
      <c r="AD50" s="67">
        <v>30000</v>
      </c>
      <c r="AE50" s="67">
        <v>15000</v>
      </c>
      <c r="AF50" s="67" t="s">
        <v>4561</v>
      </c>
      <c r="AW50" s="82">
        <f t="shared" si="2"/>
        <v>15000</v>
      </c>
      <c r="AX50" s="68">
        <f t="shared" si="1"/>
        <v>15000</v>
      </c>
      <c r="AY50" s="108" t="s">
        <v>4236</v>
      </c>
    </row>
    <row r="51" spans="1:51" ht="39.75" customHeight="1" x14ac:dyDescent="0.35">
      <c r="A51" s="160"/>
      <c r="B51" s="160"/>
      <c r="C51" s="158"/>
      <c r="D51" s="158"/>
      <c r="E51" s="93"/>
      <c r="F51" s="158"/>
      <c r="G51" s="158"/>
      <c r="H51" s="145"/>
      <c r="I51" s="158"/>
      <c r="J51" s="112"/>
      <c r="K51" s="112"/>
      <c r="L51" s="158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158"/>
      <c r="AB51" s="166"/>
      <c r="AD51" s="67">
        <v>30000</v>
      </c>
      <c r="AW51" s="82">
        <f t="shared" si="2"/>
        <v>30000</v>
      </c>
      <c r="AX51" s="68">
        <f t="shared" si="1"/>
        <v>0</v>
      </c>
      <c r="AY51" s="108"/>
    </row>
    <row r="52" spans="1:51" ht="39.950000000000003" customHeight="1" x14ac:dyDescent="0.35">
      <c r="A52" s="159">
        <v>103</v>
      </c>
      <c r="B52" s="159">
        <v>77</v>
      </c>
      <c r="C52" s="163" t="s">
        <v>4528</v>
      </c>
      <c r="D52" s="163" t="s">
        <v>4529</v>
      </c>
      <c r="E52" s="163"/>
      <c r="F52" s="163" t="s">
        <v>4245</v>
      </c>
      <c r="G52" s="163"/>
      <c r="H52" s="149">
        <v>9000</v>
      </c>
      <c r="I52" s="163" t="s">
        <v>4700</v>
      </c>
      <c r="J52" s="115">
        <v>7100</v>
      </c>
      <c r="K52" s="115" t="s">
        <v>4547</v>
      </c>
      <c r="L52" s="163"/>
      <c r="M52" s="163"/>
      <c r="N52" s="163"/>
      <c r="O52" s="163"/>
      <c r="P52" s="163"/>
      <c r="Q52" s="163"/>
      <c r="R52" s="163"/>
      <c r="AD52" s="67">
        <v>20000</v>
      </c>
      <c r="AE52" s="72">
        <v>1000</v>
      </c>
      <c r="AF52" s="68" t="s">
        <v>4548</v>
      </c>
      <c r="AG52" s="67">
        <v>9000</v>
      </c>
      <c r="AH52" s="67" t="s">
        <v>4577</v>
      </c>
      <c r="AI52" s="67">
        <v>10000</v>
      </c>
      <c r="AJ52" s="67" t="s">
        <v>4635</v>
      </c>
      <c r="AW52" s="82">
        <f t="shared" si="2"/>
        <v>0</v>
      </c>
      <c r="AX52" s="68">
        <f t="shared" si="1"/>
        <v>20000</v>
      </c>
      <c r="AY52" s="108"/>
    </row>
    <row r="53" spans="1:51" ht="39.950000000000003" customHeight="1" x14ac:dyDescent="0.35">
      <c r="A53" s="160"/>
      <c r="B53" s="160"/>
      <c r="C53" s="164"/>
      <c r="D53" s="164"/>
      <c r="E53" s="164"/>
      <c r="F53" s="164"/>
      <c r="G53" s="164"/>
      <c r="H53" s="150"/>
      <c r="I53" s="164"/>
      <c r="J53" s="116"/>
      <c r="K53" s="116"/>
      <c r="L53" s="164"/>
      <c r="M53" s="164"/>
      <c r="N53" s="164"/>
      <c r="O53" s="164"/>
      <c r="P53" s="164"/>
      <c r="Q53" s="164"/>
      <c r="R53" s="164"/>
      <c r="AD53" s="67">
        <v>20000</v>
      </c>
      <c r="AE53" s="67">
        <v>10000</v>
      </c>
      <c r="AF53" s="67" t="s">
        <v>4635</v>
      </c>
      <c r="AW53" s="81">
        <f t="shared" si="2"/>
        <v>10000</v>
      </c>
      <c r="AX53" s="68">
        <f t="shared" si="1"/>
        <v>10000</v>
      </c>
    </row>
    <row r="54" spans="1:51" ht="39.950000000000003" customHeight="1" x14ac:dyDescent="0.35">
      <c r="A54" s="159"/>
      <c r="B54" s="159">
        <v>0</v>
      </c>
      <c r="C54" s="163" t="s">
        <v>418</v>
      </c>
      <c r="D54" s="163" t="s">
        <v>4532</v>
      </c>
      <c r="E54" s="163"/>
      <c r="F54" s="163" t="s">
        <v>4262</v>
      </c>
      <c r="G54" s="163" t="s">
        <v>4533</v>
      </c>
      <c r="H54" s="149"/>
      <c r="I54" s="163"/>
      <c r="J54" s="115">
        <f>7000+9000</f>
        <v>16000</v>
      </c>
      <c r="K54" s="115" t="s">
        <v>4539</v>
      </c>
      <c r="L54" s="163"/>
      <c r="M54" s="163"/>
      <c r="N54" s="163"/>
      <c r="O54" s="163"/>
      <c r="P54" s="163"/>
      <c r="Q54" s="163"/>
      <c r="R54" s="163"/>
      <c r="AD54" s="67">
        <v>30000</v>
      </c>
      <c r="AE54" s="67">
        <v>25000</v>
      </c>
      <c r="AF54" s="67" t="s">
        <v>4682</v>
      </c>
      <c r="AW54" s="81">
        <f t="shared" si="2"/>
        <v>5000</v>
      </c>
      <c r="AX54" s="68">
        <f t="shared" si="1"/>
        <v>25000</v>
      </c>
    </row>
    <row r="55" spans="1:51" ht="39.950000000000003" customHeight="1" x14ac:dyDescent="0.35">
      <c r="A55" s="160"/>
      <c r="B55" s="160"/>
      <c r="C55" s="164"/>
      <c r="D55" s="164"/>
      <c r="E55" s="164"/>
      <c r="F55" s="164"/>
      <c r="G55" s="164"/>
      <c r="H55" s="150"/>
      <c r="I55" s="164"/>
      <c r="J55" s="116"/>
      <c r="K55" s="116"/>
      <c r="L55" s="164"/>
      <c r="M55" s="164"/>
      <c r="N55" s="164"/>
      <c r="O55" s="164"/>
      <c r="P55" s="164"/>
      <c r="Q55" s="164"/>
      <c r="R55" s="164"/>
      <c r="AD55" s="67">
        <v>30000</v>
      </c>
      <c r="AW55" s="81">
        <f t="shared" si="2"/>
        <v>30000</v>
      </c>
      <c r="AX55" s="68">
        <f t="shared" si="1"/>
        <v>0</v>
      </c>
    </row>
    <row r="56" spans="1:51" ht="39.950000000000003" customHeight="1" x14ac:dyDescent="0.35">
      <c r="A56" s="159"/>
      <c r="B56" s="159">
        <v>79</v>
      </c>
      <c r="C56" s="163" t="s">
        <v>4538</v>
      </c>
      <c r="D56" s="163"/>
      <c r="E56" s="163"/>
      <c r="F56" s="163"/>
      <c r="G56" s="163"/>
      <c r="H56" s="149"/>
      <c r="I56" s="163"/>
      <c r="J56" s="115">
        <v>17000</v>
      </c>
      <c r="K56" s="115"/>
      <c r="L56" s="163"/>
      <c r="M56" s="163"/>
      <c r="N56" s="163"/>
      <c r="O56" s="163"/>
      <c r="P56" s="163"/>
      <c r="Q56" s="163"/>
      <c r="R56" s="163"/>
      <c r="AD56" s="67">
        <v>30000</v>
      </c>
      <c r="AE56" s="67">
        <v>25000</v>
      </c>
      <c r="AW56" s="81">
        <f t="shared" si="2"/>
        <v>5000</v>
      </c>
      <c r="AX56" s="68">
        <f t="shared" si="1"/>
        <v>25000</v>
      </c>
    </row>
    <row r="57" spans="1:51" ht="39.950000000000003" customHeight="1" x14ac:dyDescent="0.35">
      <c r="A57" s="160"/>
      <c r="B57" s="160"/>
      <c r="C57" s="164"/>
      <c r="D57" s="164"/>
      <c r="E57" s="164"/>
      <c r="F57" s="164"/>
      <c r="G57" s="164"/>
      <c r="H57" s="150"/>
      <c r="I57" s="164"/>
      <c r="J57" s="116"/>
      <c r="K57" s="116"/>
      <c r="L57" s="164"/>
      <c r="M57" s="164"/>
      <c r="N57" s="164"/>
      <c r="O57" s="164"/>
      <c r="P57" s="164"/>
      <c r="Q57" s="164"/>
      <c r="R57" s="164"/>
      <c r="AD57" s="67">
        <v>30000</v>
      </c>
      <c r="AW57" s="81">
        <f t="shared" si="2"/>
        <v>30000</v>
      </c>
      <c r="AX57" s="68">
        <f t="shared" si="1"/>
        <v>0</v>
      </c>
    </row>
    <row r="58" spans="1:51" ht="39.950000000000003" customHeight="1" x14ac:dyDescent="0.35">
      <c r="A58" s="159"/>
      <c r="B58" s="159">
        <v>81</v>
      </c>
      <c r="C58" s="163"/>
      <c r="D58" s="163"/>
      <c r="E58" s="163"/>
      <c r="F58" s="163"/>
      <c r="G58" s="163"/>
      <c r="H58" s="149"/>
      <c r="I58" s="163"/>
      <c r="J58" s="115"/>
      <c r="K58" s="115"/>
      <c r="L58" s="163"/>
      <c r="M58" s="163"/>
      <c r="N58" s="163"/>
      <c r="O58" s="163"/>
      <c r="P58" s="163"/>
      <c r="Q58" s="163"/>
      <c r="R58" s="163"/>
      <c r="AW58" s="81">
        <f t="shared" si="2"/>
        <v>0</v>
      </c>
      <c r="AX58" s="68">
        <f t="shared" si="1"/>
        <v>0</v>
      </c>
    </row>
    <row r="59" spans="1:51" ht="39.950000000000003" customHeight="1" x14ac:dyDescent="0.35">
      <c r="A59" s="160"/>
      <c r="B59" s="160"/>
      <c r="C59" s="164"/>
      <c r="D59" s="164"/>
      <c r="E59" s="164"/>
      <c r="F59" s="164"/>
      <c r="G59" s="164"/>
      <c r="H59" s="150"/>
      <c r="I59" s="164"/>
      <c r="J59" s="116"/>
      <c r="K59" s="116"/>
      <c r="L59" s="164"/>
      <c r="M59" s="164"/>
      <c r="N59" s="164"/>
      <c r="O59" s="164"/>
      <c r="P59" s="164"/>
      <c r="Q59" s="164"/>
      <c r="R59" s="164"/>
      <c r="AW59" s="81">
        <f t="shared" si="2"/>
        <v>0</v>
      </c>
      <c r="AX59" s="68">
        <f t="shared" si="1"/>
        <v>0</v>
      </c>
    </row>
    <row r="60" spans="1:51" ht="39.950000000000003" customHeight="1" x14ac:dyDescent="0.35">
      <c r="A60" s="159"/>
      <c r="B60" s="159">
        <v>82</v>
      </c>
      <c r="C60" s="163"/>
      <c r="D60" s="163"/>
      <c r="E60" s="163"/>
      <c r="F60" s="163"/>
      <c r="G60" s="163"/>
      <c r="H60" s="149"/>
      <c r="I60" s="163"/>
      <c r="J60" s="115"/>
      <c r="K60" s="115"/>
      <c r="L60" s="163"/>
      <c r="M60" s="163"/>
      <c r="N60" s="163"/>
      <c r="O60" s="163"/>
      <c r="P60" s="163"/>
      <c r="Q60" s="163"/>
      <c r="R60" s="163"/>
      <c r="AW60" s="81">
        <f t="shared" si="2"/>
        <v>0</v>
      </c>
      <c r="AX60" s="68">
        <f t="shared" si="1"/>
        <v>0</v>
      </c>
    </row>
    <row r="61" spans="1:51" ht="39.950000000000003" customHeight="1" x14ac:dyDescent="0.35">
      <c r="A61" s="160"/>
      <c r="B61" s="160"/>
      <c r="C61" s="164"/>
      <c r="D61" s="164"/>
      <c r="E61" s="164"/>
      <c r="F61" s="164"/>
      <c r="G61" s="164"/>
      <c r="H61" s="150"/>
      <c r="I61" s="164"/>
      <c r="J61" s="116"/>
      <c r="K61" s="116"/>
      <c r="L61" s="164"/>
      <c r="M61" s="164"/>
      <c r="N61" s="164"/>
      <c r="O61" s="164"/>
      <c r="P61" s="164"/>
      <c r="Q61" s="164"/>
      <c r="R61" s="164"/>
      <c r="AW61" s="81">
        <f t="shared" si="2"/>
        <v>0</v>
      </c>
      <c r="AX61" s="68">
        <f t="shared" si="1"/>
        <v>0</v>
      </c>
    </row>
    <row r="62" spans="1:51" ht="39.950000000000003" customHeight="1" x14ac:dyDescent="0.35">
      <c r="B62" s="159">
        <v>83</v>
      </c>
      <c r="C62" s="165"/>
      <c r="D62" s="165"/>
      <c r="E62" s="165"/>
      <c r="F62" s="165"/>
      <c r="G62" s="165"/>
      <c r="H62" s="147"/>
      <c r="I62" s="165"/>
      <c r="J62" s="113"/>
      <c r="K62" s="113"/>
      <c r="L62" s="163"/>
      <c r="M62" s="163"/>
      <c r="N62" s="165"/>
      <c r="O62" s="165"/>
      <c r="P62" s="165"/>
      <c r="Q62" s="165"/>
      <c r="R62" s="165"/>
      <c r="AW62" s="81">
        <f t="shared" si="2"/>
        <v>0</v>
      </c>
      <c r="AX62" s="68">
        <f t="shared" si="1"/>
        <v>0</v>
      </c>
    </row>
    <row r="63" spans="1:51" ht="39.950000000000003" customHeight="1" x14ac:dyDescent="0.35">
      <c r="B63" s="160"/>
      <c r="C63" s="166"/>
      <c r="D63" s="166"/>
      <c r="E63" s="166"/>
      <c r="F63" s="166"/>
      <c r="G63" s="166"/>
      <c r="H63" s="148"/>
      <c r="I63" s="166"/>
      <c r="J63" s="114"/>
      <c r="K63" s="114"/>
      <c r="L63" s="164"/>
      <c r="M63" s="164"/>
      <c r="N63" s="166"/>
      <c r="O63" s="166"/>
      <c r="P63" s="166"/>
      <c r="Q63" s="166"/>
      <c r="R63" s="166"/>
      <c r="AW63" s="81">
        <f t="shared" si="2"/>
        <v>0</v>
      </c>
      <c r="AX63" s="68">
        <f t="shared" ref="AX63:AX76" si="3">AE63+AG63+AI63+AK63+AM63+AQ62+AS62</f>
        <v>0</v>
      </c>
    </row>
    <row r="64" spans="1:51" ht="39.950000000000003" customHeight="1" x14ac:dyDescent="0.35">
      <c r="B64" s="165">
        <v>84</v>
      </c>
      <c r="C64" s="165"/>
      <c r="D64" s="165"/>
      <c r="E64" s="165"/>
      <c r="F64" s="165"/>
      <c r="G64" s="165"/>
      <c r="H64" s="147"/>
      <c r="I64" s="165"/>
      <c r="J64" s="113"/>
      <c r="K64" s="113"/>
      <c r="L64" s="163"/>
      <c r="M64" s="163"/>
      <c r="N64" s="165"/>
      <c r="O64" s="165"/>
      <c r="P64" s="165"/>
      <c r="Q64" s="165"/>
      <c r="R64" s="165"/>
      <c r="AW64" s="81">
        <f t="shared" si="2"/>
        <v>0</v>
      </c>
      <c r="AX64" s="68">
        <f t="shared" si="3"/>
        <v>0</v>
      </c>
    </row>
    <row r="65" spans="2:51" ht="39.950000000000003" customHeight="1" x14ac:dyDescent="0.35">
      <c r="B65" s="166"/>
      <c r="C65" s="166"/>
      <c r="D65" s="166"/>
      <c r="E65" s="166"/>
      <c r="F65" s="166"/>
      <c r="G65" s="166"/>
      <c r="H65" s="148"/>
      <c r="I65" s="166"/>
      <c r="J65" s="114"/>
      <c r="K65" s="114"/>
      <c r="L65" s="164"/>
      <c r="M65" s="164"/>
      <c r="N65" s="166"/>
      <c r="O65" s="166"/>
      <c r="P65" s="166"/>
      <c r="Q65" s="166"/>
      <c r="R65" s="166"/>
      <c r="AW65" s="81">
        <f t="shared" si="2"/>
        <v>0</v>
      </c>
      <c r="AX65" s="68">
        <f t="shared" si="3"/>
        <v>0</v>
      </c>
    </row>
    <row r="66" spans="2:51" ht="39.950000000000003" customHeight="1" x14ac:dyDescent="0.35">
      <c r="B66" s="159">
        <v>85</v>
      </c>
      <c r="C66" s="165"/>
      <c r="D66" s="165"/>
      <c r="E66" s="165"/>
      <c r="F66" s="165"/>
      <c r="G66" s="165"/>
      <c r="H66" s="147"/>
      <c r="I66" s="165"/>
      <c r="J66" s="113"/>
      <c r="K66" s="113"/>
      <c r="L66" s="163"/>
      <c r="M66" s="163"/>
      <c r="N66" s="165"/>
      <c r="O66" s="165"/>
      <c r="P66" s="165"/>
      <c r="Q66" s="165"/>
      <c r="R66" s="165"/>
      <c r="AW66" s="81">
        <f t="shared" si="2"/>
        <v>0</v>
      </c>
      <c r="AX66" s="68">
        <f t="shared" si="3"/>
        <v>0</v>
      </c>
    </row>
    <row r="67" spans="2:51" ht="39.950000000000003" customHeight="1" x14ac:dyDescent="0.35">
      <c r="B67" s="160"/>
      <c r="C67" s="166"/>
      <c r="D67" s="166"/>
      <c r="E67" s="166"/>
      <c r="F67" s="166"/>
      <c r="G67" s="166"/>
      <c r="H67" s="148"/>
      <c r="I67" s="166"/>
      <c r="J67" s="114"/>
      <c r="K67" s="114"/>
      <c r="L67" s="164"/>
      <c r="M67" s="164"/>
      <c r="N67" s="166"/>
      <c r="O67" s="166"/>
      <c r="P67" s="166"/>
      <c r="Q67" s="166"/>
      <c r="R67" s="166"/>
      <c r="AW67" s="81">
        <f t="shared" si="2"/>
        <v>0</v>
      </c>
      <c r="AX67" s="68">
        <f t="shared" si="3"/>
        <v>0</v>
      </c>
    </row>
    <row r="68" spans="2:51" ht="39.950000000000003" customHeight="1" x14ac:dyDescent="0.35">
      <c r="B68" s="92"/>
      <c r="C68" s="165"/>
      <c r="D68" s="165"/>
      <c r="E68" s="165"/>
      <c r="F68" s="165"/>
      <c r="G68" s="165"/>
      <c r="H68" s="147"/>
      <c r="I68" s="165"/>
      <c r="J68" s="113"/>
      <c r="K68" s="113"/>
      <c r="L68" s="165"/>
      <c r="M68" s="165"/>
      <c r="N68" s="165"/>
      <c r="O68" s="165"/>
      <c r="P68" s="165"/>
      <c r="Q68" s="165"/>
      <c r="R68" s="165"/>
      <c r="AW68" s="81">
        <f t="shared" si="2"/>
        <v>0</v>
      </c>
      <c r="AX68" s="68">
        <f t="shared" si="3"/>
        <v>0</v>
      </c>
    </row>
    <row r="69" spans="2:51" ht="39.950000000000003" customHeight="1" x14ac:dyDescent="0.35">
      <c r="B69" s="92"/>
      <c r="C69" s="166"/>
      <c r="D69" s="166"/>
      <c r="E69" s="166"/>
      <c r="F69" s="166"/>
      <c r="G69" s="166"/>
      <c r="H69" s="148"/>
      <c r="I69" s="166"/>
      <c r="J69" s="114"/>
      <c r="K69" s="114"/>
      <c r="L69" s="166"/>
      <c r="M69" s="166"/>
      <c r="N69" s="166"/>
      <c r="O69" s="166"/>
      <c r="P69" s="166"/>
      <c r="Q69" s="166"/>
      <c r="R69" s="166"/>
      <c r="AW69" s="81">
        <f t="shared" si="2"/>
        <v>0</v>
      </c>
      <c r="AX69" s="68">
        <f t="shared" si="3"/>
        <v>0</v>
      </c>
    </row>
    <row r="70" spans="2:51" ht="39.950000000000003" customHeight="1" x14ac:dyDescent="0.35">
      <c r="B70" s="159">
        <v>86</v>
      </c>
      <c r="C70" s="165"/>
      <c r="D70" s="165"/>
      <c r="E70" s="165"/>
      <c r="F70" s="165"/>
      <c r="G70" s="165"/>
      <c r="H70" s="147"/>
      <c r="I70" s="165"/>
      <c r="J70" s="113"/>
      <c r="K70" s="113"/>
      <c r="L70" s="163"/>
      <c r="M70" s="163"/>
      <c r="N70" s="165"/>
      <c r="O70" s="165"/>
      <c r="P70" s="165"/>
      <c r="Q70" s="165"/>
      <c r="R70" s="165"/>
      <c r="AW70" s="81">
        <f t="shared" si="2"/>
        <v>0</v>
      </c>
      <c r="AX70" s="68">
        <f>AE70+AG70+AI70+AK70+AM70+AQ67+AS67</f>
        <v>0</v>
      </c>
    </row>
    <row r="71" spans="2:51" ht="39.950000000000003" customHeight="1" x14ac:dyDescent="0.35">
      <c r="B71" s="160"/>
      <c r="C71" s="166"/>
      <c r="D71" s="166"/>
      <c r="E71" s="166"/>
      <c r="F71" s="166"/>
      <c r="G71" s="166"/>
      <c r="H71" s="148"/>
      <c r="I71" s="166"/>
      <c r="J71" s="114"/>
      <c r="K71" s="114"/>
      <c r="L71" s="164"/>
      <c r="M71" s="164"/>
      <c r="N71" s="166"/>
      <c r="O71" s="166"/>
      <c r="P71" s="166"/>
      <c r="Q71" s="166"/>
      <c r="R71" s="166"/>
      <c r="AW71" s="81">
        <f t="shared" si="2"/>
        <v>0</v>
      </c>
      <c r="AX71" s="68">
        <f t="shared" si="3"/>
        <v>0</v>
      </c>
    </row>
    <row r="72" spans="2:51" ht="39.950000000000003" customHeight="1" x14ac:dyDescent="0.35">
      <c r="B72" s="92">
        <v>87</v>
      </c>
      <c r="C72" s="165"/>
      <c r="D72" s="165"/>
      <c r="E72" s="165"/>
      <c r="F72" s="165"/>
      <c r="G72" s="165"/>
      <c r="H72" s="147"/>
      <c r="I72" s="165"/>
      <c r="J72" s="113"/>
      <c r="K72" s="113"/>
      <c r="L72" s="165"/>
      <c r="M72" s="165"/>
      <c r="N72" s="165"/>
      <c r="O72" s="165"/>
      <c r="P72" s="165"/>
      <c r="Q72" s="165"/>
      <c r="R72" s="165"/>
      <c r="AW72" s="81"/>
      <c r="AX72" s="68"/>
    </row>
    <row r="73" spans="2:51" ht="39.950000000000003" customHeight="1" x14ac:dyDescent="0.35">
      <c r="B73" s="92">
        <v>88</v>
      </c>
      <c r="C73" s="166"/>
      <c r="D73" s="166"/>
      <c r="E73" s="166"/>
      <c r="F73" s="166"/>
      <c r="G73" s="166"/>
      <c r="H73" s="148"/>
      <c r="I73" s="166"/>
      <c r="J73" s="114"/>
      <c r="K73" s="114"/>
      <c r="L73" s="166"/>
      <c r="M73" s="166"/>
      <c r="N73" s="166"/>
      <c r="O73" s="166"/>
      <c r="P73" s="166"/>
      <c r="Q73" s="166"/>
      <c r="R73" s="166"/>
      <c r="AW73" s="81"/>
      <c r="AX73" s="68"/>
    </row>
    <row r="74" spans="2:51" ht="39.950000000000003" customHeight="1" x14ac:dyDescent="0.35">
      <c r="B74" s="159">
        <v>89</v>
      </c>
      <c r="C74" s="165"/>
      <c r="D74" s="165"/>
      <c r="E74" s="165"/>
      <c r="F74" s="165"/>
      <c r="G74" s="165"/>
      <c r="H74" s="147"/>
      <c r="I74" s="165"/>
      <c r="J74" s="113"/>
      <c r="K74" s="113"/>
      <c r="L74" s="163"/>
      <c r="M74" s="163"/>
      <c r="N74" s="165"/>
      <c r="O74" s="165"/>
      <c r="P74" s="165"/>
      <c r="Q74" s="165"/>
      <c r="R74" s="165"/>
      <c r="AW74" s="81">
        <f>AD74-AE74-AG74-AI74-AK74-AM74-AO74-AQ74-AS74-AU74+AV74</f>
        <v>0</v>
      </c>
      <c r="AX74" s="68">
        <f>AE74+AG74+AI74+AK74+AM74+AQ71+AS71</f>
        <v>0</v>
      </c>
      <c r="AY74" s="85"/>
    </row>
    <row r="75" spans="2:51" ht="39.950000000000003" customHeight="1" x14ac:dyDescent="0.35">
      <c r="B75" s="160"/>
      <c r="C75" s="166"/>
      <c r="D75" s="166"/>
      <c r="E75" s="166"/>
      <c r="F75" s="166"/>
      <c r="G75" s="166"/>
      <c r="H75" s="148"/>
      <c r="I75" s="166"/>
      <c r="J75" s="114"/>
      <c r="K75" s="114"/>
      <c r="L75" s="164"/>
      <c r="M75" s="164"/>
      <c r="N75" s="166"/>
      <c r="O75" s="166"/>
      <c r="P75" s="166"/>
      <c r="Q75" s="166"/>
      <c r="R75" s="166"/>
      <c r="AW75" s="81">
        <f>AD75-AE75-AG75-AI75-AK75-AM75-AO75-AQ75-AS75-AU75+AV75</f>
        <v>0</v>
      </c>
      <c r="AX75" s="68">
        <f t="shared" si="3"/>
        <v>0</v>
      </c>
    </row>
    <row r="76" spans="2:51" ht="39.950000000000003" customHeight="1" x14ac:dyDescent="0.35">
      <c r="B76" s="20">
        <v>90</v>
      </c>
      <c r="AW76" s="81">
        <f>AD76-AE76-AG76-AI76-AK76-AM76-AO76-AQ76-AS76-AU76+AV76</f>
        <v>0</v>
      </c>
      <c r="AX76" s="68">
        <f t="shared" si="3"/>
        <v>0</v>
      </c>
    </row>
    <row r="77" spans="2:51" x14ac:dyDescent="0.35">
      <c r="B77" s="20">
        <v>91</v>
      </c>
      <c r="J77" s="84"/>
      <c r="K77" s="84"/>
      <c r="L77" s="73"/>
      <c r="N77" s="73"/>
      <c r="AD77" s="73"/>
      <c r="AE77" s="73"/>
      <c r="AG77" s="73"/>
      <c r="AI77" s="73"/>
      <c r="AK77" s="73"/>
      <c r="AM77" s="73"/>
      <c r="AO77" s="73"/>
      <c r="AQ77" s="73"/>
      <c r="AS77" s="73"/>
      <c r="AU77" s="73"/>
      <c r="AX77" s="84"/>
    </row>
  </sheetData>
  <autoFilter ref="A3:N78"/>
  <mergeCells count="547">
    <mergeCell ref="R74:R75"/>
    <mergeCell ref="G74:G75"/>
    <mergeCell ref="I74:I75"/>
    <mergeCell ref="L74:L75"/>
    <mergeCell ref="M74:M75"/>
    <mergeCell ref="N74:N75"/>
    <mergeCell ref="O74:O75"/>
    <mergeCell ref="Q70:Q71"/>
    <mergeCell ref="R70:R71"/>
    <mergeCell ref="G72:G73"/>
    <mergeCell ref="I72:I73"/>
    <mergeCell ref="L72:L73"/>
    <mergeCell ref="P72:P73"/>
    <mergeCell ref="R72:R73"/>
    <mergeCell ref="G50:G51"/>
    <mergeCell ref="B74:B75"/>
    <mergeCell ref="C74:C75"/>
    <mergeCell ref="D74:D75"/>
    <mergeCell ref="E74:E75"/>
    <mergeCell ref="F74:F75"/>
    <mergeCell ref="P74:P75"/>
    <mergeCell ref="Q74:Q75"/>
    <mergeCell ref="C72:C73"/>
    <mergeCell ref="D72:D73"/>
    <mergeCell ref="E72:E73"/>
    <mergeCell ref="F72:F73"/>
    <mergeCell ref="O66:O67"/>
    <mergeCell ref="Q72:Q73"/>
    <mergeCell ref="B70:B71"/>
    <mergeCell ref="C70:C71"/>
    <mergeCell ref="D70:D71"/>
    <mergeCell ref="E70:E71"/>
    <mergeCell ref="F70:F71"/>
    <mergeCell ref="G70:G71"/>
    <mergeCell ref="M68:M69"/>
    <mergeCell ref="N68:N69"/>
    <mergeCell ref="O68:O69"/>
    <mergeCell ref="P68:P69"/>
    <mergeCell ref="Q68:Q69"/>
    <mergeCell ref="R68:R69"/>
    <mergeCell ref="M72:M73"/>
    <mergeCell ref="I70:I71"/>
    <mergeCell ref="L70:L71"/>
    <mergeCell ref="M70:M71"/>
    <mergeCell ref="N70:N71"/>
    <mergeCell ref="O70:O71"/>
    <mergeCell ref="P70:P71"/>
    <mergeCell ref="N72:N73"/>
    <mergeCell ref="O72:O73"/>
    <mergeCell ref="C68:C69"/>
    <mergeCell ref="D68:D69"/>
    <mergeCell ref="E68:E69"/>
    <mergeCell ref="F68:F69"/>
    <mergeCell ref="G68:G69"/>
    <mergeCell ref="I68:I69"/>
    <mergeCell ref="L68:L69"/>
    <mergeCell ref="G66:G67"/>
    <mergeCell ref="I66:I67"/>
    <mergeCell ref="L66:L67"/>
    <mergeCell ref="N64:N65"/>
    <mergeCell ref="O64:O65"/>
    <mergeCell ref="P64:P65"/>
    <mergeCell ref="Q64:Q65"/>
    <mergeCell ref="R64:R65"/>
    <mergeCell ref="B66:B67"/>
    <mergeCell ref="C66:C67"/>
    <mergeCell ref="D66:D67"/>
    <mergeCell ref="E66:E67"/>
    <mergeCell ref="F66:F67"/>
    <mergeCell ref="B64:B65"/>
    <mergeCell ref="C64:C65"/>
    <mergeCell ref="D64:D65"/>
    <mergeCell ref="E64:E65"/>
    <mergeCell ref="F64:F65"/>
    <mergeCell ref="G64:G65"/>
    <mergeCell ref="I64:I65"/>
    <mergeCell ref="L64:L65"/>
    <mergeCell ref="M64:M65"/>
    <mergeCell ref="P66:P67"/>
    <mergeCell ref="Q66:Q67"/>
    <mergeCell ref="R66:R67"/>
    <mergeCell ref="M66:M67"/>
    <mergeCell ref="N66:N67"/>
    <mergeCell ref="P60:P61"/>
    <mergeCell ref="Q60:Q61"/>
    <mergeCell ref="R60:R61"/>
    <mergeCell ref="B62:B63"/>
    <mergeCell ref="C62:C63"/>
    <mergeCell ref="D62:D63"/>
    <mergeCell ref="E62:E63"/>
    <mergeCell ref="F62:F63"/>
    <mergeCell ref="G62:G63"/>
    <mergeCell ref="I62:I63"/>
    <mergeCell ref="G60:G61"/>
    <mergeCell ref="I60:I61"/>
    <mergeCell ref="L60:L61"/>
    <mergeCell ref="M60:M61"/>
    <mergeCell ref="N60:N61"/>
    <mergeCell ref="O60:O61"/>
    <mergeCell ref="R62:R63"/>
    <mergeCell ref="L62:L63"/>
    <mergeCell ref="M62:M63"/>
    <mergeCell ref="N62:N63"/>
    <mergeCell ref="O62:O63"/>
    <mergeCell ref="P62:P63"/>
    <mergeCell ref="Q62:Q63"/>
    <mergeCell ref="A60:A61"/>
    <mergeCell ref="B60:B61"/>
    <mergeCell ref="C60:C61"/>
    <mergeCell ref="D60:D61"/>
    <mergeCell ref="E60:E61"/>
    <mergeCell ref="F60:F61"/>
    <mergeCell ref="M58:M59"/>
    <mergeCell ref="N58:N59"/>
    <mergeCell ref="O58:O59"/>
    <mergeCell ref="A58:A59"/>
    <mergeCell ref="B58:B59"/>
    <mergeCell ref="C58:C59"/>
    <mergeCell ref="D58:D59"/>
    <mergeCell ref="E58:E59"/>
    <mergeCell ref="F58:F59"/>
    <mergeCell ref="G58:G59"/>
    <mergeCell ref="I58:I59"/>
    <mergeCell ref="L58:L59"/>
    <mergeCell ref="L54:L55"/>
    <mergeCell ref="M54:M55"/>
    <mergeCell ref="N54:N55"/>
    <mergeCell ref="O54:O55"/>
    <mergeCell ref="P54:P55"/>
    <mergeCell ref="P58:P59"/>
    <mergeCell ref="Q58:Q59"/>
    <mergeCell ref="R58:R59"/>
    <mergeCell ref="R56:R57"/>
    <mergeCell ref="L56:L57"/>
    <mergeCell ref="M56:M57"/>
    <mergeCell ref="N56:N57"/>
    <mergeCell ref="O56:O57"/>
    <mergeCell ref="P56:P57"/>
    <mergeCell ref="Q56:Q57"/>
    <mergeCell ref="A56:A57"/>
    <mergeCell ref="B56:B57"/>
    <mergeCell ref="C56:C57"/>
    <mergeCell ref="D56:D57"/>
    <mergeCell ref="E56:E57"/>
    <mergeCell ref="F56:F57"/>
    <mergeCell ref="G56:G57"/>
    <mergeCell ref="I56:I57"/>
    <mergeCell ref="I54:I55"/>
    <mergeCell ref="P52:P53"/>
    <mergeCell ref="Q52:Q53"/>
    <mergeCell ref="R52:R53"/>
    <mergeCell ref="A54:A55"/>
    <mergeCell ref="B54:B55"/>
    <mergeCell ref="C54:C55"/>
    <mergeCell ref="D54:D55"/>
    <mergeCell ref="E54:E55"/>
    <mergeCell ref="F54:F55"/>
    <mergeCell ref="G54:G55"/>
    <mergeCell ref="G52:G53"/>
    <mergeCell ref="I52:I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Q54:Q55"/>
    <mergeCell ref="R54:R55"/>
    <mergeCell ref="AB48:AB49"/>
    <mergeCell ref="A50:A51"/>
    <mergeCell ref="B50:B51"/>
    <mergeCell ref="C50:C51"/>
    <mergeCell ref="D50:D51"/>
    <mergeCell ref="F50:F51"/>
    <mergeCell ref="I50:I51"/>
    <mergeCell ref="L50:L51"/>
    <mergeCell ref="AA50:AA51"/>
    <mergeCell ref="AB50:AB51"/>
    <mergeCell ref="M48:M49"/>
    <mergeCell ref="N48:N49"/>
    <mergeCell ref="P48:P49"/>
    <mergeCell ref="Q48:Q49"/>
    <mergeCell ref="R48:R49"/>
    <mergeCell ref="AA48:AA49"/>
    <mergeCell ref="A48:A49"/>
    <mergeCell ref="B48:B49"/>
    <mergeCell ref="C48:C49"/>
    <mergeCell ref="D48:D49"/>
    <mergeCell ref="E48:E49"/>
    <mergeCell ref="F48:F49"/>
    <mergeCell ref="G48:G49"/>
    <mergeCell ref="I48:I49"/>
    <mergeCell ref="L48:L49"/>
    <mergeCell ref="AB44:AB45"/>
    <mergeCell ref="A46:A47"/>
    <mergeCell ref="B46:B47"/>
    <mergeCell ref="C46:C47"/>
    <mergeCell ref="D46:D47"/>
    <mergeCell ref="E46:E47"/>
    <mergeCell ref="F46:F47"/>
    <mergeCell ref="G46:G47"/>
    <mergeCell ref="I46:I47"/>
    <mergeCell ref="L46:L47"/>
    <mergeCell ref="M44:M45"/>
    <mergeCell ref="N44:N45"/>
    <mergeCell ref="P44:P45"/>
    <mergeCell ref="Q44:Q45"/>
    <mergeCell ref="R44:R45"/>
    <mergeCell ref="AA44:AA45"/>
    <mergeCell ref="AB46:AB47"/>
    <mergeCell ref="M46:M47"/>
    <mergeCell ref="N46:N47"/>
    <mergeCell ref="P46:P47"/>
    <mergeCell ref="Q46:Q47"/>
    <mergeCell ref="R46:R47"/>
    <mergeCell ref="AA46:AA47"/>
    <mergeCell ref="A44:A45"/>
    <mergeCell ref="B44:B45"/>
    <mergeCell ref="C44:C45"/>
    <mergeCell ref="D44:D45"/>
    <mergeCell ref="E44:E45"/>
    <mergeCell ref="F44:F45"/>
    <mergeCell ref="G44:G45"/>
    <mergeCell ref="I44:I45"/>
    <mergeCell ref="L44:L45"/>
    <mergeCell ref="AA40:AA41"/>
    <mergeCell ref="AB40:AB41"/>
    <mergeCell ref="C42:C43"/>
    <mergeCell ref="D42:D43"/>
    <mergeCell ref="F42:F43"/>
    <mergeCell ref="I42:I43"/>
    <mergeCell ref="L42:L43"/>
    <mergeCell ref="AA42:AA43"/>
    <mergeCell ref="G40:G41"/>
    <mergeCell ref="I40:I41"/>
    <mergeCell ref="L40:L41"/>
    <mergeCell ref="M40:M41"/>
    <mergeCell ref="N40:N41"/>
    <mergeCell ref="P40:P41"/>
    <mergeCell ref="AB42:AB43"/>
    <mergeCell ref="Q38:Q39"/>
    <mergeCell ref="R38:R39"/>
    <mergeCell ref="AA38:AA39"/>
    <mergeCell ref="AB38:AB39"/>
    <mergeCell ref="A40:A41"/>
    <mergeCell ref="B40:B41"/>
    <mergeCell ref="C40:C41"/>
    <mergeCell ref="D40:D41"/>
    <mergeCell ref="E40:E41"/>
    <mergeCell ref="F40:F41"/>
    <mergeCell ref="G38:G39"/>
    <mergeCell ref="I38:I39"/>
    <mergeCell ref="L38:L39"/>
    <mergeCell ref="M38:M39"/>
    <mergeCell ref="N38:N39"/>
    <mergeCell ref="P38:P39"/>
    <mergeCell ref="A38:A39"/>
    <mergeCell ref="B38:B39"/>
    <mergeCell ref="C38:C39"/>
    <mergeCell ref="D38:D39"/>
    <mergeCell ref="E38:E39"/>
    <mergeCell ref="F38:F39"/>
    <mergeCell ref="Q40:Q41"/>
    <mergeCell ref="R40:R41"/>
    <mergeCell ref="Q36:Q37"/>
    <mergeCell ref="R36:R37"/>
    <mergeCell ref="AA36:AA37"/>
    <mergeCell ref="AB36:AB37"/>
    <mergeCell ref="F36:F37"/>
    <mergeCell ref="G36:G37"/>
    <mergeCell ref="I36:I37"/>
    <mergeCell ref="L36:L37"/>
    <mergeCell ref="M36:M37"/>
    <mergeCell ref="N36:N37"/>
    <mergeCell ref="P34:P35"/>
    <mergeCell ref="Q34:Q35"/>
    <mergeCell ref="R34:R35"/>
    <mergeCell ref="AA34:AA35"/>
    <mergeCell ref="AB34:AB35"/>
    <mergeCell ref="A36:A37"/>
    <mergeCell ref="B36:B37"/>
    <mergeCell ref="C36:C37"/>
    <mergeCell ref="D36:D37"/>
    <mergeCell ref="E36:E37"/>
    <mergeCell ref="G34:G35"/>
    <mergeCell ref="I34:I35"/>
    <mergeCell ref="L34:L35"/>
    <mergeCell ref="M34:M35"/>
    <mergeCell ref="N34:N35"/>
    <mergeCell ref="O34:O35"/>
    <mergeCell ref="A34:A35"/>
    <mergeCell ref="B34:B35"/>
    <mergeCell ref="C34:C35"/>
    <mergeCell ref="D34:D35"/>
    <mergeCell ref="E34:E35"/>
    <mergeCell ref="F34:F35"/>
    <mergeCell ref="O36:O37"/>
    <mergeCell ref="P36:P37"/>
    <mergeCell ref="P32:P33"/>
    <mergeCell ref="Q32:Q33"/>
    <mergeCell ref="R32:R33"/>
    <mergeCell ref="AA32:AA33"/>
    <mergeCell ref="AB32:AB33"/>
    <mergeCell ref="AC32:AC33"/>
    <mergeCell ref="F32:F33"/>
    <mergeCell ref="G32:G33"/>
    <mergeCell ref="I32:I33"/>
    <mergeCell ref="L32:L33"/>
    <mergeCell ref="M32:M33"/>
    <mergeCell ref="N32:N33"/>
    <mergeCell ref="A32:A33"/>
    <mergeCell ref="B32:B33"/>
    <mergeCell ref="C32:C33"/>
    <mergeCell ref="D32:D33"/>
    <mergeCell ref="E32:E33"/>
    <mergeCell ref="I30:I31"/>
    <mergeCell ref="L30:L31"/>
    <mergeCell ref="M30:M31"/>
    <mergeCell ref="N30:N31"/>
    <mergeCell ref="AC28:AC29"/>
    <mergeCell ref="A30:A31"/>
    <mergeCell ref="B30:B31"/>
    <mergeCell ref="C30:C31"/>
    <mergeCell ref="D30:D31"/>
    <mergeCell ref="E30:E31"/>
    <mergeCell ref="F30:F31"/>
    <mergeCell ref="G30:G31"/>
    <mergeCell ref="G28:G29"/>
    <mergeCell ref="I28:I29"/>
    <mergeCell ref="L28:L29"/>
    <mergeCell ref="M28:M29"/>
    <mergeCell ref="N28:N29"/>
    <mergeCell ref="P28:P29"/>
    <mergeCell ref="Q30:Q31"/>
    <mergeCell ref="R30:R31"/>
    <mergeCell ref="AA30:AA31"/>
    <mergeCell ref="AB30:AB31"/>
    <mergeCell ref="AC30:AC31"/>
    <mergeCell ref="O30:O31"/>
    <mergeCell ref="P30:P31"/>
    <mergeCell ref="A28:A29"/>
    <mergeCell ref="B28:B29"/>
    <mergeCell ref="C28:C29"/>
    <mergeCell ref="D28:D29"/>
    <mergeCell ref="E28:E29"/>
    <mergeCell ref="F28:F29"/>
    <mergeCell ref="Q28:Q29"/>
    <mergeCell ref="R28:R29"/>
    <mergeCell ref="O26:O27"/>
    <mergeCell ref="P26:P27"/>
    <mergeCell ref="Q26:Q27"/>
    <mergeCell ref="R26:R27"/>
    <mergeCell ref="AA26:AA27"/>
    <mergeCell ref="AB26:AB27"/>
    <mergeCell ref="F26:F27"/>
    <mergeCell ref="G26:G27"/>
    <mergeCell ref="I26:I27"/>
    <mergeCell ref="L26:L27"/>
    <mergeCell ref="M26:M27"/>
    <mergeCell ref="N26:N27"/>
    <mergeCell ref="A26:A27"/>
    <mergeCell ref="B26:B27"/>
    <mergeCell ref="C26:C27"/>
    <mergeCell ref="D26:D27"/>
    <mergeCell ref="E26:E27"/>
    <mergeCell ref="F24:F25"/>
    <mergeCell ref="G24:G25"/>
    <mergeCell ref="I24:I25"/>
    <mergeCell ref="L24:L25"/>
    <mergeCell ref="AB22:AB23"/>
    <mergeCell ref="A24:A25"/>
    <mergeCell ref="B24:B25"/>
    <mergeCell ref="C24:C25"/>
    <mergeCell ref="D24:D25"/>
    <mergeCell ref="E24:E25"/>
    <mergeCell ref="F22:F23"/>
    <mergeCell ref="G22:G23"/>
    <mergeCell ref="I22:I23"/>
    <mergeCell ref="L22:L23"/>
    <mergeCell ref="M22:M23"/>
    <mergeCell ref="N22:N23"/>
    <mergeCell ref="P24:P25"/>
    <mergeCell ref="Q24:Q25"/>
    <mergeCell ref="R24:R25"/>
    <mergeCell ref="AA24:AA25"/>
    <mergeCell ref="AB24:AB25"/>
    <mergeCell ref="M24:M25"/>
    <mergeCell ref="N24:N25"/>
    <mergeCell ref="A22:A23"/>
    <mergeCell ref="B22:B23"/>
    <mergeCell ref="C22:C23"/>
    <mergeCell ref="D22:D23"/>
    <mergeCell ref="E22:E23"/>
    <mergeCell ref="P22:P23"/>
    <mergeCell ref="Q22:Q23"/>
    <mergeCell ref="R22:R23"/>
    <mergeCell ref="AA22:AA23"/>
    <mergeCell ref="AC20:AC21"/>
    <mergeCell ref="L20:L21"/>
    <mergeCell ref="M20:M21"/>
    <mergeCell ref="N20:N21"/>
    <mergeCell ref="P20:P21"/>
    <mergeCell ref="Q20:Q21"/>
    <mergeCell ref="R20:R21"/>
    <mergeCell ref="A20:A21"/>
    <mergeCell ref="B20:B21"/>
    <mergeCell ref="C20:C21"/>
    <mergeCell ref="D20:D21"/>
    <mergeCell ref="E20:E21"/>
    <mergeCell ref="F20:F21"/>
    <mergeCell ref="G20:G21"/>
    <mergeCell ref="I20:I21"/>
    <mergeCell ref="I18:I19"/>
    <mergeCell ref="AC16:AC17"/>
    <mergeCell ref="A18:A19"/>
    <mergeCell ref="B18:B19"/>
    <mergeCell ref="C18:C19"/>
    <mergeCell ref="D18:D19"/>
    <mergeCell ref="E18:E19"/>
    <mergeCell ref="F18:F19"/>
    <mergeCell ref="G18:G19"/>
    <mergeCell ref="G16:G17"/>
    <mergeCell ref="I16:I17"/>
    <mergeCell ref="L16:L17"/>
    <mergeCell ref="M16:M17"/>
    <mergeCell ref="N16:N17"/>
    <mergeCell ref="P16:P17"/>
    <mergeCell ref="R18:R19"/>
    <mergeCell ref="AC18:AC19"/>
    <mergeCell ref="L18:L19"/>
    <mergeCell ref="M18:M19"/>
    <mergeCell ref="N18:N19"/>
    <mergeCell ref="P18:P19"/>
    <mergeCell ref="Q18:Q19"/>
    <mergeCell ref="P14:P15"/>
    <mergeCell ref="Q14:Q15"/>
    <mergeCell ref="R14:R15"/>
    <mergeCell ref="AC14:AC15"/>
    <mergeCell ref="A16:A17"/>
    <mergeCell ref="B16:B17"/>
    <mergeCell ref="C16:C17"/>
    <mergeCell ref="D16:D17"/>
    <mergeCell ref="E16:E17"/>
    <mergeCell ref="F16:F17"/>
    <mergeCell ref="G14:G15"/>
    <mergeCell ref="I14:I15"/>
    <mergeCell ref="L14:L15"/>
    <mergeCell ref="M14:M15"/>
    <mergeCell ref="N14:N15"/>
    <mergeCell ref="O14:O15"/>
    <mergeCell ref="A14:A15"/>
    <mergeCell ref="B14:B15"/>
    <mergeCell ref="C14:C15"/>
    <mergeCell ref="D14:D15"/>
    <mergeCell ref="E14:E15"/>
    <mergeCell ref="F14:F15"/>
    <mergeCell ref="Q16:Q17"/>
    <mergeCell ref="R16:R17"/>
    <mergeCell ref="R12:R13"/>
    <mergeCell ref="AA12:AA13"/>
    <mergeCell ref="AB12:AB13"/>
    <mergeCell ref="AC12:AC13"/>
    <mergeCell ref="G12:G13"/>
    <mergeCell ref="I12:I13"/>
    <mergeCell ref="L12:L13"/>
    <mergeCell ref="M12:M13"/>
    <mergeCell ref="N12:N13"/>
    <mergeCell ref="O12:O13"/>
    <mergeCell ref="A12:A13"/>
    <mergeCell ref="B12:B13"/>
    <mergeCell ref="C12:C13"/>
    <mergeCell ref="D12:D13"/>
    <mergeCell ref="E12:E13"/>
    <mergeCell ref="F12:F13"/>
    <mergeCell ref="P10:P11"/>
    <mergeCell ref="Q10:Q11"/>
    <mergeCell ref="P8:P9"/>
    <mergeCell ref="Q8:Q9"/>
    <mergeCell ref="C8:C9"/>
    <mergeCell ref="D8:D9"/>
    <mergeCell ref="E8:E9"/>
    <mergeCell ref="F8:F9"/>
    <mergeCell ref="P12:P13"/>
    <mergeCell ref="Q12:Q13"/>
    <mergeCell ref="O10:O11"/>
    <mergeCell ref="AA10:AA11"/>
    <mergeCell ref="AB10:AB11"/>
    <mergeCell ref="AC10:AC11"/>
    <mergeCell ref="G10:G11"/>
    <mergeCell ref="I10:I11"/>
    <mergeCell ref="L10:L11"/>
    <mergeCell ref="M10:M11"/>
    <mergeCell ref="N10:N11"/>
    <mergeCell ref="A8:A9"/>
    <mergeCell ref="B8:B9"/>
    <mergeCell ref="R10:R11"/>
    <mergeCell ref="A10:A11"/>
    <mergeCell ref="B10:B11"/>
    <mergeCell ref="C10:C11"/>
    <mergeCell ref="D10:D11"/>
    <mergeCell ref="E10:E11"/>
    <mergeCell ref="F10:F11"/>
    <mergeCell ref="G8:G9"/>
    <mergeCell ref="I8:I9"/>
    <mergeCell ref="L8:L9"/>
    <mergeCell ref="R6:R7"/>
    <mergeCell ref="AC6:AC7"/>
    <mergeCell ref="G6:G7"/>
    <mergeCell ref="I6:I7"/>
    <mergeCell ref="L6:L7"/>
    <mergeCell ref="M6:M7"/>
    <mergeCell ref="N6:N7"/>
    <mergeCell ref="O6:O7"/>
    <mergeCell ref="R8:R9"/>
    <mergeCell ref="AC8:AC9"/>
    <mergeCell ref="M8:M9"/>
    <mergeCell ref="N8:N9"/>
    <mergeCell ref="O8:O9"/>
    <mergeCell ref="J6:J7"/>
    <mergeCell ref="P4:P5"/>
    <mergeCell ref="Q4:Q5"/>
    <mergeCell ref="R4:R5"/>
    <mergeCell ref="AC4:AC5"/>
    <mergeCell ref="A6:A7"/>
    <mergeCell ref="B6:B7"/>
    <mergeCell ref="C6:C7"/>
    <mergeCell ref="D6:D7"/>
    <mergeCell ref="E6:E7"/>
    <mergeCell ref="F6:F7"/>
    <mergeCell ref="G4:G5"/>
    <mergeCell ref="I4:I5"/>
    <mergeCell ref="L4:L5"/>
    <mergeCell ref="M4:M5"/>
    <mergeCell ref="N4:N5"/>
    <mergeCell ref="O4:O5"/>
    <mergeCell ref="A4:A5"/>
    <mergeCell ref="B4:B5"/>
    <mergeCell ref="C4:C5"/>
    <mergeCell ref="D4:D5"/>
    <mergeCell ref="E4:E5"/>
    <mergeCell ref="F4:F5"/>
    <mergeCell ref="P6:P7"/>
    <mergeCell ref="Q6:Q7"/>
  </mergeCells>
  <pageMargins left="0.7" right="0.7" top="0.75" bottom="0.75" header="0.3" footer="0.3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4" sqref="J24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Semester B.S  Girl 2025-29</vt:lpstr>
      <vt:lpstr>Semester B.S 1st Boys 2025-2029</vt:lpstr>
      <vt:lpstr>boys</vt:lpstr>
      <vt:lpstr>Sheet3</vt:lpstr>
      <vt:lpstr>FSC18-20 BOYS</vt:lpstr>
      <vt:lpstr>girls</vt:lpstr>
      <vt:lpstr>Sheet1</vt:lpstr>
      <vt:lpstr>Semester B.S 5th Girl 2025-2027</vt:lpstr>
      <vt:lpstr>Sheet2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Tower Conputers</cp:lastModifiedBy>
  <cp:lastPrinted>2026-09-19T05:45:07Z</cp:lastPrinted>
  <dcterms:created xsi:type="dcterms:W3CDTF">2019-09-13T05:59:47Z</dcterms:created>
  <dcterms:modified xsi:type="dcterms:W3CDTF">2026-10-30T04:59:51Z</dcterms:modified>
</cp:coreProperties>
</file>